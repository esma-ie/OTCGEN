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ppXLS\"/>
    </mc:Choice>
  </mc:AlternateContent>
  <xr:revisionPtr revIDLastSave="0" documentId="13_ncr:1_{FE6CCF1D-778D-4F8D-8EE4-AE4AA0D8EF9A}" xr6:coauthVersionLast="47" xr6:coauthVersionMax="47" xr10:uidLastSave="{00000000-0000-0000-0000-000000000000}"/>
  <bookViews>
    <workbookView xWindow="-120" yWindow="-120" windowWidth="25440" windowHeight="15270" firstSheet="6" activeTab="9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NewTech" sheetId="4" r:id="rId4"/>
    <sheet name="IND TECH" sheetId="5" r:id="rId5"/>
    <sheet name="IND RESID" sheetId="6" r:id="rId6"/>
    <sheet name="&gt;&gt;&gt; Data" sheetId="7" r:id="rId7"/>
    <sheet name="Selected_constraint" sheetId="8" r:id="rId8"/>
    <sheet name="&gt;&gt; TIMES" sheetId="9" r:id="rId9"/>
    <sheet name="UC" sheetId="10" r:id="rId10"/>
  </sheets>
  <definedNames>
    <definedName name="_Fill" localSheetId="2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8" hidden="1">{"com_msw",#N/A,FALSE,"Common"}</definedName>
    <definedName name="wrn.com_msw." localSheetId="2" hidden="1">{"com_msw",#N/A,FALSE,"Common"}</definedName>
    <definedName name="wrn.com_msw." hidden="1">{"com_msw",#N/A,FALSE,"Common"}</definedName>
    <definedName name="wrn.msw_1." localSheetId="8" hidden="1">{"msw_1",#N/A,FALSE,"Common"}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8" hidden="1">{"msw_2",#N/A,FALSE,"Common"}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8" hidden="1">{"NATIONAL GRID",#N/A,FALSE,"Sheet1"}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8" hidden="1">{"regional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8" hidden="1">{"res_mf_mssw",#N/A,FALSE,"Common"}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4" i="10" l="1"/>
  <c r="W55" i="10" s="1"/>
  <c r="W56" i="10" s="1"/>
  <c r="I54" i="10"/>
  <c r="I55" i="10" s="1"/>
  <c r="I56" i="10" s="1"/>
  <c r="I52" i="10"/>
  <c r="I51" i="10"/>
  <c r="W50" i="10"/>
  <c r="W51" i="10" s="1"/>
  <c r="W52" i="10" s="1"/>
  <c r="I50" i="10"/>
  <c r="W47" i="10"/>
  <c r="W48" i="10" s="1"/>
  <c r="W46" i="10"/>
  <c r="I46" i="10"/>
  <c r="I47" i="10" s="1"/>
  <c r="I48" i="10" s="1"/>
  <c r="W42" i="10"/>
  <c r="W43" i="10" s="1"/>
  <c r="W44" i="10" s="1"/>
  <c r="I42" i="10"/>
  <c r="I43" i="10" s="1"/>
  <c r="I44" i="10" s="1"/>
  <c r="W39" i="10"/>
  <c r="W40" i="10" s="1"/>
  <c r="W38" i="10"/>
  <c r="I38" i="10"/>
  <c r="I39" i="10" s="1"/>
  <c r="I40" i="10" s="1"/>
  <c r="W34" i="10"/>
  <c r="W35" i="10" s="1"/>
  <c r="W36" i="10" s="1"/>
  <c r="I34" i="10"/>
  <c r="I35" i="10" s="1"/>
  <c r="I36" i="10" s="1"/>
  <c r="W30" i="10"/>
  <c r="W31" i="10" s="1"/>
  <c r="W32" i="10" s="1"/>
  <c r="I30" i="10"/>
  <c r="I31" i="10" s="1"/>
  <c r="I32" i="10" s="1"/>
  <c r="I27" i="10"/>
  <c r="I28" i="10" s="1"/>
  <c r="W26" i="10"/>
  <c r="W27" i="10" s="1"/>
  <c r="W28" i="10" s="1"/>
  <c r="I26" i="10"/>
  <c r="W22" i="10"/>
  <c r="W23" i="10" s="1"/>
  <c r="W24" i="10" s="1"/>
  <c r="I22" i="10"/>
  <c r="I23" i="10" s="1"/>
  <c r="I24" i="10" s="1"/>
  <c r="W19" i="10"/>
  <c r="W20" i="10" s="1"/>
  <c r="W18" i="10"/>
  <c r="I18" i="10"/>
  <c r="I19" i="10" s="1"/>
  <c r="I20" i="10" s="1"/>
  <c r="W15" i="10"/>
  <c r="W16" i="10" s="1"/>
  <c r="W14" i="10"/>
  <c r="I14" i="10"/>
  <c r="I15" i="10" s="1"/>
  <c r="I16" i="10" s="1"/>
  <c r="A14" i="10"/>
  <c r="A15" i="10" s="1"/>
  <c r="A16" i="10" s="1"/>
  <c r="A13" i="10"/>
  <c r="A12" i="10"/>
  <c r="W10" i="10"/>
  <c r="W11" i="10" s="1"/>
  <c r="W12" i="10" s="1"/>
  <c r="I10" i="10"/>
  <c r="I11" i="10" s="1"/>
  <c r="I12" i="10" s="1"/>
  <c r="A9" i="10"/>
  <c r="A10" i="10" s="1"/>
  <c r="A11" i="10" s="1"/>
  <c r="I7" i="10"/>
  <c r="I8" i="10" s="1"/>
  <c r="A7" i="10"/>
  <c r="A8" i="10" s="1"/>
  <c r="W6" i="10"/>
  <c r="W7" i="10" s="1"/>
  <c r="W8" i="10" s="1"/>
  <c r="I6" i="10"/>
  <c r="A6" i="10"/>
  <c r="V5" i="10"/>
  <c r="B1" i="8" a="1"/>
  <c r="B12" i="8" s="1"/>
  <c r="B4" i="8" l="1"/>
  <c r="C10" i="8"/>
  <c r="D10" i="8" s="1" a="1"/>
  <c r="D10" i="8" s="1"/>
  <c r="C4" i="8"/>
  <c r="D4" i="8" s="1" a="1"/>
  <c r="D4" i="8" s="1"/>
  <c r="C9" i="8"/>
  <c r="D9" i="8" s="1" a="1"/>
  <c r="D9" i="8" s="1"/>
  <c r="C3" i="8"/>
  <c r="D3" i="8" s="1" a="1"/>
  <c r="D3" i="8" s="1"/>
  <c r="B9" i="8"/>
  <c r="B3" i="8"/>
  <c r="C8" i="8"/>
  <c r="D8" i="8" s="1" a="1"/>
  <c r="D8" i="8" s="1"/>
  <c r="C2" i="8"/>
  <c r="D2" i="8" s="1" a="1"/>
  <c r="D2" i="8" s="1"/>
  <c r="C11" i="8"/>
  <c r="D11" i="8" s="1" a="1"/>
  <c r="D11" i="8" s="1"/>
  <c r="B5" i="8"/>
  <c r="C12" i="8"/>
  <c r="D12" i="8" s="1" a="1"/>
  <c r="D12" i="8" s="1"/>
  <c r="C5" i="8"/>
  <c r="D5" i="8" s="1" a="1"/>
  <c r="D5" i="8" s="1"/>
  <c r="B13" i="8"/>
  <c r="B6" i="8"/>
  <c r="C13" i="8"/>
  <c r="D13" i="8" s="1" a="1"/>
  <c r="D13" i="8" s="1"/>
  <c r="C6" i="8"/>
  <c r="D6" i="8" s="1" a="1"/>
  <c r="D6" i="8" s="1"/>
  <c r="B14" i="8"/>
  <c r="B7" i="8"/>
  <c r="C14" i="8"/>
  <c r="D14" i="8" s="1" a="1"/>
  <c r="D14" i="8" s="1"/>
  <c r="C7" i="8"/>
  <c r="D7" i="8" s="1" a="1"/>
  <c r="D7" i="8" s="1"/>
  <c r="B1" i="8"/>
  <c r="B8" i="8"/>
  <c r="A17" i="10"/>
  <c r="C1" i="8"/>
  <c r="B10" i="8"/>
  <c r="B2" i="8"/>
  <c r="B11" i="8"/>
  <c r="A11" i="8" l="1"/>
  <c r="A7" i="8"/>
  <c r="A3" i="8"/>
  <c r="A10" i="8"/>
  <c r="A14" i="8"/>
  <c r="A6" i="8"/>
  <c r="A2" i="8"/>
  <c r="E17" i="10" s="1"/>
  <c r="A9" i="8"/>
  <c r="A4" i="8"/>
  <c r="A8" i="8"/>
  <c r="A13" i="8"/>
  <c r="A12" i="8"/>
  <c r="A5" i="8"/>
  <c r="A21" i="10"/>
  <c r="A18" i="10"/>
  <c r="A19" i="10" s="1"/>
  <c r="A20" i="10" s="1"/>
  <c r="S17" i="10" l="1"/>
  <c r="E18" i="10"/>
  <c r="F17" i="10"/>
  <c r="F21" i="10"/>
  <c r="A25" i="10"/>
  <c r="E21" i="10"/>
  <c r="A22" i="10"/>
  <c r="A23" i="10" s="1"/>
  <c r="A24" i="10" s="1"/>
  <c r="E5" i="10"/>
  <c r="F5" i="10"/>
  <c r="F9" i="10"/>
  <c r="F13" i="10"/>
  <c r="E9" i="10"/>
  <c r="E13" i="10"/>
  <c r="E6" i="10" l="1"/>
  <c r="C5" i="10"/>
  <c r="Y5" i="10"/>
  <c r="K5" i="10"/>
  <c r="S5" i="10"/>
  <c r="G21" i="10"/>
  <c r="F22" i="10"/>
  <c r="T21" i="10"/>
  <c r="G17" i="10"/>
  <c r="F18" i="10"/>
  <c r="Y18" i="10" s="1"/>
  <c r="T17" i="10"/>
  <c r="Y17" i="10"/>
  <c r="F6" i="10"/>
  <c r="G5" i="10"/>
  <c r="T5" i="10"/>
  <c r="F25" i="10"/>
  <c r="A29" i="10"/>
  <c r="E25" i="10"/>
  <c r="A26" i="10"/>
  <c r="A27" i="10" s="1"/>
  <c r="A28" i="10" s="1"/>
  <c r="S18" i="10"/>
  <c r="E19" i="10"/>
  <c r="C17" i="10"/>
  <c r="T13" i="10"/>
  <c r="G13" i="10"/>
  <c r="F14" i="10"/>
  <c r="K17" i="10"/>
  <c r="K21" i="10"/>
  <c r="E22" i="10"/>
  <c r="C21" i="10"/>
  <c r="Y21" i="10"/>
  <c r="S21" i="10"/>
  <c r="S13" i="10"/>
  <c r="K13" i="10"/>
  <c r="Y13" i="10"/>
  <c r="C13" i="10"/>
  <c r="E14" i="10"/>
  <c r="Y9" i="10"/>
  <c r="S9" i="10"/>
  <c r="C9" i="10"/>
  <c r="E10" i="10"/>
  <c r="K9" i="10"/>
  <c r="T9" i="10"/>
  <c r="F10" i="10"/>
  <c r="G9" i="10"/>
  <c r="F19" i="10" l="1"/>
  <c r="T18" i="10"/>
  <c r="G18" i="10"/>
  <c r="U17" i="10"/>
  <c r="F23" i="10"/>
  <c r="T22" i="10"/>
  <c r="C22" i="10"/>
  <c r="Q21" i="10"/>
  <c r="Y10" i="10"/>
  <c r="S10" i="10"/>
  <c r="E11" i="10"/>
  <c r="K10" i="10"/>
  <c r="K22" i="10"/>
  <c r="E23" i="10"/>
  <c r="Y22" i="10"/>
  <c r="S22" i="10"/>
  <c r="E26" i="10"/>
  <c r="C25" i="10"/>
  <c r="Y25" i="10"/>
  <c r="S25" i="10"/>
  <c r="K25" i="10"/>
  <c r="G22" i="10"/>
  <c r="U21" i="10"/>
  <c r="A30" i="10"/>
  <c r="A31" i="10" s="1"/>
  <c r="A32" i="10" s="1"/>
  <c r="A33" i="10"/>
  <c r="E29" i="10"/>
  <c r="F29" i="10"/>
  <c r="U9" i="10"/>
  <c r="G10" i="10"/>
  <c r="K19" i="10"/>
  <c r="E20" i="10"/>
  <c r="S19" i="10"/>
  <c r="Y19" i="10"/>
  <c r="K18" i="10"/>
  <c r="Q9" i="10"/>
  <c r="C10" i="10"/>
  <c r="F26" i="10"/>
  <c r="G25" i="10"/>
  <c r="T25" i="10"/>
  <c r="T10" i="10"/>
  <c r="F11" i="10"/>
  <c r="T14" i="10"/>
  <c r="F15" i="10"/>
  <c r="C6" i="10"/>
  <c r="Q5" i="10"/>
  <c r="Q17" i="10"/>
  <c r="C18" i="10"/>
  <c r="S14" i="10"/>
  <c r="K14" i="10"/>
  <c r="E15" i="10"/>
  <c r="Y14" i="10"/>
  <c r="U13" i="10"/>
  <c r="G14" i="10"/>
  <c r="U5" i="10"/>
  <c r="G6" i="10"/>
  <c r="Q13" i="10"/>
  <c r="C14" i="10"/>
  <c r="T6" i="10"/>
  <c r="F7" i="10"/>
  <c r="Y6" i="10"/>
  <c r="E7" i="10"/>
  <c r="S6" i="10"/>
  <c r="K6" i="10"/>
  <c r="C26" i="10" l="1"/>
  <c r="Q25" i="10"/>
  <c r="U14" i="10"/>
  <c r="G15" i="10"/>
  <c r="T11" i="10"/>
  <c r="F12" i="10"/>
  <c r="T12" i="10" s="1"/>
  <c r="U10" i="10"/>
  <c r="G11" i="10"/>
  <c r="E27" i="10"/>
  <c r="Y26" i="10"/>
  <c r="K26" i="10"/>
  <c r="S26" i="10"/>
  <c r="F24" i="10"/>
  <c r="T24" i="10" s="1"/>
  <c r="T23" i="10"/>
  <c r="Q18" i="10"/>
  <c r="C19" i="10"/>
  <c r="Q14" i="10"/>
  <c r="C15" i="10"/>
  <c r="S20" i="10"/>
  <c r="T7" i="10"/>
  <c r="F8" i="10"/>
  <c r="T8" i="10" s="1"/>
  <c r="G23" i="10"/>
  <c r="U22" i="10"/>
  <c r="C7" i="10"/>
  <c r="Q6" i="10"/>
  <c r="U6" i="10"/>
  <c r="G7" i="10"/>
  <c r="T15" i="10"/>
  <c r="F16" i="10"/>
  <c r="T16" i="10" s="1"/>
  <c r="T29" i="10"/>
  <c r="F30" i="10"/>
  <c r="G29" i="10"/>
  <c r="G19" i="10"/>
  <c r="U18" i="10"/>
  <c r="S15" i="10"/>
  <c r="K15" i="10"/>
  <c r="E16" i="10"/>
  <c r="Y15" i="10"/>
  <c r="G26" i="10"/>
  <c r="U25" i="10"/>
  <c r="E30" i="10"/>
  <c r="C29" i="10"/>
  <c r="Y29" i="10"/>
  <c r="S29" i="10"/>
  <c r="K29" i="10"/>
  <c r="E24" i="10"/>
  <c r="Y23" i="10"/>
  <c r="K23" i="10"/>
  <c r="S23" i="10"/>
  <c r="Q10" i="10"/>
  <c r="C11" i="10"/>
  <c r="S11" i="10"/>
  <c r="K11" i="10"/>
  <c r="Y11" i="10"/>
  <c r="E12" i="10"/>
  <c r="C23" i="10"/>
  <c r="Q22" i="10"/>
  <c r="Y7" i="10"/>
  <c r="E8" i="10"/>
  <c r="S7" i="10"/>
  <c r="K7" i="10"/>
  <c r="F27" i="10"/>
  <c r="T26" i="10"/>
  <c r="A34" i="10"/>
  <c r="A35" i="10" s="1"/>
  <c r="A36" i="10" s="1"/>
  <c r="A37" i="10"/>
  <c r="F33" i="10"/>
  <c r="E33" i="10"/>
  <c r="F20" i="10"/>
  <c r="T20" i="10" s="1"/>
  <c r="T19" i="10"/>
  <c r="Y24" i="10" l="1"/>
  <c r="S24" i="10"/>
  <c r="K24" i="10"/>
  <c r="G24" i="10"/>
  <c r="U24" i="10" s="1"/>
  <c r="U23" i="10"/>
  <c r="U11" i="10"/>
  <c r="G12" i="10"/>
  <c r="U12" i="10" s="1"/>
  <c r="C24" i="10"/>
  <c r="Q24" i="10" s="1"/>
  <c r="Q23" i="10"/>
  <c r="Y33" i="10"/>
  <c r="S33" i="10"/>
  <c r="E34" i="10"/>
  <c r="K33" i="10"/>
  <c r="C33" i="10"/>
  <c r="S12" i="10"/>
  <c r="K12" i="10"/>
  <c r="Y12" i="10"/>
  <c r="T30" i="10"/>
  <c r="F31" i="10"/>
  <c r="E28" i="10"/>
  <c r="Y27" i="10"/>
  <c r="S27" i="10"/>
  <c r="K27" i="10"/>
  <c r="Q15" i="10"/>
  <c r="C16" i="10"/>
  <c r="Q16" i="10" s="1"/>
  <c r="T33" i="10"/>
  <c r="F34" i="10"/>
  <c r="G33" i="10"/>
  <c r="C30" i="10"/>
  <c r="Q29" i="10"/>
  <c r="Y20" i="10"/>
  <c r="A41" i="10"/>
  <c r="A38" i="10"/>
  <c r="A39" i="10" s="1"/>
  <c r="A40" i="10" s="1"/>
  <c r="F37" i="10"/>
  <c r="E37" i="10"/>
  <c r="Y30" i="10"/>
  <c r="E31" i="10"/>
  <c r="K30" i="10"/>
  <c r="S30" i="10"/>
  <c r="K20" i="10"/>
  <c r="Q11" i="10"/>
  <c r="C12" i="10"/>
  <c r="Q12" i="10" s="1"/>
  <c r="G27" i="10"/>
  <c r="U26" i="10"/>
  <c r="U7" i="10"/>
  <c r="G8" i="10"/>
  <c r="U8" i="10" s="1"/>
  <c r="Q19" i="10"/>
  <c r="C20" i="10"/>
  <c r="Q20" i="10" s="1"/>
  <c r="G16" i="10"/>
  <c r="U16" i="10" s="1"/>
  <c r="U15" i="10"/>
  <c r="G20" i="10"/>
  <c r="U20" i="10" s="1"/>
  <c r="U19" i="10"/>
  <c r="U29" i="10"/>
  <c r="G30" i="10"/>
  <c r="F28" i="10"/>
  <c r="T28" i="10" s="1"/>
  <c r="T27" i="10"/>
  <c r="S16" i="10"/>
  <c r="K16" i="10"/>
  <c r="Y16" i="10"/>
  <c r="C8" i="10"/>
  <c r="Q8" i="10" s="1"/>
  <c r="Q7" i="10"/>
  <c r="Y8" i="10"/>
  <c r="S8" i="10"/>
  <c r="K8" i="10"/>
  <c r="C27" i="10"/>
  <c r="Q26" i="10"/>
  <c r="Y34" i="10" l="1"/>
  <c r="S34" i="10"/>
  <c r="K34" i="10"/>
  <c r="E35" i="10"/>
  <c r="S37" i="10"/>
  <c r="K37" i="10"/>
  <c r="Y37" i="10"/>
  <c r="C37" i="10"/>
  <c r="E38" i="10"/>
  <c r="E41" i="10"/>
  <c r="F41" i="10"/>
  <c r="A45" i="10"/>
  <c r="A42" i="10"/>
  <c r="A43" i="10" s="1"/>
  <c r="A44" i="10" s="1"/>
  <c r="Y28" i="10"/>
  <c r="S28" i="10"/>
  <c r="K28" i="10"/>
  <c r="T31" i="10"/>
  <c r="F32" i="10"/>
  <c r="T32" i="10" s="1"/>
  <c r="U30" i="10"/>
  <c r="G31" i="10"/>
  <c r="T37" i="10"/>
  <c r="G37" i="10"/>
  <c r="F38" i="10"/>
  <c r="U27" i="10"/>
  <c r="G28" i="10"/>
  <c r="U28" i="10" s="1"/>
  <c r="C28" i="10"/>
  <c r="Q28" i="10" s="1"/>
  <c r="Q27" i="10"/>
  <c r="C31" i="10"/>
  <c r="Q30" i="10"/>
  <c r="U33" i="10"/>
  <c r="G34" i="10"/>
  <c r="Q33" i="10"/>
  <c r="C34" i="10"/>
  <c r="T34" i="10"/>
  <c r="F35" i="10"/>
  <c r="Y31" i="10"/>
  <c r="S31" i="10"/>
  <c r="E32" i="10"/>
  <c r="K31" i="10"/>
  <c r="F45" i="10" l="1"/>
  <c r="A49" i="10"/>
  <c r="E45" i="10"/>
  <c r="A46" i="10"/>
  <c r="A47" i="10" s="1"/>
  <c r="A48" i="10" s="1"/>
  <c r="G41" i="10"/>
  <c r="F42" i="10"/>
  <c r="T41" i="10"/>
  <c r="U37" i="10"/>
  <c r="G38" i="10"/>
  <c r="Q37" i="10"/>
  <c r="C38" i="10"/>
  <c r="C32" i="10"/>
  <c r="Q32" i="10" s="1"/>
  <c r="Q31" i="10"/>
  <c r="S41" i="10"/>
  <c r="K41" i="10"/>
  <c r="C41" i="10"/>
  <c r="E42" i="10"/>
  <c r="Y41" i="10"/>
  <c r="S38" i="10"/>
  <c r="K38" i="10"/>
  <c r="Y38" i="10"/>
  <c r="E39" i="10"/>
  <c r="T35" i="10"/>
  <c r="F36" i="10"/>
  <c r="T36" i="10" s="1"/>
  <c r="T38" i="10"/>
  <c r="F39" i="10"/>
  <c r="Q34" i="10"/>
  <c r="C35" i="10"/>
  <c r="U31" i="10"/>
  <c r="G32" i="10"/>
  <c r="U32" i="10" s="1"/>
  <c r="U34" i="10"/>
  <c r="G35" i="10"/>
  <c r="S35" i="10"/>
  <c r="K35" i="10"/>
  <c r="Y35" i="10"/>
  <c r="E36" i="10"/>
  <c r="Y32" i="10"/>
  <c r="S32" i="10"/>
  <c r="K32" i="10"/>
  <c r="Q38" i="10" l="1"/>
  <c r="C39" i="10"/>
  <c r="S39" i="10"/>
  <c r="K39" i="10"/>
  <c r="E40" i="10"/>
  <c r="Y39" i="10"/>
  <c r="U38" i="10"/>
  <c r="G39" i="10"/>
  <c r="U35" i="10"/>
  <c r="G36" i="10"/>
  <c r="U36" i="10" s="1"/>
  <c r="F43" i="10"/>
  <c r="T42" i="10"/>
  <c r="S36" i="10"/>
  <c r="K36" i="10"/>
  <c r="Y36" i="10"/>
  <c r="S42" i="10"/>
  <c r="K42" i="10"/>
  <c r="E43" i="10"/>
  <c r="Y42" i="10"/>
  <c r="G42" i="10"/>
  <c r="U41" i="10"/>
  <c r="Q41" i="10"/>
  <c r="C42" i="10"/>
  <c r="K45" i="10"/>
  <c r="E46" i="10"/>
  <c r="C45" i="10"/>
  <c r="S45" i="10"/>
  <c r="Y45" i="10"/>
  <c r="T39" i="10"/>
  <c r="F40" i="10"/>
  <c r="T40" i="10" s="1"/>
  <c r="F49" i="10"/>
  <c r="A53" i="10"/>
  <c r="E49" i="10"/>
  <c r="A50" i="10"/>
  <c r="A51" i="10" s="1"/>
  <c r="A52" i="10" s="1"/>
  <c r="Q35" i="10"/>
  <c r="C36" i="10"/>
  <c r="Q36" i="10" s="1"/>
  <c r="G45" i="10"/>
  <c r="F46" i="10"/>
  <c r="T45" i="10"/>
  <c r="Q42" i="10" l="1"/>
  <c r="C43" i="10"/>
  <c r="F44" i="10"/>
  <c r="T44" i="10" s="1"/>
  <c r="T43" i="10"/>
  <c r="E50" i="10"/>
  <c r="C49" i="10"/>
  <c r="Y49" i="10"/>
  <c r="S49" i="10"/>
  <c r="K49" i="10"/>
  <c r="A54" i="10"/>
  <c r="A55" i="10" s="1"/>
  <c r="A56" i="10" s="1"/>
  <c r="E53" i="10"/>
  <c r="F53" i="10"/>
  <c r="G43" i="10"/>
  <c r="U42" i="10"/>
  <c r="G40" i="10"/>
  <c r="U40" i="10" s="1"/>
  <c r="U39" i="10"/>
  <c r="F50" i="10"/>
  <c r="G49" i="10"/>
  <c r="T49" i="10"/>
  <c r="K43" i="10"/>
  <c r="E44" i="10"/>
  <c r="S43" i="10"/>
  <c r="Y43" i="10"/>
  <c r="S40" i="10"/>
  <c r="K40" i="10"/>
  <c r="Y40" i="10"/>
  <c r="C46" i="10"/>
  <c r="Q45" i="10"/>
  <c r="F47" i="10"/>
  <c r="T46" i="10"/>
  <c r="Q39" i="10"/>
  <c r="C40" i="10"/>
  <c r="Q40" i="10" s="1"/>
  <c r="G46" i="10"/>
  <c r="U45" i="10"/>
  <c r="K46" i="10"/>
  <c r="E47" i="10"/>
  <c r="Y46" i="10"/>
  <c r="S46" i="10"/>
  <c r="T53" i="10" l="1"/>
  <c r="F54" i="10"/>
  <c r="G53" i="10"/>
  <c r="E54" i="10"/>
  <c r="C53" i="10"/>
  <c r="Y53" i="10"/>
  <c r="S53" i="10"/>
  <c r="K53" i="10"/>
  <c r="C50" i="10"/>
  <c r="Q49" i="10"/>
  <c r="G50" i="10"/>
  <c r="U49" i="10"/>
  <c r="F48" i="10"/>
  <c r="T48" i="10" s="1"/>
  <c r="T47" i="10"/>
  <c r="F51" i="10"/>
  <c r="T50" i="10"/>
  <c r="E51" i="10"/>
  <c r="Y50" i="10"/>
  <c r="S50" i="10"/>
  <c r="K50" i="10"/>
  <c r="K44" i="10"/>
  <c r="Y44" i="10"/>
  <c r="S44" i="10"/>
  <c r="E48" i="10"/>
  <c r="Y47" i="10"/>
  <c r="K47" i="10"/>
  <c r="S47" i="10"/>
  <c r="G47" i="10"/>
  <c r="U46" i="10"/>
  <c r="C47" i="10"/>
  <c r="Q46" i="10"/>
  <c r="Q43" i="10"/>
  <c r="C44" i="10"/>
  <c r="Q44" i="10" s="1"/>
  <c r="G44" i="10"/>
  <c r="U44" i="10" s="1"/>
  <c r="U43" i="10"/>
  <c r="G51" i="10" l="1"/>
  <c r="U50" i="10"/>
  <c r="C51" i="10"/>
  <c r="Q50" i="10"/>
  <c r="C54" i="10"/>
  <c r="Q53" i="10"/>
  <c r="Y54" i="10"/>
  <c r="E55" i="10"/>
  <c r="K54" i="10"/>
  <c r="S54" i="10"/>
  <c r="Y48" i="10"/>
  <c r="S48" i="10"/>
  <c r="K48" i="10"/>
  <c r="C48" i="10"/>
  <c r="Q48" i="10" s="1"/>
  <c r="Q47" i="10"/>
  <c r="E52" i="10"/>
  <c r="Y51" i="10"/>
  <c r="S51" i="10"/>
  <c r="K51" i="10"/>
  <c r="F52" i="10"/>
  <c r="T52" i="10" s="1"/>
  <c r="T51" i="10"/>
  <c r="U53" i="10"/>
  <c r="G54" i="10"/>
  <c r="T54" i="10"/>
  <c r="F55" i="10"/>
  <c r="G48" i="10"/>
  <c r="U48" i="10" s="1"/>
  <c r="U47" i="10"/>
  <c r="C55" i="10" l="1"/>
  <c r="Q54" i="10"/>
  <c r="Y52" i="10"/>
  <c r="S52" i="10"/>
  <c r="K52" i="10"/>
  <c r="C52" i="10"/>
  <c r="Q52" i="10" s="1"/>
  <c r="Q51" i="10"/>
  <c r="U54" i="10"/>
  <c r="G55" i="10"/>
  <c r="Y55" i="10"/>
  <c r="S55" i="10"/>
  <c r="E56" i="10"/>
  <c r="K55" i="10"/>
  <c r="T55" i="10"/>
  <c r="F56" i="10"/>
  <c r="T56" i="10" s="1"/>
  <c r="U51" i="10"/>
  <c r="G52" i="10"/>
  <c r="U52" i="10" s="1"/>
  <c r="U55" i="10" l="1"/>
  <c r="G56" i="10"/>
  <c r="U56" i="10" s="1"/>
  <c r="Y56" i="10"/>
  <c r="S56" i="10"/>
  <c r="K56" i="10"/>
  <c r="C56" i="10"/>
  <c r="Q56" i="10" s="1"/>
  <c r="Q55" i="10"/>
</calcChain>
</file>

<file path=xl/sharedStrings.xml><?xml version="1.0" encoding="utf-8"?>
<sst xmlns="http://schemas.openxmlformats.org/spreadsheetml/2006/main" count="355" uniqueCount="168">
  <si>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</si>
  <si>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</si>
  <si>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</si>
  <si>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</si>
  <si>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</si>
  <si>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</si>
  <si>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</si>
  <si>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</si>
  <si>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</si>
  <si>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</si>
  <si>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</si>
  <si>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</si>
  <si>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</si>
  <si>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</si>
  <si>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</si>
  <si>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</si>
  <si>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</si>
  <si>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</si>
  <si>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</si>
  <si>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</si>
  <si>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</si>
  <si>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</si>
  <si>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</si>
  <si>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</si>
  <si>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</si>
  <si>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</si>
  <si>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</si>
  <si>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</si>
  <si>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</si>
  <si>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</si>
  <si>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</si>
  <si>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</si>
  <si>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</si>
  <si>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</si>
  <si>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</si>
  <si>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</si>
  <si>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</si>
  <si>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</si>
  <si>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</si>
  <si>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</si>
  <si>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</si>
  <si>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</si>
  <si>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</si>
  <si>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</si>
  <si>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</si>
  <si>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</si>
  <si>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</si>
  <si>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</si>
  <si>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</si>
  <si>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</si>
  <si>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</si>
  <si>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</si>
  <si>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</si>
  <si>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</si>
  <si>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</si>
  <si>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</si>
  <si>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</si>
  <si>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</si>
  <si>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</si>
  <si>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</si>
  <si>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</si>
  <si>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</si>
  <si>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</si>
  <si>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</si>
  <si>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</si>
  <si>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</si>
  <si>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</si>
  <si>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</si>
  <si>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</si>
  <si>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</si>
  <si>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</si>
  <si>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Sector</t>
  </si>
  <si>
    <t>Sub-sector</t>
  </si>
  <si>
    <t>Archetype</t>
  </si>
  <si>
    <t xml:space="preserve">Vintage </t>
  </si>
  <si>
    <t>End Use</t>
  </si>
  <si>
    <t>Technology</t>
  </si>
  <si>
    <t>Energy</t>
  </si>
  <si>
    <t>First Year</t>
  </si>
  <si>
    <t>Description</t>
  </si>
  <si>
    <t>Input Label</t>
  </si>
  <si>
    <t>Output Label</t>
  </si>
  <si>
    <t>Technology Label</t>
  </si>
  <si>
    <t>EFF</t>
  </si>
  <si>
    <t>CFA</t>
  </si>
  <si>
    <t>C2A</t>
  </si>
  <si>
    <t>CAPEX ($/kW)</t>
  </si>
  <si>
    <t>To include</t>
  </si>
  <si>
    <t>Industrial</t>
  </si>
  <si>
    <t>All Industries</t>
  </si>
  <si>
    <t>All end use</t>
  </si>
  <si>
    <t>Coal</t>
  </si>
  <si>
    <t>INDCOA</t>
  </si>
  <si>
    <t>INDAINDMD</t>
  </si>
  <si>
    <t>INDAINAEUCOA20</t>
  </si>
  <si>
    <t>Petcoke</t>
  </si>
  <si>
    <t>INDPCK</t>
  </si>
  <si>
    <t>INDAINAEUPCK20</t>
  </si>
  <si>
    <t>LPG</t>
  </si>
  <si>
    <t>INDLPG</t>
  </si>
  <si>
    <t>INDAINAEULPG20</t>
  </si>
  <si>
    <t>Fuel oil</t>
  </si>
  <si>
    <t>INDFOI</t>
  </si>
  <si>
    <t>INDAINAEUFOI20</t>
  </si>
  <si>
    <t>Natural gas</t>
  </si>
  <si>
    <t>INDNGA</t>
  </si>
  <si>
    <t>INDAINAEUNGA20</t>
  </si>
  <si>
    <t>RNG</t>
  </si>
  <si>
    <t>INDRNG</t>
  </si>
  <si>
    <t>INDAINAEURNG20</t>
  </si>
  <si>
    <t>Kerosene</t>
  </si>
  <si>
    <t>INDKER</t>
  </si>
  <si>
    <t>INDAINAEUKER20</t>
  </si>
  <si>
    <t>Gasoline</t>
  </si>
  <si>
    <t>INDGSL</t>
  </si>
  <si>
    <t>INDAINAEUGSL20</t>
  </si>
  <si>
    <t>Diesel</t>
  </si>
  <si>
    <t>INDDSL</t>
  </si>
  <si>
    <t>INDAINAEUDSL20</t>
  </si>
  <si>
    <t>Electricity</t>
  </si>
  <si>
    <t>INDELC</t>
  </si>
  <si>
    <t>INDAINAEUELC20</t>
  </si>
  <si>
    <t>Hydrogen</t>
  </si>
  <si>
    <t>INDH2G</t>
  </si>
  <si>
    <t>INDAINAEUH2G20</t>
  </si>
  <si>
    <t>*</t>
  </si>
  <si>
    <t>Retrofit</t>
  </si>
  <si>
    <t>INDRET</t>
  </si>
  <si>
    <t>INDAINAEURET20</t>
  </si>
  <si>
    <t>DEMAND (TJ)</t>
  </si>
  <si>
    <t>SPLIT (%)</t>
  </si>
  <si>
    <t>DEMAND EUSE (TJ)</t>
  </si>
  <si>
    <t>RESID (MW)</t>
  </si>
  <si>
    <t>INDAINAEUCOA19</t>
  </si>
  <si>
    <t>INDAINAEUPCK19</t>
  </si>
  <si>
    <t>INDAINAEULPG19</t>
  </si>
  <si>
    <t>INDAINAEUFOI19</t>
  </si>
  <si>
    <t>INDAINAEUNGA19</t>
  </si>
  <si>
    <t>INDAINAEURNG19</t>
  </si>
  <si>
    <t>INDAINAEUKER19</t>
  </si>
  <si>
    <t>Waste</t>
  </si>
  <si>
    <t>INDWAS</t>
  </si>
  <si>
    <t>INDAINAEUWAS19</t>
  </si>
  <si>
    <t>Wood biomass</t>
  </si>
  <si>
    <t>INDBIO</t>
  </si>
  <si>
    <t>INDAINAEUBIO19</t>
  </si>
  <si>
    <t>INDAINAEUGSL19</t>
  </si>
  <si>
    <t>INDAINAEUDSL19</t>
  </si>
  <si>
    <t>Steam</t>
  </si>
  <si>
    <t>INDSTM</t>
  </si>
  <si>
    <t>INDAINAEUSTM19</t>
  </si>
  <si>
    <t>INDAINAEUELC19</t>
  </si>
  <si>
    <t>Constraint number</t>
  </si>
  <si>
    <t>Count</t>
  </si>
  <si>
    <t>~UC_Sets: R_E: CITY</t>
  </si>
  <si>
    <t>~UC_T:UC_COMPRD</t>
  </si>
  <si>
    <t>UC_N</t>
  </si>
  <si>
    <t>Pset_PN</t>
  </si>
  <si>
    <t>Pset: CI</t>
  </si>
  <si>
    <t>Pset: CO</t>
  </si>
  <si>
    <t>Cset: CN</t>
  </si>
  <si>
    <t>LimType</t>
  </si>
  <si>
    <t>UC_FLO</t>
  </si>
  <si>
    <t>CITY</t>
  </si>
  <si>
    <t>UC_RHSRTS</t>
  </si>
  <si>
    <t>UC_RHSRTS~0</t>
  </si>
  <si>
    <t>LO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</si>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</sst>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0.0"/>
    <numFmt numFmtId="165" formatCode="_(* #,##0.000_);_(* \(#,##0.000\);_(* &quot;-&quot;??_);_(@_)"/>
    <numFmt numFmtId="166" formatCode="[$-409]mmm\-yy;@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b/>
      <sz val="9"/>
      <color rgb="FF0000FF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6"/>
      <name val="Calibri"/>
      <family val="2"/>
    </font>
    <font>
      <u/>
      <sz val="10"/>
      <color theme="4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Geneva"/>
    </font>
    <font>
      <sz val="10"/>
      <name val="Verdana"/>
      <family val="2"/>
    </font>
    <font>
      <u/>
      <sz val="10"/>
      <color indexed="12"/>
      <name val="Verdana"/>
      <family val="2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2"/>
      <color theme="1"/>
      <name val="Calibri"/>
      <family val="2"/>
      <scheme val="minor"/>
    </font>
    <font>
      <sz val="10"/>
      <name val="Courier"/>
      <family val="3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</borders>
  <cellStyleXfs count="52">
    <xf numFmtId="0" fontId="0" fillId="0" borderId="0"/>
    <xf numFmtId="43" fontId="1" fillId="0" borderId="0"/>
    <xf numFmtId="0" fontId="8" fillId="0" borderId="0"/>
    <xf numFmtId="0" fontId="8" fillId="0" borderId="0"/>
    <xf numFmtId="0" fontId="11" fillId="0" borderId="0">
      <alignment horizontal="left"/>
    </xf>
    <xf numFmtId="0" fontId="12" fillId="0" borderId="5">
      <alignment horizontal="left" wrapText="1"/>
    </xf>
    <xf numFmtId="0" fontId="12" fillId="0" borderId="4">
      <alignment wrapText="1"/>
    </xf>
    <xf numFmtId="0" fontId="13" fillId="0" borderId="6">
      <alignment wrapText="1"/>
    </xf>
    <xf numFmtId="0" fontId="12" fillId="0" borderId="7">
      <alignment wrapText="1"/>
    </xf>
    <xf numFmtId="0" fontId="13" fillId="0" borderId="8">
      <alignment vertical="top" wrapText="1"/>
    </xf>
    <xf numFmtId="0" fontId="10" fillId="11" borderId="0"/>
    <xf numFmtId="0" fontId="10" fillId="12" borderId="0"/>
    <xf numFmtId="0" fontId="10" fillId="13" borderId="0"/>
    <xf numFmtId="0" fontId="10" fillId="14" borderId="0"/>
    <xf numFmtId="0" fontId="10" fillId="15" borderId="0"/>
    <xf numFmtId="0" fontId="10" fillId="16" borderId="0"/>
    <xf numFmtId="0" fontId="14" fillId="0" borderId="0">
      <alignment vertical="top"/>
      <protection locked="0"/>
    </xf>
    <xf numFmtId="0" fontId="13" fillId="0" borderId="0"/>
    <xf numFmtId="0" fontId="13" fillId="0" borderId="0">
      <alignment vertical="top" wrapText="1"/>
    </xf>
    <xf numFmtId="0" fontId="15" fillId="0" borderId="0">
      <alignment vertical="top"/>
      <protection locked="0"/>
    </xf>
    <xf numFmtId="0" fontId="16" fillId="10" borderId="0"/>
    <xf numFmtId="0" fontId="8" fillId="0" borderId="0"/>
    <xf numFmtId="0" fontId="13" fillId="0" borderId="9">
      <alignment wrapText="1"/>
    </xf>
    <xf numFmtId="0" fontId="12" fillId="0" borderId="10">
      <alignment wrapText="1"/>
    </xf>
    <xf numFmtId="0" fontId="17" fillId="0" borderId="0"/>
    <xf numFmtId="0" fontId="18" fillId="0" borderId="0"/>
    <xf numFmtId="43" fontId="18" fillId="0" borderId="0"/>
    <xf numFmtId="0" fontId="19" fillId="0" borderId="0"/>
    <xf numFmtId="43" fontId="19" fillId="0" borderId="0"/>
    <xf numFmtId="0" fontId="20" fillId="0" borderId="0">
      <alignment vertical="top"/>
      <protection locked="0"/>
    </xf>
    <xf numFmtId="9" fontId="19" fillId="0" borderId="0"/>
    <xf numFmtId="0" fontId="8" fillId="0" borderId="0"/>
    <xf numFmtId="0" fontId="8" fillId="0" borderId="0"/>
    <xf numFmtId="0" fontId="19" fillId="0" borderId="0"/>
    <xf numFmtId="0" fontId="19" fillId="0" borderId="0"/>
    <xf numFmtId="0" fontId="8" fillId="0" borderId="0"/>
    <xf numFmtId="166" fontId="8" fillId="0" borderId="0"/>
    <xf numFmtId="43" fontId="8" fillId="0" borderId="0"/>
    <xf numFmtId="9" fontId="8" fillId="0" borderId="0"/>
    <xf numFmtId="0" fontId="8" fillId="0" borderId="0"/>
    <xf numFmtId="0" fontId="21" fillId="0" borderId="0">
      <alignment horizontal="left"/>
    </xf>
    <xf numFmtId="0" fontId="22" fillId="0" borderId="0"/>
    <xf numFmtId="0" fontId="23" fillId="0" borderId="11">
      <alignment wrapText="1"/>
    </xf>
    <xf numFmtId="0" fontId="23" fillId="0" borderId="12">
      <alignment wrapText="1"/>
    </xf>
    <xf numFmtId="0" fontId="22" fillId="0" borderId="13">
      <alignment wrapText="1"/>
    </xf>
    <xf numFmtId="0" fontId="24" fillId="0" borderId="0"/>
    <xf numFmtId="0" fontId="8" fillId="0" borderId="0"/>
    <xf numFmtId="0" fontId="1" fillId="0" borderId="0"/>
    <xf numFmtId="0" fontId="1" fillId="0" borderId="0"/>
    <xf numFmtId="9" fontId="8" fillId="0" borderId="0"/>
    <xf numFmtId="43" fontId="8" fillId="0" borderId="0"/>
    <xf numFmtId="0" fontId="25" fillId="0" borderId="0"/>
  </cellStyleXfs>
  <cellXfs count="29">
    <xf numFmtId="0" fontId="0" fillId="0" borderId="0" xfId="0"/>
    <xf numFmtId="0" fontId="3" fillId="2" borderId="0" xfId="0" applyFont="1" applyFill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0" borderId="0" xfId="0" applyNumberFormat="1"/>
    <xf numFmtId="0" fontId="5" fillId="0" borderId="0" xfId="0" applyFont="1"/>
    <xf numFmtId="0" fontId="6" fillId="0" borderId="0" xfId="0" applyFont="1"/>
    <xf numFmtId="0" fontId="7" fillId="8" borderId="1" xfId="0" applyFont="1" applyFill="1" applyBorder="1" applyAlignment="1">
      <alignment horizontal="center" vertical="center"/>
    </xf>
    <xf numFmtId="0" fontId="4" fillId="8" borderId="1" xfId="2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7" borderId="0" xfId="0" applyFont="1" applyFill="1"/>
    <xf numFmtId="0" fontId="0" fillId="7" borderId="0" xfId="0" applyFill="1"/>
    <xf numFmtId="0" fontId="9" fillId="7" borderId="0" xfId="3" applyFont="1" applyFill="1" applyAlignment="1">
      <alignment horizontal="left" vertical="center"/>
    </xf>
    <xf numFmtId="0" fontId="5" fillId="7" borderId="0" xfId="0" applyFont="1" applyFill="1"/>
    <xf numFmtId="0" fontId="5" fillId="7" borderId="2" xfId="0" applyFont="1" applyFill="1" applyBorder="1"/>
    <xf numFmtId="165" fontId="5" fillId="7" borderId="0" xfId="1" applyNumberFormat="1" applyFont="1" applyFill="1"/>
    <xf numFmtId="0" fontId="5" fillId="9" borderId="0" xfId="0" applyFont="1" applyFill="1"/>
    <xf numFmtId="0" fontId="5" fillId="0" borderId="3" xfId="0" applyFont="1" applyBorder="1"/>
    <xf numFmtId="0" fontId="7" fillId="7" borderId="3" xfId="0" applyFont="1" applyFill="1" applyBorder="1"/>
    <xf numFmtId="0" fontId="0" fillId="7" borderId="3" xfId="0" applyFill="1" applyBorder="1"/>
    <xf numFmtId="0" fontId="9" fillId="7" borderId="3" xfId="3" applyFont="1" applyFill="1" applyBorder="1" applyAlignment="1">
      <alignment horizontal="left" vertical="center"/>
    </xf>
    <xf numFmtId="0" fontId="5" fillId="7" borderId="3" xfId="0" applyFont="1" applyFill="1" applyBorder="1"/>
    <xf numFmtId="165" fontId="5" fillId="7" borderId="3" xfId="1" applyNumberFormat="1" applyFont="1" applyFill="1" applyBorder="1"/>
    <xf numFmtId="0" fontId="5" fillId="9" borderId="3" xfId="0" applyFont="1" applyFill="1" applyBorder="1"/>
  </cellXfs>
  <cellStyles count="52">
    <cellStyle name="60% - Accent1 2" xfId="10" xr:uid="{00000000-0005-0000-0000-00000A000000}"/>
    <cellStyle name="60% - Accent2 2" xfId="11" xr:uid="{00000000-0005-0000-0000-00000B000000}"/>
    <cellStyle name="60% - Accent3 2" xfId="12" xr:uid="{00000000-0005-0000-0000-00000C000000}"/>
    <cellStyle name="60% - Accent4 2" xfId="13" xr:uid="{00000000-0005-0000-0000-00000D000000}"/>
    <cellStyle name="60% - Accent5 2" xfId="14" xr:uid="{00000000-0005-0000-0000-00000E000000}"/>
    <cellStyle name="60% - Accent6 2" xfId="15" xr:uid="{00000000-0005-0000-0000-00000F000000}"/>
    <cellStyle name="Body: normal cell" xfId="7" xr:uid="{00000000-0005-0000-0000-000007000000}"/>
    <cellStyle name="Body: normal cell 2" xfId="44" xr:uid="{00000000-0005-0000-0000-00002C000000}"/>
    <cellStyle name="Comma" xfId="1" builtinId="3"/>
    <cellStyle name="Comma 10" xfId="50" xr:uid="{00000000-0005-0000-0000-000032000000}"/>
    <cellStyle name="Comma 2" xfId="26" xr:uid="{00000000-0005-0000-0000-00001A000000}"/>
    <cellStyle name="Comma 3" xfId="28" xr:uid="{00000000-0005-0000-0000-00001C000000}"/>
    <cellStyle name="Comma 4" xfId="37" xr:uid="{00000000-0005-0000-0000-000025000000}"/>
    <cellStyle name="Followed Hyperlink 2" xfId="16" xr:uid="{00000000-0005-0000-0000-000010000000}"/>
    <cellStyle name="Font: Calibri, 9pt regular" xfId="17" xr:uid="{00000000-0005-0000-0000-000011000000}"/>
    <cellStyle name="Font: Calibri, 9pt regular 2" xfId="41" xr:uid="{00000000-0005-0000-0000-000029000000}"/>
    <cellStyle name="Footnotes: all except top row" xfId="18" xr:uid="{00000000-0005-0000-0000-000012000000}"/>
    <cellStyle name="Footnotes: top row" xfId="9" xr:uid="{00000000-0005-0000-0000-000009000000}"/>
    <cellStyle name="Header: bottom row" xfId="6" xr:uid="{00000000-0005-0000-0000-000006000000}"/>
    <cellStyle name="Header: bottom row 2" xfId="42" xr:uid="{00000000-0005-0000-0000-00002A000000}"/>
    <cellStyle name="Header: top rows" xfId="5" xr:uid="{00000000-0005-0000-0000-000005000000}"/>
    <cellStyle name="Hyperlink 2" xfId="19" xr:uid="{00000000-0005-0000-0000-000013000000}"/>
    <cellStyle name="Hyperlink 3" xfId="29" xr:uid="{00000000-0005-0000-0000-00001D000000}"/>
    <cellStyle name="Neutral 2" xfId="20" xr:uid="{00000000-0005-0000-0000-000014000000}"/>
    <cellStyle name="Normal" xfId="0" builtinId="0"/>
    <cellStyle name="Normal 10" xfId="2" xr:uid="{00000000-0005-0000-0000-000002000000}"/>
    <cellStyle name="Normal 10 2" xfId="3" xr:uid="{00000000-0005-0000-0000-000003000000}"/>
    <cellStyle name="Normal 10 2 2 3" xfId="48" xr:uid="{00000000-0005-0000-0000-000030000000}"/>
    <cellStyle name="Normal 10 3" xfId="32" xr:uid="{00000000-0005-0000-0000-000020000000}"/>
    <cellStyle name="Normal 128" xfId="34" xr:uid="{00000000-0005-0000-0000-000022000000}"/>
    <cellStyle name="Normal 153" xfId="31" xr:uid="{00000000-0005-0000-0000-00001F000000}"/>
    <cellStyle name="Normal 2" xfId="21" xr:uid="{00000000-0005-0000-0000-000015000000}"/>
    <cellStyle name="Normal 2 2 2 3" xfId="35" xr:uid="{00000000-0005-0000-0000-000023000000}"/>
    <cellStyle name="Normal 2 3" xfId="51" xr:uid="{00000000-0005-0000-0000-000033000000}"/>
    <cellStyle name="Normal 3" xfId="25" xr:uid="{00000000-0005-0000-0000-000019000000}"/>
    <cellStyle name="Normal 3 2" xfId="33" xr:uid="{00000000-0005-0000-0000-000021000000}"/>
    <cellStyle name="Normal 4" xfId="27" xr:uid="{00000000-0005-0000-0000-00001B000000}"/>
    <cellStyle name="Normal 4 2" xfId="39" xr:uid="{00000000-0005-0000-0000-000027000000}"/>
    <cellStyle name="Normal 5" xfId="45" xr:uid="{00000000-0005-0000-0000-00002D000000}"/>
    <cellStyle name="Normal 6" xfId="46" xr:uid="{00000000-0005-0000-0000-00002E000000}"/>
    <cellStyle name="Normal 8" xfId="36" xr:uid="{00000000-0005-0000-0000-000024000000}"/>
    <cellStyle name="Normal 9" xfId="47" xr:uid="{00000000-0005-0000-0000-00002F000000}"/>
    <cellStyle name="Parent row" xfId="8" xr:uid="{00000000-0005-0000-0000-000008000000}"/>
    <cellStyle name="Parent row 2" xfId="43" xr:uid="{00000000-0005-0000-0000-00002B000000}"/>
    <cellStyle name="Percent 10" xfId="49" xr:uid="{00000000-0005-0000-0000-000031000000}"/>
    <cellStyle name="Percent 2" xfId="30" xr:uid="{00000000-0005-0000-0000-00001E000000}"/>
    <cellStyle name="Percent 3" xfId="38" xr:uid="{00000000-0005-0000-0000-000026000000}"/>
    <cellStyle name="Section Break" xfId="22" xr:uid="{00000000-0005-0000-0000-000016000000}"/>
    <cellStyle name="Section Break: parent row" xfId="23" xr:uid="{00000000-0005-0000-0000-000017000000}"/>
    <cellStyle name="Table title" xfId="4" xr:uid="{00000000-0005-0000-0000-000004000000}"/>
    <cellStyle name="Table title 2" xfId="40" xr:uid="{00000000-0005-0000-0000-000028000000}"/>
    <cellStyle name="Title 2" xfId="24" xr:uid="{00000000-0005-0000-0000-000018000000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E23" sqref="E23"/>
    </sheetView>
  </sheetViews>
  <sheetFormatPr defaultColWidth="8.85546875" defaultRowHeight="15"/>
  <cols>
    <col min="1" max="20" width="8.85546875" style="2" customWidth="1"/>
    <col min="21" max="16384" width="8.85546875" style="2"/>
  </cols>
  <sheetData>
    <row r="1" spans="1:3" s="1" customFormat="1" ht="23.45" customHeight="1">
      <c r="A1" s="1" t="s">
        <v>0</v>
      </c>
    </row>
    <row r="2" spans="1:3" s="1" customFormat="1" ht="23.45" customHeight="1"/>
    <row r="3" spans="1:3">
      <c r="B3" s="3" t="s">
        <v>1</v>
      </c>
    </row>
    <row r="4" spans="1:3">
      <c r="B4" s="4"/>
      <c r="C4" s="2" t="s">
        <v>2</v>
      </c>
    </row>
    <row r="6" spans="1:3">
      <c r="B6" s="5"/>
      <c r="C6" s="2" t="s">
        <v>3</v>
      </c>
    </row>
    <row r="8" spans="1:3">
      <c r="B8" s="6"/>
      <c r="C8" s="2" t="s">
        <v>4</v>
      </c>
    </row>
    <row r="10" spans="1:3">
      <c r="B10" s="7"/>
      <c r="C1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E23" sqref="E23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E23" sqref="E23"/>
    </sheetView>
  </sheetViews>
  <sheetFormatPr defaultColWidth="8.85546875" defaultRowHeight="15"/>
  <cols>
    <col min="1" max="1" width="8.85546875" style="2" customWidth="1"/>
    <col min="2" max="2" width="47.7109375" style="2" customWidth="1"/>
    <col min="3" max="3" width="26.140625" style="2" customWidth="1"/>
    <col min="4" max="4" width="14.42578125" style="2" customWidth="1"/>
    <col min="5" max="13" width="10.85546875" style="2" customWidth="1"/>
    <col min="14" max="33" width="8.85546875" style="2" customWidth="1"/>
    <col min="34" max="16384" width="8.85546875" style="2"/>
  </cols>
  <sheetData>
    <row r="2" spans="2:4" ht="18" customHeight="1" thickBot="1">
      <c r="B2" t="s">
        <v>6</v>
      </c>
    </row>
    <row r="3" spans="2:4" ht="15" customHeight="1" thickTop="1"/>
    <row r="4" spans="2:4" ht="15" customHeight="1" thickBot="1">
      <c r="B4" t="s">
        <v>7</v>
      </c>
      <c r="C4" t="s">
        <v>8</v>
      </c>
    </row>
    <row r="6" spans="2:4">
      <c r="B6" t="s">
        <v>9</v>
      </c>
    </row>
    <row r="7" spans="2:4" ht="15" customHeight="1" thickBot="1">
      <c r="B7" t="s">
        <v>10</v>
      </c>
      <c r="C7" t="s">
        <v>11</v>
      </c>
      <c r="D7" t="s">
        <v>12</v>
      </c>
    </row>
    <row r="8" spans="2:4">
      <c r="B8" t="s">
        <v>13</v>
      </c>
      <c r="C8" t="s">
        <v>14</v>
      </c>
    </row>
    <row r="9" spans="2:4">
      <c r="B9" t="s">
        <v>15</v>
      </c>
      <c r="C9">
        <v>40.5</v>
      </c>
    </row>
    <row r="10" spans="2:4">
      <c r="B10" t="s">
        <v>16</v>
      </c>
      <c r="C10">
        <v>-75</v>
      </c>
    </row>
    <row r="11" spans="2:4">
      <c r="B11" t="s">
        <v>17</v>
      </c>
      <c r="C11" t="s">
        <v>18</v>
      </c>
    </row>
    <row r="12" spans="2:4">
      <c r="B12" t="s">
        <v>19</v>
      </c>
      <c r="C12" t="s">
        <v>14</v>
      </c>
    </row>
    <row r="13" spans="2:4">
      <c r="B13" t="s">
        <v>20</v>
      </c>
      <c r="C13" t="s">
        <v>21</v>
      </c>
    </row>
    <row r="14" spans="2:4">
      <c r="B14" t="s">
        <v>22</v>
      </c>
      <c r="C14" t="s">
        <v>23</v>
      </c>
    </row>
    <row r="15" spans="2:4">
      <c r="B15" t="s">
        <v>24</v>
      </c>
      <c r="C15" t="s">
        <v>25</v>
      </c>
    </row>
    <row r="16" spans="2:4">
      <c r="B16" t="s">
        <v>26</v>
      </c>
      <c r="C16">
        <v>778</v>
      </c>
      <c r="D16" t="s">
        <v>27</v>
      </c>
    </row>
    <row r="17" spans="2:4">
      <c r="B17" t="s">
        <v>28</v>
      </c>
    </row>
    <row r="18" spans="2:4">
      <c r="B18" t="s">
        <v>29</v>
      </c>
    </row>
    <row r="19" spans="2:4" ht="15" customHeight="1" thickBot="1">
      <c r="B19" t="s">
        <v>30</v>
      </c>
      <c r="C19" t="s">
        <v>11</v>
      </c>
      <c r="D19" t="s">
        <v>12</v>
      </c>
    </row>
    <row r="20" spans="2:4">
      <c r="B20" t="s">
        <v>31</v>
      </c>
      <c r="C20">
        <v>2019</v>
      </c>
      <c r="D20" t="s">
        <v>32</v>
      </c>
    </row>
    <row r="21" spans="2:4">
      <c r="B21" t="s">
        <v>33</v>
      </c>
      <c r="C21">
        <v>2050</v>
      </c>
    </row>
    <row r="23" spans="2:4">
      <c r="B23" t="s">
        <v>34</v>
      </c>
    </row>
    <row r="24" spans="2:4" ht="15" customHeight="1" thickBot="1">
      <c r="B24" t="s">
        <v>10</v>
      </c>
      <c r="C24" t="s">
        <v>11</v>
      </c>
      <c r="D24" t="s">
        <v>12</v>
      </c>
    </row>
    <row r="25" spans="2:4">
      <c r="B25" t="s">
        <v>35</v>
      </c>
      <c r="C25">
        <v>8337</v>
      </c>
      <c r="D25" t="s">
        <v>36</v>
      </c>
    </row>
    <row r="26" spans="2:4">
      <c r="B26" t="s">
        <v>37</v>
      </c>
      <c r="C26">
        <v>0.5</v>
      </c>
      <c r="D26" t="s">
        <v>38</v>
      </c>
    </row>
    <row r="27" spans="2:4">
      <c r="B27" t="s">
        <v>39</v>
      </c>
      <c r="C27">
        <v>1206000</v>
      </c>
      <c r="D27" t="s">
        <v>40</v>
      </c>
    </row>
    <row r="28" spans="2:4">
      <c r="B28" t="s">
        <v>41</v>
      </c>
      <c r="C28">
        <v>2</v>
      </c>
      <c r="D28" t="s">
        <v>42</v>
      </c>
    </row>
    <row r="29" spans="2:4">
      <c r="B29" t="s">
        <v>43</v>
      </c>
      <c r="C29">
        <v>5</v>
      </c>
      <c r="D29" t="s">
        <v>42</v>
      </c>
    </row>
    <row r="30" spans="2:4">
      <c r="B30" t="s">
        <v>44</v>
      </c>
      <c r="C30">
        <v>0.42835123053999902</v>
      </c>
    </row>
    <row r="31" spans="2:4">
      <c r="B31" t="s">
        <v>45</v>
      </c>
      <c r="C31">
        <v>0.67251771953144812</v>
      </c>
    </row>
    <row r="32" spans="2:4">
      <c r="B32" t="s">
        <v>46</v>
      </c>
      <c r="C32">
        <v>1.063829787234043</v>
      </c>
    </row>
    <row r="34" spans="2:6">
      <c r="B34" t="s">
        <v>47</v>
      </c>
    </row>
    <row r="35" spans="2:6" ht="15" customHeight="1" thickBot="1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>
      <c r="B39" t="s">
        <v>10</v>
      </c>
      <c r="C39" t="s">
        <v>11</v>
      </c>
      <c r="D39" t="s">
        <v>12</v>
      </c>
    </row>
    <row r="40" spans="2:6">
      <c r="B40" t="s">
        <v>51</v>
      </c>
      <c r="C40">
        <v>0.72727402048447432</v>
      </c>
    </row>
    <row r="41" spans="2:6">
      <c r="B41" t="s">
        <v>52</v>
      </c>
      <c r="C41">
        <v>1.558371501272265</v>
      </c>
    </row>
    <row r="42" spans="2:6">
      <c r="B42" t="s">
        <v>53</v>
      </c>
      <c r="C42">
        <v>762</v>
      </c>
      <c r="D42" t="s">
        <v>54</v>
      </c>
    </row>
    <row r="43" spans="2:6">
      <c r="B43" t="s">
        <v>55</v>
      </c>
      <c r="C43" t="s">
        <v>56</v>
      </c>
    </row>
    <row r="44" spans="2:6">
      <c r="B44" t="s">
        <v>57</v>
      </c>
      <c r="C44">
        <v>1.461785714285714</v>
      </c>
      <c r="D44" t="s">
        <v>49</v>
      </c>
    </row>
    <row r="45" spans="2:6">
      <c r="B45" t="s">
        <v>58</v>
      </c>
      <c r="C45">
        <v>3.13</v>
      </c>
      <c r="D45" t="s">
        <v>49</v>
      </c>
    </row>
    <row r="46" spans="2:6">
      <c r="B46" t="s">
        <v>59</v>
      </c>
      <c r="C46">
        <v>4.37</v>
      </c>
      <c r="D46" t="s">
        <v>49</v>
      </c>
    </row>
    <row r="47" spans="2:6">
      <c r="B47" t="s">
        <v>60</v>
      </c>
    </row>
    <row r="48" spans="2:6">
      <c r="B48" t="s">
        <v>61</v>
      </c>
    </row>
    <row r="49" spans="2:4" ht="15" customHeight="1" thickBot="1">
      <c r="B49" t="s">
        <v>10</v>
      </c>
      <c r="C49" t="s">
        <v>11</v>
      </c>
      <c r="D49" t="s">
        <v>12</v>
      </c>
    </row>
    <row r="50" spans="2:4">
      <c r="B50" t="s">
        <v>62</v>
      </c>
      <c r="C50" t="s">
        <v>63</v>
      </c>
    </row>
    <row r="51" spans="2:4">
      <c r="B51" t="s">
        <v>64</v>
      </c>
      <c r="C51" t="s">
        <v>65</v>
      </c>
    </row>
    <row r="52" spans="2:4">
      <c r="B52" t="s">
        <v>66</v>
      </c>
      <c r="C52" t="s">
        <v>67</v>
      </c>
    </row>
    <row r="53" spans="2:4">
      <c r="B53" t="s">
        <v>68</v>
      </c>
      <c r="C53" t="s">
        <v>69</v>
      </c>
    </row>
    <row r="54" spans="2:4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J13" sqref="J13:J14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W15"/>
  <sheetViews>
    <sheetView zoomScale="85" zoomScaleNormal="85" workbookViewId="0">
      <selection activeCell="L9" sqref="L9"/>
    </sheetView>
  </sheetViews>
  <sheetFormatPr defaultRowHeight="15"/>
  <cols>
    <col min="1" max="1" width="9.85546875" bestFit="1" customWidth="1"/>
    <col min="2" max="2" width="9.7109375" bestFit="1" customWidth="1"/>
    <col min="3" max="3" width="19.140625" bestFit="1" customWidth="1"/>
    <col min="4" max="4" width="7.5703125" bestFit="1" customWidth="1"/>
    <col min="5" max="5" width="14.28515625" bestFit="1" customWidth="1"/>
    <col min="6" max="6" width="18.42578125" bestFit="1" customWidth="1"/>
    <col min="7" max="7" width="11.7109375" bestFit="1" customWidth="1"/>
    <col min="8" max="8" width="10.28515625" customWidth="1"/>
    <col min="9" max="9" width="20.85546875" bestFit="1" customWidth="1"/>
    <col min="10" max="10" width="25.42578125" bestFit="1" customWidth="1"/>
    <col min="11" max="11" width="14" style="8" customWidth="1"/>
    <col min="12" max="12" width="17.42578125" style="8" bestFit="1" customWidth="1"/>
    <col min="13" max="18" width="14" style="8" customWidth="1"/>
    <col min="19" max="20" width="17.28515625" customWidth="1"/>
    <col min="21" max="23" width="14" style="8" customWidth="1"/>
    <col min="24" max="24" width="11.85546875" bestFit="1" customWidth="1"/>
  </cols>
  <sheetData>
    <row r="2" spans="1:17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</row>
    <row r="3" spans="1:17">
      <c r="A3" t="s">
        <v>88</v>
      </c>
      <c r="B3" t="s">
        <v>89</v>
      </c>
      <c r="E3" t="s">
        <v>90</v>
      </c>
      <c r="G3" t="s">
        <v>91</v>
      </c>
      <c r="J3" t="s">
        <v>92</v>
      </c>
      <c r="K3" t="s">
        <v>93</v>
      </c>
      <c r="L3" t="s">
        <v>94</v>
      </c>
      <c r="M3">
        <v>1</v>
      </c>
      <c r="N3">
        <v>0.9</v>
      </c>
      <c r="O3">
        <v>31.536000000000001</v>
      </c>
      <c r="P3">
        <v>1000</v>
      </c>
      <c r="Q3">
        <v>1</v>
      </c>
    </row>
    <row r="4" spans="1:17">
      <c r="A4" t="s">
        <v>88</v>
      </c>
      <c r="B4" t="s">
        <v>89</v>
      </c>
      <c r="E4" t="s">
        <v>90</v>
      </c>
      <c r="G4" t="s">
        <v>95</v>
      </c>
      <c r="J4" t="s">
        <v>96</v>
      </c>
      <c r="K4" t="s">
        <v>93</v>
      </c>
      <c r="L4" t="s">
        <v>97</v>
      </c>
      <c r="M4">
        <v>1</v>
      </c>
      <c r="N4">
        <v>0.9</v>
      </c>
      <c r="O4">
        <v>31.536000000000001</v>
      </c>
      <c r="P4">
        <v>1000</v>
      </c>
      <c r="Q4">
        <v>1</v>
      </c>
    </row>
    <row r="5" spans="1:17">
      <c r="A5" t="s">
        <v>88</v>
      </c>
      <c r="B5" t="s">
        <v>89</v>
      </c>
      <c r="E5" t="s">
        <v>90</v>
      </c>
      <c r="G5" t="s">
        <v>98</v>
      </c>
      <c r="J5" t="s">
        <v>99</v>
      </c>
      <c r="K5" t="s">
        <v>93</v>
      </c>
      <c r="L5" t="s">
        <v>100</v>
      </c>
      <c r="M5">
        <v>1</v>
      </c>
      <c r="N5">
        <v>0.9</v>
      </c>
      <c r="O5">
        <v>31.536000000000001</v>
      </c>
      <c r="P5">
        <v>1000</v>
      </c>
      <c r="Q5">
        <v>1</v>
      </c>
    </row>
    <row r="6" spans="1:17">
      <c r="A6" t="s">
        <v>88</v>
      </c>
      <c r="B6" t="s">
        <v>89</v>
      </c>
      <c r="E6" t="s">
        <v>90</v>
      </c>
      <c r="G6" t="s">
        <v>101</v>
      </c>
      <c r="J6" t="s">
        <v>102</v>
      </c>
      <c r="K6" t="s">
        <v>93</v>
      </c>
      <c r="L6" t="s">
        <v>103</v>
      </c>
      <c r="M6">
        <v>1</v>
      </c>
      <c r="N6">
        <v>0.9</v>
      </c>
      <c r="O6">
        <v>31.536000000000001</v>
      </c>
      <c r="P6">
        <v>1000</v>
      </c>
      <c r="Q6">
        <v>1</v>
      </c>
    </row>
    <row r="7" spans="1:17">
      <c r="A7" t="s">
        <v>88</v>
      </c>
      <c r="B7" t="s">
        <v>89</v>
      </c>
      <c r="E7" t="s">
        <v>90</v>
      </c>
      <c r="G7" t="s">
        <v>104</v>
      </c>
      <c r="J7" t="s">
        <v>105</v>
      </c>
      <c r="K7" t="s">
        <v>93</v>
      </c>
      <c r="L7" t="s">
        <v>106</v>
      </c>
      <c r="M7">
        <v>1</v>
      </c>
      <c r="N7">
        <v>0.9</v>
      </c>
      <c r="O7">
        <v>31.536000000000001</v>
      </c>
      <c r="P7">
        <v>1000</v>
      </c>
      <c r="Q7">
        <v>1</v>
      </c>
    </row>
    <row r="8" spans="1:17">
      <c r="A8" t="s">
        <v>88</v>
      </c>
      <c r="B8" t="s">
        <v>89</v>
      </c>
      <c r="E8" t="s">
        <v>90</v>
      </c>
      <c r="G8" t="s">
        <v>107</v>
      </c>
      <c r="J8" t="s">
        <v>108</v>
      </c>
      <c r="K8" t="s">
        <v>93</v>
      </c>
      <c r="L8" t="s">
        <v>109</v>
      </c>
      <c r="M8">
        <v>1</v>
      </c>
      <c r="N8">
        <v>0.9</v>
      </c>
      <c r="O8">
        <v>31.536000000000001</v>
      </c>
      <c r="P8">
        <v>1000</v>
      </c>
      <c r="Q8">
        <v>1</v>
      </c>
    </row>
    <row r="9" spans="1:17">
      <c r="A9" t="s">
        <v>88</v>
      </c>
      <c r="B9" t="s">
        <v>89</v>
      </c>
      <c r="E9" t="s">
        <v>90</v>
      </c>
      <c r="G9" t="s">
        <v>110</v>
      </c>
      <c r="J9" t="s">
        <v>111</v>
      </c>
      <c r="K9" t="s">
        <v>93</v>
      </c>
      <c r="L9" t="s">
        <v>112</v>
      </c>
      <c r="M9">
        <v>1</v>
      </c>
      <c r="N9">
        <v>0.9</v>
      </c>
      <c r="O9">
        <v>31.536000000000001</v>
      </c>
      <c r="P9">
        <v>1000</v>
      </c>
      <c r="Q9">
        <v>1</v>
      </c>
    </row>
    <row r="10" spans="1:17">
      <c r="A10" t="s">
        <v>88</v>
      </c>
      <c r="B10" t="s">
        <v>89</v>
      </c>
      <c r="E10" t="s">
        <v>90</v>
      </c>
      <c r="G10" t="s">
        <v>113</v>
      </c>
      <c r="J10" t="s">
        <v>114</v>
      </c>
      <c r="K10" t="s">
        <v>93</v>
      </c>
      <c r="L10" t="s">
        <v>115</v>
      </c>
      <c r="M10">
        <v>1</v>
      </c>
      <c r="N10">
        <v>0.9</v>
      </c>
      <c r="O10">
        <v>31.536000000000001</v>
      </c>
      <c r="P10">
        <v>1000</v>
      </c>
      <c r="Q10">
        <v>1</v>
      </c>
    </row>
    <row r="11" spans="1:17">
      <c r="A11" t="s">
        <v>88</v>
      </c>
      <c r="B11" t="s">
        <v>89</v>
      </c>
      <c r="E11" t="s">
        <v>90</v>
      </c>
      <c r="G11" t="s">
        <v>116</v>
      </c>
      <c r="J11" t="s">
        <v>117</v>
      </c>
      <c r="K11" t="s">
        <v>93</v>
      </c>
      <c r="L11" t="s">
        <v>118</v>
      </c>
      <c r="M11">
        <v>1</v>
      </c>
      <c r="N11">
        <v>0.9</v>
      </c>
      <c r="O11">
        <v>31.536000000000001</v>
      </c>
      <c r="P11">
        <v>1000</v>
      </c>
      <c r="Q11">
        <v>1</v>
      </c>
    </row>
    <row r="12" spans="1:17">
      <c r="A12" t="s">
        <v>88</v>
      </c>
      <c r="B12" t="s">
        <v>89</v>
      </c>
      <c r="E12" t="s">
        <v>90</v>
      </c>
      <c r="G12" t="s">
        <v>119</v>
      </c>
      <c r="J12" t="s">
        <v>120</v>
      </c>
      <c r="K12" t="s">
        <v>93</v>
      </c>
      <c r="L12" t="s">
        <v>121</v>
      </c>
      <c r="M12">
        <v>1</v>
      </c>
      <c r="N12">
        <v>0.9</v>
      </c>
      <c r="O12">
        <v>31.536000000000001</v>
      </c>
      <c r="P12">
        <v>1000</v>
      </c>
      <c r="Q12">
        <v>1</v>
      </c>
    </row>
    <row r="13" spans="1:17">
      <c r="A13" t="s">
        <v>88</v>
      </c>
      <c r="B13" t="s">
        <v>89</v>
      </c>
      <c r="E13" t="s">
        <v>90</v>
      </c>
      <c r="G13" t="s">
        <v>122</v>
      </c>
      <c r="J13" t="s">
        <v>123</v>
      </c>
      <c r="K13" t="s">
        <v>93</v>
      </c>
      <c r="L13" t="s">
        <v>124</v>
      </c>
      <c r="M13">
        <v>1</v>
      </c>
      <c r="N13">
        <v>0.9</v>
      </c>
      <c r="O13">
        <v>31.536000000000001</v>
      </c>
      <c r="P13">
        <v>1000</v>
      </c>
      <c r="Q13">
        <v>1</v>
      </c>
    </row>
    <row r="14" spans="1:17">
      <c r="A14" t="s">
        <v>125</v>
      </c>
      <c r="L14" t="s">
        <v>125</v>
      </c>
      <c r="Q14" t="s">
        <v>125</v>
      </c>
    </row>
    <row r="15" spans="1:17">
      <c r="A15" t="s">
        <v>88</v>
      </c>
      <c r="B15" t="s">
        <v>89</v>
      </c>
      <c r="E15" t="s">
        <v>90</v>
      </c>
      <c r="G15" t="s">
        <v>126</v>
      </c>
      <c r="J15" t="s">
        <v>127</v>
      </c>
      <c r="K15" t="s">
        <v>93</v>
      </c>
      <c r="L15" t="s">
        <v>128</v>
      </c>
      <c r="M15">
        <v>1</v>
      </c>
      <c r="N15">
        <v>0.9</v>
      </c>
      <c r="O15">
        <v>31.536000000000001</v>
      </c>
      <c r="P15">
        <v>10000</v>
      </c>
      <c r="Q1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4"/>
  <sheetViews>
    <sheetView workbookViewId="0">
      <selection activeCell="A13" sqref="A13:XFD13"/>
    </sheetView>
  </sheetViews>
  <sheetFormatPr defaultRowHeight="15"/>
  <cols>
    <col min="1" max="1" width="8.5703125" bestFit="1" customWidth="1"/>
    <col min="2" max="2" width="11.28515625" bestFit="1" customWidth="1"/>
    <col min="3" max="3" width="9.28515625" bestFit="1" customWidth="1"/>
    <col min="4" max="4" width="7.5703125" bestFit="1" customWidth="1"/>
    <col min="5" max="5" width="9.7109375" bestFit="1" customWidth="1"/>
    <col min="6" max="6" width="10.28515625" bestFit="1" customWidth="1"/>
    <col min="7" max="7" width="14.140625" bestFit="1" customWidth="1"/>
    <col min="8" max="8" width="10.85546875" bestFit="1" customWidth="1"/>
    <col min="9" max="9" width="12.42578125" bestFit="1" customWidth="1"/>
    <col min="10" max="10" width="16.42578125" bestFit="1" customWidth="1"/>
    <col min="11" max="11" width="12.5703125" bestFit="1" customWidth="1"/>
    <col min="12" max="12" width="12" bestFit="1" customWidth="1"/>
    <col min="13" max="13" width="17.5703125" bestFit="1" customWidth="1"/>
    <col min="14" max="14" width="12" bestFit="1" customWidth="1"/>
    <col min="15" max="15" width="4.140625" bestFit="1" customWidth="1"/>
    <col min="16" max="16" width="7" bestFit="1" customWidth="1"/>
  </cols>
  <sheetData>
    <row r="1" spans="1:16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80</v>
      </c>
      <c r="I1" t="s">
        <v>81</v>
      </c>
      <c r="J1" t="s">
        <v>82</v>
      </c>
      <c r="K1" t="s">
        <v>129</v>
      </c>
      <c r="L1" t="s">
        <v>130</v>
      </c>
      <c r="M1" t="s">
        <v>131</v>
      </c>
      <c r="N1" t="s">
        <v>132</v>
      </c>
      <c r="O1" t="s">
        <v>84</v>
      </c>
      <c r="P1" t="s">
        <v>85</v>
      </c>
    </row>
    <row r="2" spans="1:16">
      <c r="A2" t="s">
        <v>88</v>
      </c>
      <c r="B2" t="s">
        <v>89</v>
      </c>
      <c r="E2" t="s">
        <v>90</v>
      </c>
      <c r="G2" t="s">
        <v>91</v>
      </c>
      <c r="H2" t="s">
        <v>92</v>
      </c>
      <c r="I2" t="s">
        <v>93</v>
      </c>
      <c r="J2" t="s">
        <v>133</v>
      </c>
      <c r="K2">
        <v>66716.460830940399</v>
      </c>
      <c r="L2">
        <v>0</v>
      </c>
      <c r="M2">
        <v>0</v>
      </c>
      <c r="N2">
        <v>0</v>
      </c>
      <c r="O2">
        <v>0.9</v>
      </c>
      <c r="P2">
        <v>31.536000000000001</v>
      </c>
    </row>
    <row r="3" spans="1:16">
      <c r="A3" t="s">
        <v>88</v>
      </c>
      <c r="B3" t="s">
        <v>89</v>
      </c>
      <c r="E3" t="s">
        <v>90</v>
      </c>
      <c r="G3" t="s">
        <v>95</v>
      </c>
      <c r="H3" t="s">
        <v>96</v>
      </c>
      <c r="I3" t="s">
        <v>93</v>
      </c>
      <c r="J3" t="s">
        <v>134</v>
      </c>
      <c r="K3">
        <v>66716.460830940399</v>
      </c>
      <c r="L3">
        <v>0</v>
      </c>
      <c r="M3">
        <v>0</v>
      </c>
      <c r="N3">
        <v>0</v>
      </c>
      <c r="O3">
        <v>0.9</v>
      </c>
      <c r="P3">
        <v>31.536000000000001</v>
      </c>
    </row>
    <row r="4" spans="1:16">
      <c r="A4" t="s">
        <v>88</v>
      </c>
      <c r="B4" t="s">
        <v>89</v>
      </c>
      <c r="E4" t="s">
        <v>90</v>
      </c>
      <c r="G4" t="s">
        <v>98</v>
      </c>
      <c r="H4" t="s">
        <v>99</v>
      </c>
      <c r="I4" t="s">
        <v>93</v>
      </c>
      <c r="J4" t="s">
        <v>135</v>
      </c>
      <c r="K4">
        <v>66716.460830940399</v>
      </c>
      <c r="L4">
        <v>0</v>
      </c>
      <c r="M4">
        <v>0</v>
      </c>
      <c r="N4">
        <v>0</v>
      </c>
      <c r="O4">
        <v>0.9</v>
      </c>
      <c r="P4">
        <v>31.536000000000001</v>
      </c>
    </row>
    <row r="5" spans="1:16">
      <c r="A5" t="s">
        <v>88</v>
      </c>
      <c r="B5" t="s">
        <v>89</v>
      </c>
      <c r="E5" t="s">
        <v>90</v>
      </c>
      <c r="G5" t="s">
        <v>101</v>
      </c>
      <c r="H5" t="s">
        <v>102</v>
      </c>
      <c r="I5" t="s">
        <v>93</v>
      </c>
      <c r="J5" t="s">
        <v>136</v>
      </c>
      <c r="K5">
        <v>66716.460830940399</v>
      </c>
      <c r="L5">
        <v>4.4204541355000647E-2</v>
      </c>
      <c r="M5">
        <v>2949.1705518605859</v>
      </c>
      <c r="N5">
        <v>103.9084274712705</v>
      </c>
      <c r="O5">
        <v>0.9</v>
      </c>
      <c r="P5">
        <v>31.536000000000001</v>
      </c>
    </row>
    <row r="6" spans="1:16">
      <c r="A6" t="s">
        <v>88</v>
      </c>
      <c r="B6" t="s">
        <v>89</v>
      </c>
      <c r="E6" t="s">
        <v>90</v>
      </c>
      <c r="G6" t="s">
        <v>104</v>
      </c>
      <c r="H6" t="s">
        <v>105</v>
      </c>
      <c r="I6" t="s">
        <v>93</v>
      </c>
      <c r="J6" t="s">
        <v>137</v>
      </c>
      <c r="K6">
        <v>66716.460830940399</v>
      </c>
      <c r="L6">
        <v>0.46029788244104752</v>
      </c>
      <c r="M6">
        <v>30709.445644442949</v>
      </c>
      <c r="N6">
        <v>1081.989037024457</v>
      </c>
      <c r="O6">
        <v>0.9</v>
      </c>
      <c r="P6">
        <v>31.536000000000001</v>
      </c>
    </row>
    <row r="7" spans="1:16">
      <c r="A7" t="s">
        <v>88</v>
      </c>
      <c r="B7" t="s">
        <v>89</v>
      </c>
      <c r="E7" t="s">
        <v>90</v>
      </c>
      <c r="G7" t="s">
        <v>107</v>
      </c>
      <c r="H7" t="s">
        <v>108</v>
      </c>
      <c r="I7" t="s">
        <v>93</v>
      </c>
      <c r="J7" t="s">
        <v>138</v>
      </c>
      <c r="K7">
        <v>66716.460830940399</v>
      </c>
      <c r="L7">
        <v>1.2123439560265601E-3</v>
      </c>
      <c r="M7">
        <v>80.88329805587334</v>
      </c>
      <c r="N7">
        <v>2.849769507013971</v>
      </c>
      <c r="O7">
        <v>0.9</v>
      </c>
      <c r="P7">
        <v>31.536000000000001</v>
      </c>
    </row>
    <row r="8" spans="1:16">
      <c r="A8" t="s">
        <v>88</v>
      </c>
      <c r="B8" t="s">
        <v>89</v>
      </c>
      <c r="E8" t="s">
        <v>90</v>
      </c>
      <c r="G8" t="s">
        <v>110</v>
      </c>
      <c r="H8" t="s">
        <v>111</v>
      </c>
      <c r="I8" t="s">
        <v>93</v>
      </c>
      <c r="J8" t="s">
        <v>139</v>
      </c>
      <c r="K8">
        <v>66716.460830940399</v>
      </c>
      <c r="L8">
        <v>0</v>
      </c>
      <c r="M8">
        <v>0</v>
      </c>
      <c r="N8">
        <v>0</v>
      </c>
      <c r="O8">
        <v>0.9</v>
      </c>
      <c r="P8">
        <v>31.536000000000001</v>
      </c>
    </row>
    <row r="9" spans="1:16">
      <c r="A9" t="s">
        <v>88</v>
      </c>
      <c r="B9" t="s">
        <v>89</v>
      </c>
      <c r="E9" t="s">
        <v>90</v>
      </c>
      <c r="G9" t="s">
        <v>140</v>
      </c>
      <c r="H9" t="s">
        <v>141</v>
      </c>
      <c r="I9" t="s">
        <v>93</v>
      </c>
      <c r="J9" t="s">
        <v>142</v>
      </c>
      <c r="K9">
        <v>66716.460830940399</v>
      </c>
      <c r="L9">
        <v>0</v>
      </c>
      <c r="M9">
        <v>0</v>
      </c>
      <c r="N9">
        <v>0</v>
      </c>
      <c r="O9">
        <v>0.9</v>
      </c>
      <c r="P9">
        <v>31.536000000000001</v>
      </c>
    </row>
    <row r="10" spans="1:16">
      <c r="A10" t="s">
        <v>88</v>
      </c>
      <c r="B10" t="s">
        <v>89</v>
      </c>
      <c r="E10" t="s">
        <v>90</v>
      </c>
      <c r="G10" t="s">
        <v>143</v>
      </c>
      <c r="H10" t="s">
        <v>144</v>
      </c>
      <c r="I10" t="s">
        <v>93</v>
      </c>
      <c r="J10" t="s">
        <v>145</v>
      </c>
      <c r="K10">
        <v>66716.460830940399</v>
      </c>
      <c r="L10">
        <v>0</v>
      </c>
      <c r="M10">
        <v>0</v>
      </c>
      <c r="N10">
        <v>0</v>
      </c>
      <c r="O10">
        <v>0.9</v>
      </c>
      <c r="P10">
        <v>31.536000000000001</v>
      </c>
    </row>
    <row r="11" spans="1:16">
      <c r="A11" t="s">
        <v>88</v>
      </c>
      <c r="B11" t="s">
        <v>89</v>
      </c>
      <c r="E11" t="s">
        <v>90</v>
      </c>
      <c r="G11" t="s">
        <v>113</v>
      </c>
      <c r="H11" t="s">
        <v>114</v>
      </c>
      <c r="I11" t="s">
        <v>93</v>
      </c>
      <c r="J11" t="s">
        <v>146</v>
      </c>
      <c r="K11">
        <v>66716.460830940399</v>
      </c>
      <c r="L11">
        <v>0</v>
      </c>
      <c r="M11">
        <v>0</v>
      </c>
      <c r="N11">
        <v>0</v>
      </c>
      <c r="O11">
        <v>0.9</v>
      </c>
      <c r="P11">
        <v>31.536000000000001</v>
      </c>
    </row>
    <row r="12" spans="1:16">
      <c r="A12" t="s">
        <v>88</v>
      </c>
      <c r="B12" t="s">
        <v>89</v>
      </c>
      <c r="E12" t="s">
        <v>90</v>
      </c>
      <c r="G12" t="s">
        <v>116</v>
      </c>
      <c r="H12" t="s">
        <v>117</v>
      </c>
      <c r="I12" t="s">
        <v>93</v>
      </c>
      <c r="J12" t="s">
        <v>147</v>
      </c>
      <c r="K12">
        <v>66716.460830940399</v>
      </c>
      <c r="L12">
        <v>0</v>
      </c>
      <c r="M12">
        <v>0</v>
      </c>
      <c r="N12">
        <v>0</v>
      </c>
      <c r="O12">
        <v>0.9</v>
      </c>
      <c r="P12">
        <v>31.536000000000001</v>
      </c>
    </row>
    <row r="13" spans="1:16">
      <c r="A13" t="s">
        <v>88</v>
      </c>
      <c r="B13" t="s">
        <v>89</v>
      </c>
      <c r="E13" t="s">
        <v>90</v>
      </c>
      <c r="G13" t="s">
        <v>148</v>
      </c>
      <c r="H13" t="s">
        <v>149</v>
      </c>
      <c r="I13" t="s">
        <v>93</v>
      </c>
      <c r="J13" t="s">
        <v>150</v>
      </c>
      <c r="K13">
        <v>66716.460830940399</v>
      </c>
      <c r="L13">
        <v>1.2291579089705299E-2</v>
      </c>
      <c r="M13">
        <v>820.05065488872958</v>
      </c>
      <c r="N13">
        <v>28.89292853630171</v>
      </c>
      <c r="O13">
        <v>0.9</v>
      </c>
      <c r="P13">
        <v>31.536000000000001</v>
      </c>
    </row>
    <row r="14" spans="1:16">
      <c r="A14" t="s">
        <v>88</v>
      </c>
      <c r="B14" t="s">
        <v>89</v>
      </c>
      <c r="E14" t="s">
        <v>90</v>
      </c>
      <c r="G14" t="s">
        <v>119</v>
      </c>
      <c r="H14" t="s">
        <v>120</v>
      </c>
      <c r="I14" t="s">
        <v>93</v>
      </c>
      <c r="J14" t="s">
        <v>151</v>
      </c>
      <c r="K14">
        <v>66716.460830940399</v>
      </c>
      <c r="L14">
        <v>0.48199365315822013</v>
      </c>
      <c r="M14">
        <v>32156.910681692261</v>
      </c>
      <c r="N14">
        <v>1132.987720618843</v>
      </c>
      <c r="O14">
        <v>0.9</v>
      </c>
      <c r="P14">
        <v>31.536000000000001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workbookViewId="0">
      <selection activeCell="G37" sqref="G37"/>
    </sheetView>
  </sheetViews>
  <sheetFormatPr defaultRowHeight="15"/>
  <cols>
    <col min="1" max="1" width="17.85546875" bestFit="1" customWidth="1"/>
    <col min="2" max="2" width="10.85546875" bestFit="1" customWidth="1"/>
    <col min="3" max="3" width="19.5703125" bestFit="1" customWidth="1"/>
    <col min="4" max="4" width="6.28515625" bestFit="1" customWidth="1"/>
  </cols>
  <sheetData>
    <row r="1" spans="1:4">
      <c r="A1" t="s">
        <v>152</v>
      </c>
      <c r="B1" t="str">
        <f t="array" ref="B1:C14">_xlfn.UNIQUE(_xlfn._xlws.FILTER('IND RESID'!$H:$I,'IND RESID'!$H:$H&lt;&gt;""))</f>
        <v>Input Label</v>
      </c>
      <c r="C1" t="str">
        <v>Output Label</v>
      </c>
      <c r="D1" t="s">
        <v>153</v>
      </c>
    </row>
    <row r="2" spans="1:4">
      <c r="A2">
        <f>COUNTA($B$2:B2)</f>
        <v>1</v>
      </c>
      <c r="B2" t="str">
        <v>INDCOA</v>
      </c>
      <c r="C2" t="str">
        <v>INDAINDMD</v>
      </c>
      <c r="D2">
        <f t="array" ref="D2">COUNTA(_xlfn.UNIQUE(_xlfn._xlws.FILTER('IND TECH'!$J:$J,('IND TECH'!$K:$K=C2)*('IND TECH'!$Q:$Q=1))))</f>
        <v>12</v>
      </c>
    </row>
    <row r="3" spans="1:4">
      <c r="A3">
        <f>COUNTA($B$2:B3)</f>
        <v>2</v>
      </c>
      <c r="B3" t="str">
        <v>INDPCK</v>
      </c>
      <c r="C3" t="str">
        <v>INDAINDMD</v>
      </c>
      <c r="D3">
        <f t="array" ref="D3">COUNTA(_xlfn.UNIQUE(_xlfn._xlws.FILTER('IND TECH'!$J:$J,('IND TECH'!$K:$K=C3)*('IND TECH'!$Q:$Q=1))))</f>
        <v>12</v>
      </c>
    </row>
    <row r="4" spans="1:4">
      <c r="A4">
        <f>COUNTA($B$2:B4)</f>
        <v>3</v>
      </c>
      <c r="B4" t="str">
        <v>INDLPG</v>
      </c>
      <c r="C4" t="str">
        <v>INDAINDMD</v>
      </c>
      <c r="D4">
        <f t="array" ref="D4">COUNTA(_xlfn.UNIQUE(_xlfn._xlws.FILTER('IND TECH'!$J:$J,('IND TECH'!$K:$K=C4)*('IND TECH'!$Q:$Q=1))))</f>
        <v>12</v>
      </c>
    </row>
    <row r="5" spans="1:4">
      <c r="A5">
        <f>COUNTA($B$2:B5)</f>
        <v>4</v>
      </c>
      <c r="B5" t="str">
        <v>INDFOI</v>
      </c>
      <c r="C5" t="str">
        <v>INDAINDMD</v>
      </c>
      <c r="D5">
        <f t="array" ref="D5">COUNTA(_xlfn.UNIQUE(_xlfn._xlws.FILTER('IND TECH'!$J:$J,('IND TECH'!$K:$K=C5)*('IND TECH'!$Q:$Q=1))))</f>
        <v>12</v>
      </c>
    </row>
    <row r="6" spans="1:4">
      <c r="A6">
        <f>COUNTA($B$2:B6)</f>
        <v>5</v>
      </c>
      <c r="B6" t="str">
        <v>INDNGA</v>
      </c>
      <c r="C6" t="str">
        <v>INDAINDMD</v>
      </c>
      <c r="D6">
        <f t="array" ref="D6">COUNTA(_xlfn.UNIQUE(_xlfn._xlws.FILTER('IND TECH'!$J:$J,('IND TECH'!$K:$K=C6)*('IND TECH'!$Q:$Q=1))))</f>
        <v>12</v>
      </c>
    </row>
    <row r="7" spans="1:4">
      <c r="A7">
        <f>COUNTA($B$2:B7)</f>
        <v>6</v>
      </c>
      <c r="B7" t="str">
        <v>INDRNG</v>
      </c>
      <c r="C7" t="str">
        <v>INDAINDMD</v>
      </c>
      <c r="D7">
        <f t="array" ref="D7">COUNTA(_xlfn.UNIQUE(_xlfn._xlws.FILTER('IND TECH'!$J:$J,('IND TECH'!$K:$K=C7)*('IND TECH'!$Q:$Q=1))))</f>
        <v>12</v>
      </c>
    </row>
    <row r="8" spans="1:4">
      <c r="A8">
        <f>COUNTA($B$2:B8)</f>
        <v>7</v>
      </c>
      <c r="B8" t="str">
        <v>INDKER</v>
      </c>
      <c r="C8" t="str">
        <v>INDAINDMD</v>
      </c>
      <c r="D8">
        <f t="array" ref="D8">COUNTA(_xlfn.UNIQUE(_xlfn._xlws.FILTER('IND TECH'!$J:$J,('IND TECH'!$K:$K=C8)*('IND TECH'!$Q:$Q=1))))</f>
        <v>12</v>
      </c>
    </row>
    <row r="9" spans="1:4">
      <c r="A9">
        <f>COUNTA($B$2:B9)</f>
        <v>8</v>
      </c>
      <c r="B9" t="str">
        <v>INDWAS</v>
      </c>
      <c r="C9" t="str">
        <v>INDAINDMD</v>
      </c>
      <c r="D9">
        <f t="array" ref="D9">COUNTA(_xlfn.UNIQUE(_xlfn._xlws.FILTER('IND TECH'!$J:$J,('IND TECH'!$K:$K=C9)*('IND TECH'!$Q:$Q=1))))</f>
        <v>12</v>
      </c>
    </row>
    <row r="10" spans="1:4">
      <c r="A10">
        <f>COUNTA($B$2:B10)</f>
        <v>9</v>
      </c>
      <c r="B10" t="str">
        <v>INDBIO</v>
      </c>
      <c r="C10" t="str">
        <v>INDAINDMD</v>
      </c>
      <c r="D10">
        <f t="array" ref="D10">COUNTA(_xlfn.UNIQUE(_xlfn._xlws.FILTER('IND TECH'!$J:$J,('IND TECH'!$K:$K=C10)*('IND TECH'!$Q:$Q=1))))</f>
        <v>12</v>
      </c>
    </row>
    <row r="11" spans="1:4">
      <c r="A11">
        <f>COUNTA($B$2:B11)</f>
        <v>10</v>
      </c>
      <c r="B11" t="str">
        <v>INDGSL</v>
      </c>
      <c r="C11" t="str">
        <v>INDAINDMD</v>
      </c>
      <c r="D11">
        <f t="array" ref="D11">COUNTA(_xlfn.UNIQUE(_xlfn._xlws.FILTER('IND TECH'!$J:$J,('IND TECH'!$K:$K=C11)*('IND TECH'!$Q:$Q=1))))</f>
        <v>12</v>
      </c>
    </row>
    <row r="12" spans="1:4">
      <c r="A12">
        <f>COUNTA($B$2:B12)</f>
        <v>11</v>
      </c>
      <c r="B12" t="str">
        <v>INDDSL</v>
      </c>
      <c r="C12" t="str">
        <v>INDAINDMD</v>
      </c>
      <c r="D12">
        <f t="array" ref="D12">COUNTA(_xlfn.UNIQUE(_xlfn._xlws.FILTER('IND TECH'!$J:$J,('IND TECH'!$K:$K=C12)*('IND TECH'!$Q:$Q=1))))</f>
        <v>12</v>
      </c>
    </row>
    <row r="13" spans="1:4">
      <c r="A13">
        <f>COUNTA($B$2:B13)</f>
        <v>12</v>
      </c>
      <c r="B13" t="str">
        <v>INDSTM</v>
      </c>
      <c r="C13" t="str">
        <v>INDAINDMD</v>
      </c>
      <c r="D13">
        <f t="array" ref="D13">COUNTA(_xlfn.UNIQUE(_xlfn._xlws.FILTER('IND TECH'!$J:$J,('IND TECH'!$K:$K=C13)*('IND TECH'!$Q:$Q=1))))</f>
        <v>12</v>
      </c>
    </row>
    <row r="14" spans="1:4">
      <c r="A14">
        <f>COUNTA($B$2:B14)</f>
        <v>13</v>
      </c>
      <c r="B14" t="str">
        <v>INDELC</v>
      </c>
      <c r="C14" t="str">
        <v>INDAINDMD</v>
      </c>
      <c r="D14">
        <f t="array" ref="D14">COUNTA(_xlfn.UNIQUE(_xlfn._xlws.FILTER('IND TECH'!$J:$J,('IND TECH'!$K:$K=C14)*('IND TECH'!$Q:$Q=1))))</f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/>
  </sheetPr>
  <dimension ref="A1"/>
  <sheetViews>
    <sheetView workbookViewId="0">
      <selection activeCell="B42" sqref="B42"/>
    </sheetView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C56"/>
  <sheetViews>
    <sheetView tabSelected="1" workbookViewId="0">
      <selection activeCell="I25" sqref="I25"/>
    </sheetView>
  </sheetViews>
  <sheetFormatPr defaultColWidth="9.28515625" defaultRowHeight="15"/>
  <cols>
    <col min="3" max="3" width="37.140625" bestFit="1" customWidth="1"/>
    <col min="4" max="4" width="12.28515625" bestFit="1" customWidth="1"/>
    <col min="5" max="5" width="28.5703125" bestFit="1" customWidth="1"/>
    <col min="6" max="6" width="28.5703125" customWidth="1"/>
    <col min="7" max="7" width="18.5703125" bestFit="1" customWidth="1"/>
    <col min="8" max="8" width="18" bestFit="1" customWidth="1"/>
    <col min="9" max="9" width="18" customWidth="1"/>
    <col min="10" max="10" width="7.42578125" bestFit="1" customWidth="1"/>
    <col min="11" max="11" width="11.5703125" bestFit="1" customWidth="1"/>
    <col min="12" max="12" width="14.42578125" bestFit="1" customWidth="1"/>
    <col min="13" max="13" width="16.42578125" bestFit="1" customWidth="1"/>
    <col min="17" max="17" width="37.140625" bestFit="1" customWidth="1"/>
    <col min="18" max="18" width="12.28515625" bestFit="1" customWidth="1"/>
    <col min="19" max="19" width="28.5703125" bestFit="1" customWidth="1"/>
    <col min="20" max="20" width="28.5703125" customWidth="1"/>
    <col min="21" max="21" width="18.5703125" bestFit="1" customWidth="1"/>
    <col min="22" max="22" width="18" bestFit="1" customWidth="1"/>
    <col min="23" max="23" width="18" customWidth="1"/>
    <col min="24" max="24" width="7.42578125" bestFit="1" customWidth="1"/>
    <col min="25" max="25" width="11.5703125" bestFit="1" customWidth="1"/>
    <col min="26" max="26" width="14.42578125" bestFit="1" customWidth="1"/>
    <col min="27" max="27" width="16.42578125" bestFit="1" customWidth="1"/>
  </cols>
  <sheetData>
    <row r="2" spans="1:29" s="9" customFormat="1" ht="12" customHeight="1">
      <c r="C2" s="10" t="s">
        <v>154</v>
      </c>
      <c r="Q2" s="10" t="s">
        <v>154</v>
      </c>
    </row>
    <row r="3" spans="1:29" s="9" customFormat="1" ht="12" customHeight="1">
      <c r="H3" s="10" t="s">
        <v>155</v>
      </c>
      <c r="I3" s="10"/>
      <c r="V3" s="10" t="s">
        <v>155</v>
      </c>
      <c r="W3" s="10"/>
    </row>
    <row r="4" spans="1:29" s="9" customFormat="1" ht="15.75" customHeight="1" thickBot="1">
      <c r="C4" s="11" t="s">
        <v>156</v>
      </c>
      <c r="D4" s="12" t="s">
        <v>157</v>
      </c>
      <c r="E4" s="11" t="s">
        <v>158</v>
      </c>
      <c r="F4" s="11" t="s">
        <v>159</v>
      </c>
      <c r="G4" s="11" t="s">
        <v>160</v>
      </c>
      <c r="H4" s="11" t="s">
        <v>30</v>
      </c>
      <c r="I4" s="11" t="s">
        <v>161</v>
      </c>
      <c r="J4" s="11" t="s">
        <v>162</v>
      </c>
      <c r="K4" s="13" t="s">
        <v>163</v>
      </c>
      <c r="L4" s="13" t="s">
        <v>164</v>
      </c>
      <c r="M4" s="13" t="s">
        <v>165</v>
      </c>
      <c r="Q4" s="11" t="s">
        <v>156</v>
      </c>
      <c r="R4" s="12" t="s">
        <v>157</v>
      </c>
      <c r="S4" s="11" t="s">
        <v>158</v>
      </c>
      <c r="T4" s="11" t="s">
        <v>159</v>
      </c>
      <c r="U4" s="11" t="s">
        <v>160</v>
      </c>
      <c r="V4" s="11" t="s">
        <v>30</v>
      </c>
      <c r="W4" s="11" t="s">
        <v>161</v>
      </c>
      <c r="X4" s="11" t="s">
        <v>162</v>
      </c>
      <c r="Y4" s="13" t="s">
        <v>163</v>
      </c>
      <c r="Z4" s="13" t="s">
        <v>164</v>
      </c>
      <c r="AA4" s="13" t="s">
        <v>165</v>
      </c>
    </row>
    <row r="5" spans="1:29" s="9" customFormat="1">
      <c r="A5" s="14">
        <v>1</v>
      </c>
      <c r="C5" s="15" t="str">
        <f>IF(E5="","",IF(SUMIFS('IND TECH'!$Q:$Q,'IND TECH'!$J:$J,E5,'IND TECH'!$K:$K,F5)=0,"*","UC_MarketShare_"&amp;LEFT(F5,LEN(F5)-3)&amp;"_"&amp;RIGHT(E5,3)&amp;"_MIN"))</f>
        <v>UC_MarketShare_INDAIN_COA_MIN</v>
      </c>
      <c r="D5" s="16"/>
      <c r="E5" s="17" t="str">
        <f>_xlfn.XLOOKUP($A5,Selected_constraint!$A:$A,Selected_constraint!$B:$B)</f>
        <v>INDCOA</v>
      </c>
      <c r="F5" s="17" t="str">
        <f>_xlfn.XLOOKUP($A5,Selected_constraint!$A:$A,Selected_constraint!$C:$C)</f>
        <v>INDAINDMD</v>
      </c>
      <c r="G5" s="17" t="str">
        <f>F5</f>
        <v>INDAINDMD</v>
      </c>
      <c r="H5" s="18">
        <v>2019</v>
      </c>
      <c r="I5" s="19" t="s">
        <v>166</v>
      </c>
      <c r="J5" s="18">
        <v>1</v>
      </c>
      <c r="K5" s="20">
        <f>-ROUNDDOWN(SUMIFS('IND RESID'!$M:$M,'IND RESID'!$H:$H,$E5,'IND RESID'!$I:$I,$F5)/SUMIFS('IND RESID'!$M:$M,'IND RESID'!$I:$I,$F5),3)*O5</f>
        <v>0</v>
      </c>
      <c r="L5" s="18">
        <v>0</v>
      </c>
      <c r="M5" s="18">
        <v>5</v>
      </c>
      <c r="O5" s="21">
        <v>0.98</v>
      </c>
      <c r="Q5" s="15" t="str">
        <f t="shared" ref="Q5:Q36" si="0">SUBSTITUTE(C5,"MIN","MAX")</f>
        <v>UC_MarketShare_INDAIN_COA_MAX</v>
      </c>
      <c r="R5" s="16"/>
      <c r="S5" s="17" t="str">
        <f>E5</f>
        <v>INDCOA</v>
      </c>
      <c r="T5" s="17" t="str">
        <f>F5</f>
        <v>INDAINDMD</v>
      </c>
      <c r="U5" s="17" t="str">
        <f>G5</f>
        <v>INDAINDMD</v>
      </c>
      <c r="V5" s="18">
        <f>H5</f>
        <v>2019</v>
      </c>
      <c r="W5" s="19" t="s">
        <v>167</v>
      </c>
      <c r="X5" s="18">
        <v>1</v>
      </c>
      <c r="Y5" s="20">
        <f>-ROUNDUP(MIN(SUMIFS('IND RESID'!$M:$M,'IND RESID'!$H:$H,$E5,'IND RESID'!$I:$I,$F5)/SUMIFS('IND RESID'!$M:$M,'IND RESID'!$I:$I,$F5)*AC5,1),3)</f>
        <v>0</v>
      </c>
      <c r="Z5" s="18">
        <v>0</v>
      </c>
      <c r="AA5" s="18">
        <v>5</v>
      </c>
      <c r="AC5" s="21">
        <v>1.02</v>
      </c>
    </row>
    <row r="6" spans="1:29" s="9" customFormat="1">
      <c r="A6" s="9">
        <f>A5</f>
        <v>1</v>
      </c>
      <c r="C6" s="15" t="str">
        <f>IF(C5="*",C5,"")</f>
        <v/>
      </c>
      <c r="D6" s="16"/>
      <c r="E6" s="17" t="str">
        <f t="shared" ref="E6:G8" si="1">E5</f>
        <v>INDCOA</v>
      </c>
      <c r="F6" s="17" t="str">
        <f t="shared" si="1"/>
        <v>INDAINDMD</v>
      </c>
      <c r="G6" s="17" t="str">
        <f t="shared" si="1"/>
        <v>INDAINDMD</v>
      </c>
      <c r="H6" s="18">
        <v>2025</v>
      </c>
      <c r="I6" s="18" t="str">
        <f>I5</f>
        <v>LO</v>
      </c>
      <c r="J6" s="18"/>
      <c r="K6" s="20">
        <f>-ROUNDDOWN(SUMIFS('IND RESID'!$M:$M,'IND RESID'!$H:$H,$E6,'IND RESID'!$I:$I,$F6)/SUMIFS('IND RESID'!$M:$M,'IND RESID'!$I:$I,$F6),3)*O6</f>
        <v>0</v>
      </c>
      <c r="L6" s="18"/>
      <c r="M6" s="18"/>
      <c r="O6" s="21">
        <v>0.8</v>
      </c>
      <c r="Q6" s="15" t="str">
        <f t="shared" si="0"/>
        <v/>
      </c>
      <c r="R6" s="16"/>
      <c r="S6" s="17" t="str">
        <f t="shared" ref="S6:S37" si="2">E6</f>
        <v>INDCOA</v>
      </c>
      <c r="T6" s="17" t="str">
        <f t="shared" ref="T6:T37" si="3">F6</f>
        <v>INDAINDMD</v>
      </c>
      <c r="U6" s="17" t="str">
        <f t="shared" ref="U6:U37" si="4">G6</f>
        <v>INDAINDMD</v>
      </c>
      <c r="V6" s="18">
        <v>2025</v>
      </c>
      <c r="W6" s="18" t="str">
        <f>W5</f>
        <v>UP</v>
      </c>
      <c r="X6" s="18"/>
      <c r="Y6" s="20">
        <f>-ROUNDUP(MIN(SUMIFS('IND RESID'!$M:$M,'IND RESID'!$H:$H,$E6,'IND RESID'!$I:$I,$F6)/SUMIFS('IND RESID'!$M:$M,'IND RESID'!$I:$I,$F6)*AC6,1),3)</f>
        <v>0</v>
      </c>
      <c r="Z6" s="18"/>
      <c r="AA6" s="18"/>
      <c r="AC6" s="21">
        <v>1.2</v>
      </c>
    </row>
    <row r="7" spans="1:29" s="9" customFormat="1">
      <c r="A7" s="9">
        <f>A6</f>
        <v>1</v>
      </c>
      <c r="C7" s="15" t="str">
        <f>IF(C6="*",C6,"")</f>
        <v/>
      </c>
      <c r="D7" s="16"/>
      <c r="E7" s="17" t="str">
        <f t="shared" si="1"/>
        <v>INDCOA</v>
      </c>
      <c r="F7" s="17" t="str">
        <f t="shared" si="1"/>
        <v>INDAINDMD</v>
      </c>
      <c r="G7" s="17" t="str">
        <f t="shared" si="1"/>
        <v>INDAINDMD</v>
      </c>
      <c r="H7" s="18">
        <v>2030</v>
      </c>
      <c r="I7" s="18" t="str">
        <f>I6</f>
        <v>LO</v>
      </c>
      <c r="J7" s="18"/>
      <c r="K7" s="20">
        <f>-ROUNDDOWN(SUMIFS('IND RESID'!$M:$M,'IND RESID'!$H:$H,$E7,'IND RESID'!$I:$I,$F7)/SUMIFS('IND RESID'!$M:$M,'IND RESID'!$I:$I,$F7),3)*O7</f>
        <v>0</v>
      </c>
      <c r="L7" s="18"/>
      <c r="M7" s="18"/>
      <c r="O7" s="21">
        <v>0.2</v>
      </c>
      <c r="Q7" s="15" t="str">
        <f t="shared" si="0"/>
        <v/>
      </c>
      <c r="R7" s="16"/>
      <c r="S7" s="17" t="str">
        <f t="shared" si="2"/>
        <v>INDCOA</v>
      </c>
      <c r="T7" s="17" t="str">
        <f t="shared" si="3"/>
        <v>INDAINDMD</v>
      </c>
      <c r="U7" s="17" t="str">
        <f t="shared" si="4"/>
        <v>INDAINDMD</v>
      </c>
      <c r="V7" s="18">
        <v>2030</v>
      </c>
      <c r="W7" s="18" t="str">
        <f>W6</f>
        <v>UP</v>
      </c>
      <c r="X7" s="18"/>
      <c r="Y7" s="20">
        <f>-ROUNDUP(MIN(SUMIFS('IND RESID'!$M:$M,'IND RESID'!$H:$H,$E7,'IND RESID'!$I:$I,$F7)/SUMIFS('IND RESID'!$M:$M,'IND RESID'!$I:$I,$F7)*AC7,1),3)</f>
        <v>0</v>
      </c>
      <c r="Z7" s="18"/>
      <c r="AA7" s="18"/>
      <c r="AC7" s="21">
        <v>1.5</v>
      </c>
    </row>
    <row r="8" spans="1:29" s="9" customFormat="1">
      <c r="A8" s="22">
        <f>A7</f>
        <v>1</v>
      </c>
      <c r="B8" s="22"/>
      <c r="C8" s="23" t="str">
        <f>IF(C7="*",C7,"")</f>
        <v/>
      </c>
      <c r="D8" s="24"/>
      <c r="E8" s="25" t="str">
        <f t="shared" si="1"/>
        <v>INDCOA</v>
      </c>
      <c r="F8" s="25" t="str">
        <f t="shared" si="1"/>
        <v>INDAINDMD</v>
      </c>
      <c r="G8" s="25" t="str">
        <f t="shared" si="1"/>
        <v>INDAINDMD</v>
      </c>
      <c r="H8" s="26">
        <v>2050</v>
      </c>
      <c r="I8" s="26" t="str">
        <f>I7</f>
        <v>LO</v>
      </c>
      <c r="J8" s="26"/>
      <c r="K8" s="27">
        <f>-ROUNDDOWN(SUMIFS('IND RESID'!$M:$M,'IND RESID'!$H:$H,$E8,'IND RESID'!$I:$I,$F8)/SUMIFS('IND RESID'!$M:$M,'IND RESID'!$I:$I,$F8),3)*O8</f>
        <v>0</v>
      </c>
      <c r="L8" s="26"/>
      <c r="M8" s="26"/>
      <c r="N8" s="22"/>
      <c r="O8" s="28">
        <v>0</v>
      </c>
      <c r="Q8" s="23" t="str">
        <f t="shared" si="0"/>
        <v/>
      </c>
      <c r="R8" s="24"/>
      <c r="S8" s="25" t="str">
        <f t="shared" si="2"/>
        <v>INDCOA</v>
      </c>
      <c r="T8" s="25" t="str">
        <f t="shared" si="3"/>
        <v>INDAINDMD</v>
      </c>
      <c r="U8" s="25" t="str">
        <f t="shared" si="4"/>
        <v>INDAINDMD</v>
      </c>
      <c r="V8" s="26">
        <v>2050</v>
      </c>
      <c r="W8" s="26" t="str">
        <f>W7</f>
        <v>UP</v>
      </c>
      <c r="X8" s="26"/>
      <c r="Y8" s="27">
        <f>-ROUNDUP(MIN(SUMIFS('IND RESID'!$M:$M,'IND RESID'!$H:$H,$E8,'IND RESID'!$I:$I,$F8)/SUMIFS('IND RESID'!$M:$M,'IND RESID'!$I:$I,$F8)*AC8,1),3)</f>
        <v>0</v>
      </c>
      <c r="Z8" s="26"/>
      <c r="AA8" s="26"/>
      <c r="AB8" s="22"/>
      <c r="AC8" s="28">
        <v>3</v>
      </c>
    </row>
    <row r="9" spans="1:29">
      <c r="A9" s="14">
        <f>A5+1</f>
        <v>2</v>
      </c>
      <c r="B9" s="9"/>
      <c r="C9" s="15" t="str">
        <f>IF(E9="","",IF(SUMIFS('IND TECH'!$Q:$Q,'IND TECH'!$J:$J,E9,'IND TECH'!$K:$K,F9)=0,"*","UC_MarketShare_"&amp;LEFT(F9,LEN(F9)-3)&amp;"_"&amp;RIGHT(E9,3)&amp;"_MIN"))</f>
        <v>UC_MarketShare_INDAIN_PCK_MIN</v>
      </c>
      <c r="D9" s="16"/>
      <c r="E9" s="17" t="str">
        <f>_xlfn.XLOOKUP($A9,Selected_constraint!$A:$A,Selected_constraint!$B:$B)</f>
        <v>INDPCK</v>
      </c>
      <c r="F9" s="17" t="str">
        <f>_xlfn.XLOOKUP($A9,Selected_constraint!$A:$A,Selected_constraint!$C:$C)</f>
        <v>INDAINDMD</v>
      </c>
      <c r="G9" s="17" t="str">
        <f>F9</f>
        <v>INDAINDMD</v>
      </c>
      <c r="H9" s="18">
        <v>2019</v>
      </c>
      <c r="I9" s="18" t="s">
        <v>166</v>
      </c>
      <c r="J9" s="18">
        <v>1</v>
      </c>
      <c r="K9" s="20">
        <f>-ROUNDDOWN(SUMIFS('IND RESID'!$M:$M,'IND RESID'!$H:$H,$E9,'IND RESID'!$I:$I,$F9)/SUMIFS('IND RESID'!$M:$M,'IND RESID'!$I:$I,$F9),3)*O9</f>
        <v>0</v>
      </c>
      <c r="L9" s="18">
        <v>0</v>
      </c>
      <c r="M9" s="18">
        <v>5</v>
      </c>
      <c r="N9" s="9"/>
      <c r="O9" s="21">
        <v>0.98</v>
      </c>
      <c r="Q9" s="15" t="str">
        <f t="shared" si="0"/>
        <v>UC_MarketShare_INDAIN_PCK_MAX</v>
      </c>
      <c r="R9" s="16"/>
      <c r="S9" s="17" t="str">
        <f t="shared" si="2"/>
        <v>INDPCK</v>
      </c>
      <c r="T9" s="17" t="str">
        <f t="shared" si="3"/>
        <v>INDAINDMD</v>
      </c>
      <c r="U9" s="17" t="str">
        <f t="shared" si="4"/>
        <v>INDAINDMD</v>
      </c>
      <c r="V9" s="18">
        <v>2019</v>
      </c>
      <c r="W9" s="18" t="s">
        <v>167</v>
      </c>
      <c r="X9" s="18">
        <v>1</v>
      </c>
      <c r="Y9" s="20">
        <f>-ROUNDUP(MIN(SUMIFS('IND RESID'!$M:$M,'IND RESID'!$H:$H,$E9,'IND RESID'!$I:$I,$F9)/SUMIFS('IND RESID'!$M:$M,'IND RESID'!$I:$I,$F9)*AC9,1),3)</f>
        <v>0</v>
      </c>
      <c r="Z9" s="18">
        <v>0</v>
      </c>
      <c r="AA9" s="18">
        <v>5</v>
      </c>
      <c r="AB9" s="9"/>
      <c r="AC9" s="21">
        <v>1.02</v>
      </c>
    </row>
    <row r="10" spans="1:29">
      <c r="A10" s="9">
        <f>A9</f>
        <v>2</v>
      </c>
      <c r="B10" s="9"/>
      <c r="C10" s="15" t="str">
        <f>IF(C9="*",C9,"")</f>
        <v/>
      </c>
      <c r="D10" s="16"/>
      <c r="E10" s="17" t="str">
        <f t="shared" ref="E10:G12" si="5">E9</f>
        <v>INDPCK</v>
      </c>
      <c r="F10" s="17" t="str">
        <f t="shared" si="5"/>
        <v>INDAINDMD</v>
      </c>
      <c r="G10" s="17" t="str">
        <f t="shared" si="5"/>
        <v>INDAINDMD</v>
      </c>
      <c r="H10" s="18">
        <v>2025</v>
      </c>
      <c r="I10" s="18" t="str">
        <f>I9</f>
        <v>LO</v>
      </c>
      <c r="J10" s="18"/>
      <c r="K10" s="20">
        <f>-ROUNDDOWN(SUMIFS('IND RESID'!$M:$M,'IND RESID'!$H:$H,$E10,'IND RESID'!$I:$I,$F10)/SUMIFS('IND RESID'!$M:$M,'IND RESID'!$I:$I,$F10),3)*O10</f>
        <v>0</v>
      </c>
      <c r="L10" s="18"/>
      <c r="M10" s="18"/>
      <c r="N10" s="9"/>
      <c r="O10" s="21">
        <v>0.8</v>
      </c>
      <c r="Q10" s="15" t="str">
        <f t="shared" si="0"/>
        <v/>
      </c>
      <c r="R10" s="16"/>
      <c r="S10" s="17" t="str">
        <f t="shared" si="2"/>
        <v>INDPCK</v>
      </c>
      <c r="T10" s="17" t="str">
        <f t="shared" si="3"/>
        <v>INDAINDMD</v>
      </c>
      <c r="U10" s="17" t="str">
        <f t="shared" si="4"/>
        <v>INDAINDMD</v>
      </c>
      <c r="V10" s="18">
        <v>2025</v>
      </c>
      <c r="W10" s="18" t="str">
        <f>W9</f>
        <v>UP</v>
      </c>
      <c r="X10" s="18"/>
      <c r="Y10" s="20">
        <f>-ROUNDUP(MIN(SUMIFS('IND RESID'!$M:$M,'IND RESID'!$H:$H,$E10,'IND RESID'!$I:$I,$F10)/SUMIFS('IND RESID'!$M:$M,'IND RESID'!$I:$I,$F10)*AC10,1),3)</f>
        <v>0</v>
      </c>
      <c r="Z10" s="18"/>
      <c r="AA10" s="18"/>
      <c r="AB10" s="9"/>
      <c r="AC10" s="21">
        <v>1.2</v>
      </c>
    </row>
    <row r="11" spans="1:29">
      <c r="A11" s="9">
        <f>A10</f>
        <v>2</v>
      </c>
      <c r="B11" s="9"/>
      <c r="C11" s="15" t="str">
        <f>IF(C10="*",C10,"")</f>
        <v/>
      </c>
      <c r="D11" s="16"/>
      <c r="E11" s="17" t="str">
        <f t="shared" si="5"/>
        <v>INDPCK</v>
      </c>
      <c r="F11" s="17" t="str">
        <f t="shared" si="5"/>
        <v>INDAINDMD</v>
      </c>
      <c r="G11" s="17" t="str">
        <f t="shared" si="5"/>
        <v>INDAINDMD</v>
      </c>
      <c r="H11" s="18">
        <v>2030</v>
      </c>
      <c r="I11" s="18" t="str">
        <f>I10</f>
        <v>LO</v>
      </c>
      <c r="J11" s="18"/>
      <c r="K11" s="20">
        <f>-ROUNDDOWN(SUMIFS('IND RESID'!$M:$M,'IND RESID'!$H:$H,$E11,'IND RESID'!$I:$I,$F11)/SUMIFS('IND RESID'!$M:$M,'IND RESID'!$I:$I,$F11),3)*O11</f>
        <v>0</v>
      </c>
      <c r="L11" s="18"/>
      <c r="M11" s="18"/>
      <c r="N11" s="9"/>
      <c r="O11" s="21">
        <v>0.2</v>
      </c>
      <c r="Q11" s="15" t="str">
        <f t="shared" si="0"/>
        <v/>
      </c>
      <c r="R11" s="16"/>
      <c r="S11" s="17" t="str">
        <f t="shared" si="2"/>
        <v>INDPCK</v>
      </c>
      <c r="T11" s="17" t="str">
        <f t="shared" si="3"/>
        <v>INDAINDMD</v>
      </c>
      <c r="U11" s="17" t="str">
        <f t="shared" si="4"/>
        <v>INDAINDMD</v>
      </c>
      <c r="V11" s="18">
        <v>2030</v>
      </c>
      <c r="W11" s="18" t="str">
        <f>W10</f>
        <v>UP</v>
      </c>
      <c r="X11" s="18"/>
      <c r="Y11" s="20">
        <f>-ROUNDUP(MIN(SUMIFS('IND RESID'!$M:$M,'IND RESID'!$H:$H,$E11,'IND RESID'!$I:$I,$F11)/SUMIFS('IND RESID'!$M:$M,'IND RESID'!$I:$I,$F11)*AC11,1),3)</f>
        <v>0</v>
      </c>
      <c r="Z11" s="18"/>
      <c r="AA11" s="18"/>
      <c r="AB11" s="9"/>
      <c r="AC11" s="21">
        <v>1.5</v>
      </c>
    </row>
    <row r="12" spans="1:29">
      <c r="A12" s="22">
        <f>A11</f>
        <v>2</v>
      </c>
      <c r="B12" s="22"/>
      <c r="C12" s="23" t="str">
        <f>IF(C11="*",C11,"")</f>
        <v/>
      </c>
      <c r="D12" s="24"/>
      <c r="E12" s="25" t="str">
        <f t="shared" si="5"/>
        <v>INDPCK</v>
      </c>
      <c r="F12" s="25" t="str">
        <f t="shared" si="5"/>
        <v>INDAINDMD</v>
      </c>
      <c r="G12" s="25" t="str">
        <f t="shared" si="5"/>
        <v>INDAINDMD</v>
      </c>
      <c r="H12" s="26">
        <v>2050</v>
      </c>
      <c r="I12" s="26" t="str">
        <f>I11</f>
        <v>LO</v>
      </c>
      <c r="J12" s="26"/>
      <c r="K12" s="27">
        <f>-ROUNDDOWN(SUMIFS('IND RESID'!$M:$M,'IND RESID'!$H:$H,$E12,'IND RESID'!$I:$I,$F12)/SUMIFS('IND RESID'!$M:$M,'IND RESID'!$I:$I,$F12),3)*O12</f>
        <v>0</v>
      </c>
      <c r="L12" s="26"/>
      <c r="M12" s="26"/>
      <c r="N12" s="22"/>
      <c r="O12" s="28">
        <v>0</v>
      </c>
      <c r="Q12" s="23" t="str">
        <f t="shared" si="0"/>
        <v/>
      </c>
      <c r="R12" s="24"/>
      <c r="S12" s="25" t="str">
        <f t="shared" si="2"/>
        <v>INDPCK</v>
      </c>
      <c r="T12" s="25" t="str">
        <f t="shared" si="3"/>
        <v>INDAINDMD</v>
      </c>
      <c r="U12" s="25" t="str">
        <f t="shared" si="4"/>
        <v>INDAINDMD</v>
      </c>
      <c r="V12" s="26">
        <v>2050</v>
      </c>
      <c r="W12" s="26" t="str">
        <f>W11</f>
        <v>UP</v>
      </c>
      <c r="X12" s="26"/>
      <c r="Y12" s="27">
        <f>-ROUNDUP(MIN(SUMIFS('IND RESID'!$M:$M,'IND RESID'!$H:$H,$E12,'IND RESID'!$I:$I,$F12)/SUMIFS('IND RESID'!$M:$M,'IND RESID'!$I:$I,$F12)*AC12,1),3)</f>
        <v>0</v>
      </c>
      <c r="Z12" s="26"/>
      <c r="AA12" s="26"/>
      <c r="AB12" s="22"/>
      <c r="AC12" s="28">
        <v>3</v>
      </c>
    </row>
    <row r="13" spans="1:29">
      <c r="A13" s="14">
        <f>A9+1</f>
        <v>3</v>
      </c>
      <c r="B13" s="9"/>
      <c r="C13" s="15" t="str">
        <f>IF(E13="","",IF(SUMIFS('IND TECH'!$Q:$Q,'IND TECH'!$J:$J,E13,'IND TECH'!$K:$K,F13)=0,"*","UC_MarketShare_"&amp;LEFT(F13,LEN(F13)-3)&amp;"_"&amp;RIGHT(E13,3)&amp;"_MIN"))</f>
        <v>UC_MarketShare_INDAIN_LPG_MIN</v>
      </c>
      <c r="D13" s="16"/>
      <c r="E13" s="17" t="str">
        <f>_xlfn.XLOOKUP($A13,Selected_constraint!$A:$A,Selected_constraint!$B:$B)</f>
        <v>INDLPG</v>
      </c>
      <c r="F13" s="17" t="str">
        <f>_xlfn.XLOOKUP($A13,Selected_constraint!$A:$A,Selected_constraint!$C:$C)</f>
        <v>INDAINDMD</v>
      </c>
      <c r="G13" s="17" t="str">
        <f>F13</f>
        <v>INDAINDMD</v>
      </c>
      <c r="H13" s="18">
        <v>2019</v>
      </c>
      <c r="I13" s="18" t="s">
        <v>166</v>
      </c>
      <c r="J13" s="18">
        <v>1</v>
      </c>
      <c r="K13" s="20">
        <f>-ROUNDDOWN(SUMIFS('IND RESID'!$M:$M,'IND RESID'!$H:$H,$E13,'IND RESID'!$I:$I,$F13)/SUMIFS('IND RESID'!$M:$M,'IND RESID'!$I:$I,$F13),3)*O13</f>
        <v>0</v>
      </c>
      <c r="L13" s="18">
        <v>0</v>
      </c>
      <c r="M13" s="18">
        <v>5</v>
      </c>
      <c r="N13" s="9"/>
      <c r="O13" s="21">
        <v>0.98</v>
      </c>
      <c r="Q13" s="15" t="str">
        <f t="shared" si="0"/>
        <v>UC_MarketShare_INDAIN_LPG_MAX</v>
      </c>
      <c r="R13" s="16"/>
      <c r="S13" s="17" t="str">
        <f t="shared" si="2"/>
        <v>INDLPG</v>
      </c>
      <c r="T13" s="17" t="str">
        <f t="shared" si="3"/>
        <v>INDAINDMD</v>
      </c>
      <c r="U13" s="17" t="str">
        <f t="shared" si="4"/>
        <v>INDAINDMD</v>
      </c>
      <c r="V13" s="18">
        <v>2019</v>
      </c>
      <c r="W13" s="18" t="s">
        <v>167</v>
      </c>
      <c r="X13" s="18">
        <v>1</v>
      </c>
      <c r="Y13" s="20">
        <f>-ROUNDUP(MIN(SUMIFS('IND RESID'!$M:$M,'IND RESID'!$H:$H,$E13,'IND RESID'!$I:$I,$F13)/SUMIFS('IND RESID'!$M:$M,'IND RESID'!$I:$I,$F13)*AC13,1),3)</f>
        <v>0</v>
      </c>
      <c r="Z13" s="18">
        <v>0</v>
      </c>
      <c r="AA13" s="18">
        <v>5</v>
      </c>
      <c r="AB13" s="9"/>
      <c r="AC13" s="21">
        <v>1.02</v>
      </c>
    </row>
    <row r="14" spans="1:29">
      <c r="A14" s="9">
        <f>A13</f>
        <v>3</v>
      </c>
      <c r="B14" s="9"/>
      <c r="C14" s="15" t="str">
        <f>IF(C13="*",C13,"")</f>
        <v/>
      </c>
      <c r="D14" s="16"/>
      <c r="E14" s="17" t="str">
        <f t="shared" ref="E14:G16" si="6">E13</f>
        <v>INDLPG</v>
      </c>
      <c r="F14" s="17" t="str">
        <f t="shared" si="6"/>
        <v>INDAINDMD</v>
      </c>
      <c r="G14" s="17" t="str">
        <f t="shared" si="6"/>
        <v>INDAINDMD</v>
      </c>
      <c r="H14" s="18">
        <v>2025</v>
      </c>
      <c r="I14" s="18" t="str">
        <f>I13</f>
        <v>LO</v>
      </c>
      <c r="J14" s="18"/>
      <c r="K14" s="20">
        <f>-ROUNDDOWN(SUMIFS('IND RESID'!$M:$M,'IND RESID'!$H:$H,$E14,'IND RESID'!$I:$I,$F14)/SUMIFS('IND RESID'!$M:$M,'IND RESID'!$I:$I,$F14),3)*O14</f>
        <v>0</v>
      </c>
      <c r="L14" s="18"/>
      <c r="M14" s="18"/>
      <c r="N14" s="9"/>
      <c r="O14" s="21">
        <v>0.8</v>
      </c>
      <c r="Q14" s="15" t="str">
        <f t="shared" si="0"/>
        <v/>
      </c>
      <c r="R14" s="16"/>
      <c r="S14" s="17" t="str">
        <f t="shared" si="2"/>
        <v>INDLPG</v>
      </c>
      <c r="T14" s="17" t="str">
        <f t="shared" si="3"/>
        <v>INDAINDMD</v>
      </c>
      <c r="U14" s="17" t="str">
        <f t="shared" si="4"/>
        <v>INDAINDMD</v>
      </c>
      <c r="V14" s="18">
        <v>2025</v>
      </c>
      <c r="W14" s="18" t="str">
        <f>W13</f>
        <v>UP</v>
      </c>
      <c r="X14" s="18"/>
      <c r="Y14" s="20">
        <f>-ROUNDUP(MIN(SUMIFS('IND RESID'!$M:$M,'IND RESID'!$H:$H,$E14,'IND RESID'!$I:$I,$F14)/SUMIFS('IND RESID'!$M:$M,'IND RESID'!$I:$I,$F14)*AC14,1),3)</f>
        <v>0</v>
      </c>
      <c r="Z14" s="18"/>
      <c r="AA14" s="18"/>
      <c r="AB14" s="9"/>
      <c r="AC14" s="21">
        <v>1.2</v>
      </c>
    </row>
    <row r="15" spans="1:29">
      <c r="A15" s="9">
        <f>A14</f>
        <v>3</v>
      </c>
      <c r="B15" s="9"/>
      <c r="C15" s="15" t="str">
        <f>IF(C14="*",C14,"")</f>
        <v/>
      </c>
      <c r="D15" s="16"/>
      <c r="E15" s="17" t="str">
        <f t="shared" si="6"/>
        <v>INDLPG</v>
      </c>
      <c r="F15" s="17" t="str">
        <f t="shared" si="6"/>
        <v>INDAINDMD</v>
      </c>
      <c r="G15" s="17" t="str">
        <f t="shared" si="6"/>
        <v>INDAINDMD</v>
      </c>
      <c r="H15" s="18">
        <v>2030</v>
      </c>
      <c r="I15" s="18" t="str">
        <f>I14</f>
        <v>LO</v>
      </c>
      <c r="J15" s="18"/>
      <c r="K15" s="20">
        <f>-ROUNDDOWN(SUMIFS('IND RESID'!$M:$M,'IND RESID'!$H:$H,$E15,'IND RESID'!$I:$I,$F15)/SUMIFS('IND RESID'!$M:$M,'IND RESID'!$I:$I,$F15),3)*O15</f>
        <v>0</v>
      </c>
      <c r="L15" s="18"/>
      <c r="M15" s="18"/>
      <c r="N15" s="9"/>
      <c r="O15" s="21">
        <v>0.2</v>
      </c>
      <c r="Q15" s="15" t="str">
        <f t="shared" si="0"/>
        <v/>
      </c>
      <c r="R15" s="16"/>
      <c r="S15" s="17" t="str">
        <f t="shared" si="2"/>
        <v>INDLPG</v>
      </c>
      <c r="T15" s="17" t="str">
        <f t="shared" si="3"/>
        <v>INDAINDMD</v>
      </c>
      <c r="U15" s="17" t="str">
        <f t="shared" si="4"/>
        <v>INDAINDMD</v>
      </c>
      <c r="V15" s="18">
        <v>2030</v>
      </c>
      <c r="W15" s="18" t="str">
        <f>W14</f>
        <v>UP</v>
      </c>
      <c r="X15" s="18"/>
      <c r="Y15" s="20">
        <f>-ROUNDUP(MIN(SUMIFS('IND RESID'!$M:$M,'IND RESID'!$H:$H,$E15,'IND RESID'!$I:$I,$F15)/SUMIFS('IND RESID'!$M:$M,'IND RESID'!$I:$I,$F15)*AC15,1),3)</f>
        <v>0</v>
      </c>
      <c r="Z15" s="18"/>
      <c r="AA15" s="18"/>
      <c r="AB15" s="9"/>
      <c r="AC15" s="21">
        <v>1.5</v>
      </c>
    </row>
    <row r="16" spans="1:29">
      <c r="A16" s="22">
        <f>A15</f>
        <v>3</v>
      </c>
      <c r="B16" s="22"/>
      <c r="C16" s="23" t="str">
        <f>IF(C15="*",C15,"")</f>
        <v/>
      </c>
      <c r="D16" s="24"/>
      <c r="E16" s="25" t="str">
        <f t="shared" si="6"/>
        <v>INDLPG</v>
      </c>
      <c r="F16" s="25" t="str">
        <f t="shared" si="6"/>
        <v>INDAINDMD</v>
      </c>
      <c r="G16" s="25" t="str">
        <f t="shared" si="6"/>
        <v>INDAINDMD</v>
      </c>
      <c r="H16" s="26">
        <v>2050</v>
      </c>
      <c r="I16" s="26" t="str">
        <f>I15</f>
        <v>LO</v>
      </c>
      <c r="J16" s="26"/>
      <c r="K16" s="27">
        <f>-ROUNDDOWN(SUMIFS('IND RESID'!$M:$M,'IND RESID'!$H:$H,$E16,'IND RESID'!$I:$I,$F16)/SUMIFS('IND RESID'!$M:$M,'IND RESID'!$I:$I,$F16),3)*O16</f>
        <v>0</v>
      </c>
      <c r="L16" s="26"/>
      <c r="M16" s="26"/>
      <c r="N16" s="22"/>
      <c r="O16" s="28">
        <v>0</v>
      </c>
      <c r="Q16" s="23" t="str">
        <f t="shared" si="0"/>
        <v/>
      </c>
      <c r="R16" s="24"/>
      <c r="S16" s="25" t="str">
        <f t="shared" si="2"/>
        <v>INDLPG</v>
      </c>
      <c r="T16" s="25" t="str">
        <f t="shared" si="3"/>
        <v>INDAINDMD</v>
      </c>
      <c r="U16" s="25" t="str">
        <f t="shared" si="4"/>
        <v>INDAINDMD</v>
      </c>
      <c r="V16" s="26">
        <v>2050</v>
      </c>
      <c r="W16" s="26" t="str">
        <f>W15</f>
        <v>UP</v>
      </c>
      <c r="X16" s="26"/>
      <c r="Y16" s="27">
        <f>-ROUNDUP(MIN(SUMIFS('IND RESID'!$M:$M,'IND RESID'!$H:$H,$E16,'IND RESID'!$I:$I,$F16)/SUMIFS('IND RESID'!$M:$M,'IND RESID'!$I:$I,$F16)*AC16,1),3)</f>
        <v>0</v>
      </c>
      <c r="Z16" s="26"/>
      <c r="AA16" s="26"/>
      <c r="AB16" s="22"/>
      <c r="AC16" s="28">
        <v>3</v>
      </c>
    </row>
    <row r="17" spans="1:29">
      <c r="A17" s="14">
        <f>A13+1</f>
        <v>4</v>
      </c>
      <c r="B17" s="9"/>
      <c r="C17" s="15" t="str">
        <f>IF(E17="","",IF(SUMIFS('IND TECH'!$Q:$Q,'IND TECH'!$J:$J,E17,'IND TECH'!$K:$K,F17)=0,"*","UC_MarketShare_"&amp;LEFT(F17,LEN(F17)-3)&amp;"_"&amp;RIGHT(E17,3)&amp;"_MIN"))</f>
        <v>UC_MarketShare_INDAIN_FOI_MIN</v>
      </c>
      <c r="D17" s="16"/>
      <c r="E17" s="17" t="str">
        <f>_xlfn.XLOOKUP($A17,Selected_constraint!$A:$A,Selected_constraint!$B:$B)</f>
        <v>INDFOI</v>
      </c>
      <c r="F17" s="17" t="str">
        <f>_xlfn.XLOOKUP($A17,Selected_constraint!$A:$A,Selected_constraint!$C:$C)</f>
        <v>INDAINDMD</v>
      </c>
      <c r="G17" s="17" t="str">
        <f>F17</f>
        <v>INDAINDMD</v>
      </c>
      <c r="H17" s="18">
        <v>2019</v>
      </c>
      <c r="I17" s="18" t="s">
        <v>166</v>
      </c>
      <c r="J17" s="18">
        <v>1</v>
      </c>
      <c r="K17" s="20">
        <f>-ROUNDDOWN(SUMIFS('IND RESID'!$M:$M,'IND RESID'!$H:$H,$E17,'IND RESID'!$I:$I,$F17)/SUMIFS('IND RESID'!$M:$M,'IND RESID'!$I:$I,$F17),3)*O17</f>
        <v>-4.3119999999999999E-2</v>
      </c>
      <c r="L17" s="18">
        <v>0</v>
      </c>
      <c r="M17" s="18">
        <v>5</v>
      </c>
      <c r="N17" s="9"/>
      <c r="O17" s="21">
        <v>0.98</v>
      </c>
      <c r="Q17" s="15" t="str">
        <f t="shared" si="0"/>
        <v>UC_MarketShare_INDAIN_FOI_MAX</v>
      </c>
      <c r="R17" s="16"/>
      <c r="S17" s="17" t="str">
        <f t="shared" si="2"/>
        <v>INDFOI</v>
      </c>
      <c r="T17" s="17" t="str">
        <f t="shared" si="3"/>
        <v>INDAINDMD</v>
      </c>
      <c r="U17" s="17" t="str">
        <f t="shared" si="4"/>
        <v>INDAINDMD</v>
      </c>
      <c r="V17" s="18">
        <v>2019</v>
      </c>
      <c r="W17" s="18" t="s">
        <v>167</v>
      </c>
      <c r="X17" s="18">
        <v>1</v>
      </c>
      <c r="Y17" s="20">
        <f>-ROUNDUP(MIN(SUMIFS('IND RESID'!$M:$M,'IND RESID'!$H:$H,$E17,'IND RESID'!$I:$I,$F17)/SUMIFS('IND RESID'!$M:$M,'IND RESID'!$I:$I,$F17)*AC17,1),3)</f>
        <v>-4.5999999999999999E-2</v>
      </c>
      <c r="Z17" s="18">
        <v>0</v>
      </c>
      <c r="AA17" s="18">
        <v>5</v>
      </c>
      <c r="AB17" s="9"/>
      <c r="AC17" s="21">
        <v>1.02</v>
      </c>
    </row>
    <row r="18" spans="1:29">
      <c r="A18" s="9">
        <f>A17</f>
        <v>4</v>
      </c>
      <c r="B18" s="9"/>
      <c r="C18" s="15" t="str">
        <f>IF(C17="*",C17,"")</f>
        <v/>
      </c>
      <c r="D18" s="16"/>
      <c r="E18" s="17" t="str">
        <f t="shared" ref="E18:G20" si="7">E17</f>
        <v>INDFOI</v>
      </c>
      <c r="F18" s="17" t="str">
        <f t="shared" si="7"/>
        <v>INDAINDMD</v>
      </c>
      <c r="G18" s="17" t="str">
        <f t="shared" si="7"/>
        <v>INDAINDMD</v>
      </c>
      <c r="H18" s="18">
        <v>2025</v>
      </c>
      <c r="I18" s="18" t="str">
        <f>I17</f>
        <v>LO</v>
      </c>
      <c r="J18" s="18"/>
      <c r="K18" s="20">
        <f>-ROUNDDOWN(SUMIFS('IND RESID'!$M:$M,'IND RESID'!$H:$H,$E18,'IND RESID'!$I:$I,$F18)/SUMIFS('IND RESID'!$M:$M,'IND RESID'!$I:$I,$F18),3)*O18</f>
        <v>-3.5200000000000002E-2</v>
      </c>
      <c r="L18" s="18"/>
      <c r="M18" s="18"/>
      <c r="N18" s="9"/>
      <c r="O18" s="21">
        <v>0.8</v>
      </c>
      <c r="Q18" s="15" t="str">
        <f t="shared" si="0"/>
        <v/>
      </c>
      <c r="R18" s="16"/>
      <c r="S18" s="17" t="str">
        <f t="shared" si="2"/>
        <v>INDFOI</v>
      </c>
      <c r="T18" s="17" t="str">
        <f t="shared" si="3"/>
        <v>INDAINDMD</v>
      </c>
      <c r="U18" s="17" t="str">
        <f t="shared" si="4"/>
        <v>INDAINDMD</v>
      </c>
      <c r="V18" s="18">
        <v>2025</v>
      </c>
      <c r="W18" s="18" t="str">
        <f>W17</f>
        <v>UP</v>
      </c>
      <c r="X18" s="18"/>
      <c r="Y18" s="20">
        <f>-ROUNDUP(MIN(SUMIFS('IND RESID'!$M:$M,'IND RESID'!$H:$H,$E18,'IND RESID'!$I:$I,$F18)/SUMIFS('IND RESID'!$M:$M,'IND RESID'!$I:$I,$F18)*AC18,1),3)</f>
        <v>-5.3999999999999999E-2</v>
      </c>
      <c r="Z18" s="18"/>
      <c r="AA18" s="18"/>
      <c r="AB18" s="9"/>
      <c r="AC18" s="21">
        <v>1.2</v>
      </c>
    </row>
    <row r="19" spans="1:29">
      <c r="A19" s="9">
        <f>A18</f>
        <v>4</v>
      </c>
      <c r="B19" s="9"/>
      <c r="C19" s="15" t="str">
        <f>IF(C18="*",C18,"")</f>
        <v/>
      </c>
      <c r="D19" s="16"/>
      <c r="E19" s="17" t="str">
        <f t="shared" si="7"/>
        <v>INDFOI</v>
      </c>
      <c r="F19" s="17" t="str">
        <f t="shared" si="7"/>
        <v>INDAINDMD</v>
      </c>
      <c r="G19" s="17" t="str">
        <f t="shared" si="7"/>
        <v>INDAINDMD</v>
      </c>
      <c r="H19" s="18">
        <v>2030</v>
      </c>
      <c r="I19" s="18" t="str">
        <f>I18</f>
        <v>LO</v>
      </c>
      <c r="J19" s="18"/>
      <c r="K19" s="20">
        <f>-ROUNDDOWN(SUMIFS('IND RESID'!$M:$M,'IND RESID'!$H:$H,$E19,'IND RESID'!$I:$I,$F19)/SUMIFS('IND RESID'!$M:$M,'IND RESID'!$I:$I,$F19),3)*O19</f>
        <v>-8.8000000000000005E-3</v>
      </c>
      <c r="L19" s="18"/>
      <c r="M19" s="18"/>
      <c r="N19" s="9"/>
      <c r="O19" s="21">
        <v>0.2</v>
      </c>
      <c r="Q19" s="15" t="str">
        <f t="shared" si="0"/>
        <v/>
      </c>
      <c r="R19" s="16"/>
      <c r="S19" s="17" t="str">
        <f t="shared" si="2"/>
        <v>INDFOI</v>
      </c>
      <c r="T19" s="17" t="str">
        <f t="shared" si="3"/>
        <v>INDAINDMD</v>
      </c>
      <c r="U19" s="17" t="str">
        <f t="shared" si="4"/>
        <v>INDAINDMD</v>
      </c>
      <c r="V19" s="18">
        <v>2030</v>
      </c>
      <c r="W19" s="18" t="str">
        <f>W18</f>
        <v>UP</v>
      </c>
      <c r="X19" s="18"/>
      <c r="Y19" s="20">
        <f>-ROUNDUP(MIN(SUMIFS('IND RESID'!$M:$M,'IND RESID'!$H:$H,$E19,'IND RESID'!$I:$I,$F19)/SUMIFS('IND RESID'!$M:$M,'IND RESID'!$I:$I,$F19)*AC19,1),3)</f>
        <v>-6.7000000000000004E-2</v>
      </c>
      <c r="Z19" s="18"/>
      <c r="AA19" s="18"/>
      <c r="AB19" s="9"/>
      <c r="AC19" s="21">
        <v>1.5</v>
      </c>
    </row>
    <row r="20" spans="1:29">
      <c r="A20" s="22">
        <f>A19</f>
        <v>4</v>
      </c>
      <c r="B20" s="22"/>
      <c r="C20" s="23" t="str">
        <f>IF(C19="*",C19,"")</f>
        <v/>
      </c>
      <c r="D20" s="24"/>
      <c r="E20" s="25" t="str">
        <f t="shared" si="7"/>
        <v>INDFOI</v>
      </c>
      <c r="F20" s="25" t="str">
        <f t="shared" si="7"/>
        <v>INDAINDMD</v>
      </c>
      <c r="G20" s="25" t="str">
        <f t="shared" si="7"/>
        <v>INDAINDMD</v>
      </c>
      <c r="H20" s="26">
        <v>2050</v>
      </c>
      <c r="I20" s="26" t="str">
        <f>I19</f>
        <v>LO</v>
      </c>
      <c r="J20" s="26"/>
      <c r="K20" s="27">
        <f>-ROUNDDOWN(SUMIFS('IND RESID'!$M:$M,'IND RESID'!$H:$H,$E20,'IND RESID'!$I:$I,$F20)/SUMIFS('IND RESID'!$M:$M,'IND RESID'!$I:$I,$F20),3)*O20</f>
        <v>0</v>
      </c>
      <c r="L20" s="26"/>
      <c r="M20" s="26"/>
      <c r="N20" s="22"/>
      <c r="O20" s="28">
        <v>0</v>
      </c>
      <c r="Q20" s="23" t="str">
        <f t="shared" si="0"/>
        <v/>
      </c>
      <c r="R20" s="24"/>
      <c r="S20" s="25" t="str">
        <f t="shared" si="2"/>
        <v>INDFOI</v>
      </c>
      <c r="T20" s="25" t="str">
        <f t="shared" si="3"/>
        <v>INDAINDMD</v>
      </c>
      <c r="U20" s="25" t="str">
        <f t="shared" si="4"/>
        <v>INDAINDMD</v>
      </c>
      <c r="V20" s="26">
        <v>2050</v>
      </c>
      <c r="W20" s="26" t="str">
        <f>W19</f>
        <v>UP</v>
      </c>
      <c r="X20" s="26"/>
      <c r="Y20" s="27">
        <f>-ROUNDUP(MIN(SUMIFS('IND RESID'!$M:$M,'IND RESID'!$H:$H,$E20,'IND RESID'!$I:$I,$F20)/SUMIFS('IND RESID'!$M:$M,'IND RESID'!$I:$I,$F20)*AC20,1),3)</f>
        <v>-0.13300000000000001</v>
      </c>
      <c r="Z20" s="26"/>
      <c r="AA20" s="26"/>
      <c r="AB20" s="22"/>
      <c r="AC20" s="28">
        <v>3</v>
      </c>
    </row>
    <row r="21" spans="1:29">
      <c r="A21" s="14">
        <f>A17+1</f>
        <v>5</v>
      </c>
      <c r="B21" s="9"/>
      <c r="C21" s="15" t="str">
        <f>IF(E21="","",IF(SUMIFS('IND TECH'!$Q:$Q,'IND TECH'!$J:$J,E21,'IND TECH'!$K:$K,F21)=0,"*","UC_MarketShare_"&amp;LEFT(F21,LEN(F21)-3)&amp;"_"&amp;RIGHT(E21,3)&amp;"_MIN"))</f>
        <v>UC_MarketShare_INDAIN_NGA_MIN</v>
      </c>
      <c r="D21" s="16"/>
      <c r="E21" s="17" t="str">
        <f>_xlfn.XLOOKUP($A21,Selected_constraint!$A:$A,Selected_constraint!$B:$B)</f>
        <v>INDNGA</v>
      </c>
      <c r="F21" s="17" t="str">
        <f>_xlfn.XLOOKUP($A21,Selected_constraint!$A:$A,Selected_constraint!$C:$C)</f>
        <v>INDAINDMD</v>
      </c>
      <c r="G21" s="17" t="str">
        <f>F21</f>
        <v>INDAINDMD</v>
      </c>
      <c r="H21" s="18">
        <v>2019</v>
      </c>
      <c r="I21" s="18" t="s">
        <v>166</v>
      </c>
      <c r="J21" s="18">
        <v>1</v>
      </c>
      <c r="K21" s="20">
        <f>-ROUNDDOWN(SUMIFS('IND RESID'!$M:$M,'IND RESID'!$H:$H,$E21,'IND RESID'!$I:$I,$F21)/SUMIFS('IND RESID'!$M:$M,'IND RESID'!$I:$I,$F21),3)*O21</f>
        <v>-0.45080000000000003</v>
      </c>
      <c r="L21" s="18">
        <v>0</v>
      </c>
      <c r="M21" s="18">
        <v>5</v>
      </c>
      <c r="N21" s="9"/>
      <c r="O21" s="21">
        <v>0.98</v>
      </c>
      <c r="Q21" s="15" t="str">
        <f t="shared" si="0"/>
        <v>UC_MarketShare_INDAIN_NGA_MAX</v>
      </c>
      <c r="R21" s="16"/>
      <c r="S21" s="17" t="str">
        <f t="shared" si="2"/>
        <v>INDNGA</v>
      </c>
      <c r="T21" s="17" t="str">
        <f t="shared" si="3"/>
        <v>INDAINDMD</v>
      </c>
      <c r="U21" s="17" t="str">
        <f t="shared" si="4"/>
        <v>INDAINDMD</v>
      </c>
      <c r="V21" s="18">
        <v>2019</v>
      </c>
      <c r="W21" s="18" t="s">
        <v>167</v>
      </c>
      <c r="X21" s="18">
        <v>1</v>
      </c>
      <c r="Y21" s="20">
        <f>-ROUNDUP(MIN(SUMIFS('IND RESID'!$M:$M,'IND RESID'!$H:$H,$E21,'IND RESID'!$I:$I,$F21)/SUMIFS('IND RESID'!$M:$M,'IND RESID'!$I:$I,$F21)*AC21,1),3)</f>
        <v>-0.47</v>
      </c>
      <c r="Z21" s="18">
        <v>0</v>
      </c>
      <c r="AA21" s="18">
        <v>5</v>
      </c>
      <c r="AB21" s="9"/>
      <c r="AC21" s="21">
        <v>1.02</v>
      </c>
    </row>
    <row r="22" spans="1:29">
      <c r="A22" s="9">
        <f>A21</f>
        <v>5</v>
      </c>
      <c r="B22" s="9"/>
      <c r="C22" s="15" t="str">
        <f>IF(C21="*",C21,"")</f>
        <v/>
      </c>
      <c r="D22" s="16"/>
      <c r="E22" s="17" t="str">
        <f t="shared" ref="E22:G24" si="8">E21</f>
        <v>INDNGA</v>
      </c>
      <c r="F22" s="17" t="str">
        <f t="shared" si="8"/>
        <v>INDAINDMD</v>
      </c>
      <c r="G22" s="17" t="str">
        <f t="shared" si="8"/>
        <v>INDAINDMD</v>
      </c>
      <c r="H22" s="18">
        <v>2025</v>
      </c>
      <c r="I22" s="18" t="str">
        <f>I21</f>
        <v>LO</v>
      </c>
      <c r="J22" s="18"/>
      <c r="K22" s="20">
        <f>-ROUNDDOWN(SUMIFS('IND RESID'!$M:$M,'IND RESID'!$H:$H,$E22,'IND RESID'!$I:$I,$F22)/SUMIFS('IND RESID'!$M:$M,'IND RESID'!$I:$I,$F22),3)*O22</f>
        <v>-0.36800000000000005</v>
      </c>
      <c r="L22" s="18"/>
      <c r="M22" s="18"/>
      <c r="N22" s="9"/>
      <c r="O22" s="21">
        <v>0.8</v>
      </c>
      <c r="Q22" s="15" t="str">
        <f t="shared" si="0"/>
        <v/>
      </c>
      <c r="R22" s="16"/>
      <c r="S22" s="17" t="str">
        <f t="shared" si="2"/>
        <v>INDNGA</v>
      </c>
      <c r="T22" s="17" t="str">
        <f t="shared" si="3"/>
        <v>INDAINDMD</v>
      </c>
      <c r="U22" s="17" t="str">
        <f t="shared" si="4"/>
        <v>INDAINDMD</v>
      </c>
      <c r="V22" s="18">
        <v>2025</v>
      </c>
      <c r="W22" s="18" t="str">
        <f>W21</f>
        <v>UP</v>
      </c>
      <c r="X22" s="18"/>
      <c r="Y22" s="20">
        <f>-ROUNDUP(MIN(SUMIFS('IND RESID'!$M:$M,'IND RESID'!$H:$H,$E22,'IND RESID'!$I:$I,$F22)/SUMIFS('IND RESID'!$M:$M,'IND RESID'!$I:$I,$F22)*AC22,1),3)</f>
        <v>-0.55300000000000005</v>
      </c>
      <c r="Z22" s="18"/>
      <c r="AA22" s="18"/>
      <c r="AB22" s="9"/>
      <c r="AC22" s="21">
        <v>1.2</v>
      </c>
    </row>
    <row r="23" spans="1:29">
      <c r="A23" s="9">
        <f>A22</f>
        <v>5</v>
      </c>
      <c r="B23" s="9"/>
      <c r="C23" s="15" t="str">
        <f>IF(C22="*",C22,"")</f>
        <v/>
      </c>
      <c r="D23" s="16"/>
      <c r="E23" s="17" t="str">
        <f t="shared" si="8"/>
        <v>INDNGA</v>
      </c>
      <c r="F23" s="17" t="str">
        <f t="shared" si="8"/>
        <v>INDAINDMD</v>
      </c>
      <c r="G23" s="17" t="str">
        <f t="shared" si="8"/>
        <v>INDAINDMD</v>
      </c>
      <c r="H23" s="18">
        <v>2030</v>
      </c>
      <c r="I23" s="18" t="str">
        <f>I22</f>
        <v>LO</v>
      </c>
      <c r="J23" s="18"/>
      <c r="K23" s="20">
        <f>-ROUNDDOWN(SUMIFS('IND RESID'!$M:$M,'IND RESID'!$H:$H,$E23,'IND RESID'!$I:$I,$F23)/SUMIFS('IND RESID'!$M:$M,'IND RESID'!$I:$I,$F23),3)*O23</f>
        <v>-9.2000000000000012E-2</v>
      </c>
      <c r="L23" s="18"/>
      <c r="M23" s="18"/>
      <c r="N23" s="9"/>
      <c r="O23" s="21">
        <v>0.2</v>
      </c>
      <c r="Q23" s="15" t="str">
        <f t="shared" si="0"/>
        <v/>
      </c>
      <c r="R23" s="16"/>
      <c r="S23" s="17" t="str">
        <f t="shared" si="2"/>
        <v>INDNGA</v>
      </c>
      <c r="T23" s="17" t="str">
        <f t="shared" si="3"/>
        <v>INDAINDMD</v>
      </c>
      <c r="U23" s="17" t="str">
        <f t="shared" si="4"/>
        <v>INDAINDMD</v>
      </c>
      <c r="V23" s="18">
        <v>2030</v>
      </c>
      <c r="W23" s="18" t="str">
        <f>W22</f>
        <v>UP</v>
      </c>
      <c r="X23" s="18"/>
      <c r="Y23" s="20">
        <f>-ROUNDUP(MIN(SUMIFS('IND RESID'!$M:$M,'IND RESID'!$H:$H,$E23,'IND RESID'!$I:$I,$F23)/SUMIFS('IND RESID'!$M:$M,'IND RESID'!$I:$I,$F23)*AC23,1),3)</f>
        <v>-0.69099999999999995</v>
      </c>
      <c r="Z23" s="18"/>
      <c r="AA23" s="18"/>
      <c r="AB23" s="9"/>
      <c r="AC23" s="21">
        <v>1.5</v>
      </c>
    </row>
    <row r="24" spans="1:29">
      <c r="A24" s="22">
        <f>A23</f>
        <v>5</v>
      </c>
      <c r="B24" s="22"/>
      <c r="C24" s="23" t="str">
        <f>IF(C23="*",C23,"")</f>
        <v/>
      </c>
      <c r="D24" s="24"/>
      <c r="E24" s="25" t="str">
        <f t="shared" si="8"/>
        <v>INDNGA</v>
      </c>
      <c r="F24" s="25" t="str">
        <f t="shared" si="8"/>
        <v>INDAINDMD</v>
      </c>
      <c r="G24" s="25" t="str">
        <f t="shared" si="8"/>
        <v>INDAINDMD</v>
      </c>
      <c r="H24" s="26">
        <v>2050</v>
      </c>
      <c r="I24" s="26" t="str">
        <f>I23</f>
        <v>LO</v>
      </c>
      <c r="J24" s="26"/>
      <c r="K24" s="27">
        <f>-ROUNDDOWN(SUMIFS('IND RESID'!$M:$M,'IND RESID'!$H:$H,$E24,'IND RESID'!$I:$I,$F24)/SUMIFS('IND RESID'!$M:$M,'IND RESID'!$I:$I,$F24),3)*O24</f>
        <v>0</v>
      </c>
      <c r="L24" s="26"/>
      <c r="M24" s="26"/>
      <c r="N24" s="22"/>
      <c r="O24" s="28">
        <v>0</v>
      </c>
      <c r="Q24" s="23" t="str">
        <f t="shared" si="0"/>
        <v/>
      </c>
      <c r="R24" s="24"/>
      <c r="S24" s="25" t="str">
        <f t="shared" si="2"/>
        <v>INDNGA</v>
      </c>
      <c r="T24" s="25" t="str">
        <f t="shared" si="3"/>
        <v>INDAINDMD</v>
      </c>
      <c r="U24" s="25" t="str">
        <f t="shared" si="4"/>
        <v>INDAINDMD</v>
      </c>
      <c r="V24" s="26">
        <v>2050</v>
      </c>
      <c r="W24" s="26" t="str">
        <f>W23</f>
        <v>UP</v>
      </c>
      <c r="X24" s="26"/>
      <c r="Y24" s="27">
        <f>-ROUNDUP(MIN(SUMIFS('IND RESID'!$M:$M,'IND RESID'!$H:$H,$E24,'IND RESID'!$I:$I,$F24)/SUMIFS('IND RESID'!$M:$M,'IND RESID'!$I:$I,$F24)*AC24,1),3)</f>
        <v>-1</v>
      </c>
      <c r="Z24" s="26"/>
      <c r="AA24" s="26"/>
      <c r="AB24" s="22"/>
      <c r="AC24" s="28">
        <v>3</v>
      </c>
    </row>
    <row r="25" spans="1:29">
      <c r="A25" s="14">
        <f>A21+1</f>
        <v>6</v>
      </c>
      <c r="B25" s="9"/>
      <c r="C25" s="15" t="str">
        <f>IF(E25="","",IF(SUMIFS('IND TECH'!$Q:$Q,'IND TECH'!$J:$J,E25,'IND TECH'!$K:$K,F25)=0,"*","UC_MarketShare_"&amp;LEFT(F25,LEN(F25)-3)&amp;"_"&amp;RIGHT(E25,3)&amp;"_MIN"))</f>
        <v>UC_MarketShare_INDAIN_RNG_MIN</v>
      </c>
      <c r="D25" s="16"/>
      <c r="E25" s="17" t="str">
        <f>_xlfn.XLOOKUP($A25,Selected_constraint!$A:$A,Selected_constraint!$B:$B)</f>
        <v>INDRNG</v>
      </c>
      <c r="F25" s="17" t="str">
        <f>_xlfn.XLOOKUP($A25,Selected_constraint!$A:$A,Selected_constraint!$C:$C)</f>
        <v>INDAINDMD</v>
      </c>
      <c r="G25" s="17" t="str">
        <f>F25</f>
        <v>INDAINDMD</v>
      </c>
      <c r="H25" s="18">
        <v>2019</v>
      </c>
      <c r="I25" s="18" t="s">
        <v>166</v>
      </c>
      <c r="J25" s="18">
        <v>1</v>
      </c>
      <c r="K25" s="20">
        <f>-ROUNDDOWN(SUMIFS('IND RESID'!$M:$M,'IND RESID'!$H:$H,$E25,'IND RESID'!$I:$I,$F25)/SUMIFS('IND RESID'!$M:$M,'IND RESID'!$I:$I,$F25),3)*O25</f>
        <v>-9.7999999999999997E-4</v>
      </c>
      <c r="L25" s="18">
        <v>0</v>
      </c>
      <c r="M25" s="18">
        <v>5</v>
      </c>
      <c r="N25" s="9"/>
      <c r="O25" s="21">
        <v>0.98</v>
      </c>
      <c r="Q25" s="15" t="str">
        <f t="shared" si="0"/>
        <v>UC_MarketShare_INDAIN_RNG_MAX</v>
      </c>
      <c r="R25" s="16"/>
      <c r="S25" s="17" t="str">
        <f t="shared" si="2"/>
        <v>INDRNG</v>
      </c>
      <c r="T25" s="17" t="str">
        <f t="shared" si="3"/>
        <v>INDAINDMD</v>
      </c>
      <c r="U25" s="17" t="str">
        <f t="shared" si="4"/>
        <v>INDAINDMD</v>
      </c>
      <c r="V25" s="18">
        <v>2019</v>
      </c>
      <c r="W25" s="18" t="s">
        <v>167</v>
      </c>
      <c r="X25" s="18">
        <v>1</v>
      </c>
      <c r="Y25" s="20">
        <f>-ROUNDUP(MIN(SUMIFS('IND RESID'!$M:$M,'IND RESID'!$H:$H,$E25,'IND RESID'!$I:$I,$F25)/SUMIFS('IND RESID'!$M:$M,'IND RESID'!$I:$I,$F25)*AC25,1),3)</f>
        <v>-2E-3</v>
      </c>
      <c r="Z25" s="18">
        <v>0</v>
      </c>
      <c r="AA25" s="18">
        <v>5</v>
      </c>
      <c r="AB25" s="9"/>
      <c r="AC25" s="21">
        <v>1.02</v>
      </c>
    </row>
    <row r="26" spans="1:29">
      <c r="A26" s="9">
        <f>A25</f>
        <v>6</v>
      </c>
      <c r="B26" s="9"/>
      <c r="C26" s="15" t="str">
        <f>IF(C25="*",C25,"")</f>
        <v/>
      </c>
      <c r="D26" s="16"/>
      <c r="E26" s="17" t="str">
        <f t="shared" ref="E26:G28" si="9">E25</f>
        <v>INDRNG</v>
      </c>
      <c r="F26" s="17" t="str">
        <f t="shared" si="9"/>
        <v>INDAINDMD</v>
      </c>
      <c r="G26" s="17" t="str">
        <f t="shared" si="9"/>
        <v>INDAINDMD</v>
      </c>
      <c r="H26" s="18">
        <v>2025</v>
      </c>
      <c r="I26" s="18" t="str">
        <f>I25</f>
        <v>LO</v>
      </c>
      <c r="J26" s="18"/>
      <c r="K26" s="20">
        <f>-ROUNDDOWN(SUMIFS('IND RESID'!$M:$M,'IND RESID'!$H:$H,$E26,'IND RESID'!$I:$I,$F26)/SUMIFS('IND RESID'!$M:$M,'IND RESID'!$I:$I,$F26),3)*O26</f>
        <v>-8.0000000000000004E-4</v>
      </c>
      <c r="L26" s="18"/>
      <c r="M26" s="18"/>
      <c r="N26" s="9"/>
      <c r="O26" s="21">
        <v>0.8</v>
      </c>
      <c r="Q26" s="15" t="str">
        <f t="shared" si="0"/>
        <v/>
      </c>
      <c r="R26" s="16"/>
      <c r="S26" s="17" t="str">
        <f t="shared" si="2"/>
        <v>INDRNG</v>
      </c>
      <c r="T26" s="17" t="str">
        <f t="shared" si="3"/>
        <v>INDAINDMD</v>
      </c>
      <c r="U26" s="17" t="str">
        <f t="shared" si="4"/>
        <v>INDAINDMD</v>
      </c>
      <c r="V26" s="18">
        <v>2025</v>
      </c>
      <c r="W26" s="18" t="str">
        <f>W25</f>
        <v>UP</v>
      </c>
      <c r="X26" s="18"/>
      <c r="Y26" s="20">
        <f>-ROUNDUP(MIN(SUMIFS('IND RESID'!$M:$M,'IND RESID'!$H:$H,$E26,'IND RESID'!$I:$I,$F26)/SUMIFS('IND RESID'!$M:$M,'IND RESID'!$I:$I,$F26)*AC26,1),3)</f>
        <v>-2E-3</v>
      </c>
      <c r="Z26" s="18"/>
      <c r="AA26" s="18"/>
      <c r="AB26" s="9"/>
      <c r="AC26" s="21">
        <v>1.2</v>
      </c>
    </row>
    <row r="27" spans="1:29">
      <c r="A27" s="9">
        <f>A26</f>
        <v>6</v>
      </c>
      <c r="B27" s="9"/>
      <c r="C27" s="15" t="str">
        <f>IF(C26="*",C26,"")</f>
        <v/>
      </c>
      <c r="D27" s="16"/>
      <c r="E27" s="17" t="str">
        <f t="shared" si="9"/>
        <v>INDRNG</v>
      </c>
      <c r="F27" s="17" t="str">
        <f t="shared" si="9"/>
        <v>INDAINDMD</v>
      </c>
      <c r="G27" s="17" t="str">
        <f t="shared" si="9"/>
        <v>INDAINDMD</v>
      </c>
      <c r="H27" s="18">
        <v>2030</v>
      </c>
      <c r="I27" s="18" t="str">
        <f>I26</f>
        <v>LO</v>
      </c>
      <c r="J27" s="18"/>
      <c r="K27" s="20">
        <f>-ROUNDDOWN(SUMIFS('IND RESID'!$M:$M,'IND RESID'!$H:$H,$E27,'IND RESID'!$I:$I,$F27)/SUMIFS('IND RESID'!$M:$M,'IND RESID'!$I:$I,$F27),3)*O27</f>
        <v>-2.0000000000000001E-4</v>
      </c>
      <c r="L27" s="18"/>
      <c r="M27" s="18"/>
      <c r="N27" s="9"/>
      <c r="O27" s="21">
        <v>0.2</v>
      </c>
      <c r="Q27" s="15" t="str">
        <f t="shared" si="0"/>
        <v/>
      </c>
      <c r="R27" s="16"/>
      <c r="S27" s="17" t="str">
        <f t="shared" si="2"/>
        <v>INDRNG</v>
      </c>
      <c r="T27" s="17" t="str">
        <f t="shared" si="3"/>
        <v>INDAINDMD</v>
      </c>
      <c r="U27" s="17" t="str">
        <f t="shared" si="4"/>
        <v>INDAINDMD</v>
      </c>
      <c r="V27" s="18">
        <v>2030</v>
      </c>
      <c r="W27" s="18" t="str">
        <f>W26</f>
        <v>UP</v>
      </c>
      <c r="X27" s="18"/>
      <c r="Y27" s="20">
        <f>-ROUNDUP(MIN(SUMIFS('IND RESID'!$M:$M,'IND RESID'!$H:$H,$E27,'IND RESID'!$I:$I,$F27)/SUMIFS('IND RESID'!$M:$M,'IND RESID'!$I:$I,$F27)*AC27,1),3)</f>
        <v>-2E-3</v>
      </c>
      <c r="Z27" s="18"/>
      <c r="AA27" s="18"/>
      <c r="AB27" s="9"/>
      <c r="AC27" s="21">
        <v>1.5</v>
      </c>
    </row>
    <row r="28" spans="1:29">
      <c r="A28" s="22">
        <f>A27</f>
        <v>6</v>
      </c>
      <c r="B28" s="22"/>
      <c r="C28" s="23" t="str">
        <f>IF(C27="*",C27,"")</f>
        <v/>
      </c>
      <c r="D28" s="24"/>
      <c r="E28" s="25" t="str">
        <f t="shared" si="9"/>
        <v>INDRNG</v>
      </c>
      <c r="F28" s="25" t="str">
        <f t="shared" si="9"/>
        <v>INDAINDMD</v>
      </c>
      <c r="G28" s="25" t="str">
        <f t="shared" si="9"/>
        <v>INDAINDMD</v>
      </c>
      <c r="H28" s="26">
        <v>2050</v>
      </c>
      <c r="I28" s="26" t="str">
        <f>I27</f>
        <v>LO</v>
      </c>
      <c r="J28" s="26"/>
      <c r="K28" s="27">
        <f>-ROUNDDOWN(SUMIFS('IND RESID'!$M:$M,'IND RESID'!$H:$H,$E28,'IND RESID'!$I:$I,$F28)/SUMIFS('IND RESID'!$M:$M,'IND RESID'!$I:$I,$F28),3)*O28</f>
        <v>0</v>
      </c>
      <c r="L28" s="26"/>
      <c r="M28" s="26"/>
      <c r="N28" s="22"/>
      <c r="O28" s="28">
        <v>0</v>
      </c>
      <c r="Q28" s="23" t="str">
        <f t="shared" si="0"/>
        <v/>
      </c>
      <c r="R28" s="24"/>
      <c r="S28" s="25" t="str">
        <f t="shared" si="2"/>
        <v>INDRNG</v>
      </c>
      <c r="T28" s="25" t="str">
        <f t="shared" si="3"/>
        <v>INDAINDMD</v>
      </c>
      <c r="U28" s="25" t="str">
        <f t="shared" si="4"/>
        <v>INDAINDMD</v>
      </c>
      <c r="V28" s="26">
        <v>2050</v>
      </c>
      <c r="W28" s="26" t="str">
        <f>W27</f>
        <v>UP</v>
      </c>
      <c r="X28" s="26"/>
      <c r="Y28" s="27">
        <f>-ROUNDUP(MIN(SUMIFS('IND RESID'!$M:$M,'IND RESID'!$H:$H,$E28,'IND RESID'!$I:$I,$F28)/SUMIFS('IND RESID'!$M:$M,'IND RESID'!$I:$I,$F28)*AC28,1),3)</f>
        <v>-4.0000000000000001E-3</v>
      </c>
      <c r="Z28" s="26"/>
      <c r="AA28" s="26"/>
      <c r="AB28" s="22"/>
      <c r="AC28" s="28">
        <v>3</v>
      </c>
    </row>
    <row r="29" spans="1:29">
      <c r="A29" s="14">
        <f>A25+1</f>
        <v>7</v>
      </c>
      <c r="B29" s="9"/>
      <c r="C29" s="15" t="str">
        <f>IF(E29="","",IF(SUMIFS('IND TECH'!$Q:$Q,'IND TECH'!$J:$J,E29,'IND TECH'!$K:$K,F29)=0,"*","UC_MarketShare_"&amp;LEFT(F29,LEN(F29)-3)&amp;"_"&amp;RIGHT(E29,3)&amp;"_MIN"))</f>
        <v>UC_MarketShare_INDAIN_KER_MIN</v>
      </c>
      <c r="D29" s="16"/>
      <c r="E29" s="17" t="str">
        <f>_xlfn.XLOOKUP($A29,Selected_constraint!$A:$A,Selected_constraint!$B:$B)</f>
        <v>INDKER</v>
      </c>
      <c r="F29" s="17" t="str">
        <f>_xlfn.XLOOKUP($A29,Selected_constraint!$A:$A,Selected_constraint!$C:$C)</f>
        <v>INDAINDMD</v>
      </c>
      <c r="G29" s="17" t="str">
        <f>F29</f>
        <v>INDAINDMD</v>
      </c>
      <c r="H29" s="18">
        <v>2019</v>
      </c>
      <c r="I29" s="18" t="s">
        <v>166</v>
      </c>
      <c r="J29" s="18">
        <v>1</v>
      </c>
      <c r="K29" s="20">
        <f>-ROUNDDOWN(SUMIFS('IND RESID'!$M:$M,'IND RESID'!$H:$H,$E29,'IND RESID'!$I:$I,$F29)/SUMIFS('IND RESID'!$M:$M,'IND RESID'!$I:$I,$F29),3)*O29</f>
        <v>0</v>
      </c>
      <c r="L29" s="18">
        <v>0</v>
      </c>
      <c r="M29" s="18">
        <v>5</v>
      </c>
      <c r="N29" s="9"/>
      <c r="O29" s="21">
        <v>0.98</v>
      </c>
      <c r="Q29" s="15" t="str">
        <f t="shared" si="0"/>
        <v>UC_MarketShare_INDAIN_KER_MAX</v>
      </c>
      <c r="R29" s="16"/>
      <c r="S29" s="17" t="str">
        <f t="shared" si="2"/>
        <v>INDKER</v>
      </c>
      <c r="T29" s="17" t="str">
        <f t="shared" si="3"/>
        <v>INDAINDMD</v>
      </c>
      <c r="U29" s="17" t="str">
        <f t="shared" si="4"/>
        <v>INDAINDMD</v>
      </c>
      <c r="V29" s="18">
        <v>2019</v>
      </c>
      <c r="W29" s="18" t="s">
        <v>167</v>
      </c>
      <c r="X29" s="18">
        <v>1</v>
      </c>
      <c r="Y29" s="20">
        <f>-ROUNDUP(MIN(SUMIFS('IND RESID'!$M:$M,'IND RESID'!$H:$H,$E29,'IND RESID'!$I:$I,$F29)/SUMIFS('IND RESID'!$M:$M,'IND RESID'!$I:$I,$F29)*AC29,1),3)</f>
        <v>0</v>
      </c>
      <c r="Z29" s="18">
        <v>0</v>
      </c>
      <c r="AA29" s="18">
        <v>5</v>
      </c>
      <c r="AB29" s="9"/>
      <c r="AC29" s="21">
        <v>1.02</v>
      </c>
    </row>
    <row r="30" spans="1:29">
      <c r="A30" s="9">
        <f>A29</f>
        <v>7</v>
      </c>
      <c r="B30" s="9"/>
      <c r="C30" s="15" t="str">
        <f>IF(C29="*",C29,"")</f>
        <v/>
      </c>
      <c r="D30" s="16"/>
      <c r="E30" s="17" t="str">
        <f t="shared" ref="E30:G32" si="10">E29</f>
        <v>INDKER</v>
      </c>
      <c r="F30" s="17" t="str">
        <f t="shared" si="10"/>
        <v>INDAINDMD</v>
      </c>
      <c r="G30" s="17" t="str">
        <f t="shared" si="10"/>
        <v>INDAINDMD</v>
      </c>
      <c r="H30" s="18">
        <v>2025</v>
      </c>
      <c r="I30" s="18" t="str">
        <f>I29</f>
        <v>LO</v>
      </c>
      <c r="J30" s="18"/>
      <c r="K30" s="20">
        <f>-ROUNDDOWN(SUMIFS('IND RESID'!$M:$M,'IND RESID'!$H:$H,$E30,'IND RESID'!$I:$I,$F30)/SUMIFS('IND RESID'!$M:$M,'IND RESID'!$I:$I,$F30),3)*O30</f>
        <v>0</v>
      </c>
      <c r="L30" s="18"/>
      <c r="M30" s="18"/>
      <c r="N30" s="9"/>
      <c r="O30" s="21">
        <v>0.8</v>
      </c>
      <c r="Q30" s="15" t="str">
        <f t="shared" si="0"/>
        <v/>
      </c>
      <c r="R30" s="16"/>
      <c r="S30" s="17" t="str">
        <f t="shared" si="2"/>
        <v>INDKER</v>
      </c>
      <c r="T30" s="17" t="str">
        <f t="shared" si="3"/>
        <v>INDAINDMD</v>
      </c>
      <c r="U30" s="17" t="str">
        <f t="shared" si="4"/>
        <v>INDAINDMD</v>
      </c>
      <c r="V30" s="18">
        <v>2025</v>
      </c>
      <c r="W30" s="18" t="str">
        <f>W29</f>
        <v>UP</v>
      </c>
      <c r="X30" s="18"/>
      <c r="Y30" s="20">
        <f>-ROUNDUP(MIN(SUMIFS('IND RESID'!$M:$M,'IND RESID'!$H:$H,$E30,'IND RESID'!$I:$I,$F30)/SUMIFS('IND RESID'!$M:$M,'IND RESID'!$I:$I,$F30)*AC30,1),3)</f>
        <v>0</v>
      </c>
      <c r="Z30" s="18"/>
      <c r="AA30" s="18"/>
      <c r="AB30" s="9"/>
      <c r="AC30" s="21">
        <v>1.2</v>
      </c>
    </row>
    <row r="31" spans="1:29">
      <c r="A31" s="9">
        <f>A30</f>
        <v>7</v>
      </c>
      <c r="B31" s="9"/>
      <c r="C31" s="15" t="str">
        <f>IF(C30="*",C30,"")</f>
        <v/>
      </c>
      <c r="D31" s="16"/>
      <c r="E31" s="17" t="str">
        <f t="shared" si="10"/>
        <v>INDKER</v>
      </c>
      <c r="F31" s="17" t="str">
        <f t="shared" si="10"/>
        <v>INDAINDMD</v>
      </c>
      <c r="G31" s="17" t="str">
        <f t="shared" si="10"/>
        <v>INDAINDMD</v>
      </c>
      <c r="H31" s="18">
        <v>2030</v>
      </c>
      <c r="I31" s="18" t="str">
        <f>I30</f>
        <v>LO</v>
      </c>
      <c r="J31" s="18"/>
      <c r="K31" s="20">
        <f>-ROUNDDOWN(SUMIFS('IND RESID'!$M:$M,'IND RESID'!$H:$H,$E31,'IND RESID'!$I:$I,$F31)/SUMIFS('IND RESID'!$M:$M,'IND RESID'!$I:$I,$F31),3)*O31</f>
        <v>0</v>
      </c>
      <c r="L31" s="18"/>
      <c r="M31" s="18"/>
      <c r="N31" s="9"/>
      <c r="O31" s="21">
        <v>0.2</v>
      </c>
      <c r="Q31" s="15" t="str">
        <f t="shared" si="0"/>
        <v/>
      </c>
      <c r="R31" s="16"/>
      <c r="S31" s="17" t="str">
        <f t="shared" si="2"/>
        <v>INDKER</v>
      </c>
      <c r="T31" s="17" t="str">
        <f t="shared" si="3"/>
        <v>INDAINDMD</v>
      </c>
      <c r="U31" s="17" t="str">
        <f t="shared" si="4"/>
        <v>INDAINDMD</v>
      </c>
      <c r="V31" s="18">
        <v>2030</v>
      </c>
      <c r="W31" s="18" t="str">
        <f>W30</f>
        <v>UP</v>
      </c>
      <c r="X31" s="18"/>
      <c r="Y31" s="20">
        <f>-ROUNDUP(MIN(SUMIFS('IND RESID'!$M:$M,'IND RESID'!$H:$H,$E31,'IND RESID'!$I:$I,$F31)/SUMIFS('IND RESID'!$M:$M,'IND RESID'!$I:$I,$F31)*AC31,1),3)</f>
        <v>0</v>
      </c>
      <c r="Z31" s="18"/>
      <c r="AA31" s="18"/>
      <c r="AB31" s="9"/>
      <c r="AC31" s="21">
        <v>1.5</v>
      </c>
    </row>
    <row r="32" spans="1:29">
      <c r="A32" s="22">
        <f>A31</f>
        <v>7</v>
      </c>
      <c r="B32" s="22"/>
      <c r="C32" s="23" t="str">
        <f>IF(C31="*",C31,"")</f>
        <v/>
      </c>
      <c r="D32" s="24"/>
      <c r="E32" s="25" t="str">
        <f t="shared" si="10"/>
        <v>INDKER</v>
      </c>
      <c r="F32" s="25" t="str">
        <f t="shared" si="10"/>
        <v>INDAINDMD</v>
      </c>
      <c r="G32" s="25" t="str">
        <f t="shared" si="10"/>
        <v>INDAINDMD</v>
      </c>
      <c r="H32" s="26">
        <v>2050</v>
      </c>
      <c r="I32" s="26" t="str">
        <f>I31</f>
        <v>LO</v>
      </c>
      <c r="J32" s="26"/>
      <c r="K32" s="27">
        <f>-ROUNDDOWN(SUMIFS('IND RESID'!$M:$M,'IND RESID'!$H:$H,$E32,'IND RESID'!$I:$I,$F32)/SUMIFS('IND RESID'!$M:$M,'IND RESID'!$I:$I,$F32),3)*O32</f>
        <v>0</v>
      </c>
      <c r="L32" s="26"/>
      <c r="M32" s="26"/>
      <c r="N32" s="22"/>
      <c r="O32" s="28">
        <v>0</v>
      </c>
      <c r="Q32" s="23" t="str">
        <f t="shared" si="0"/>
        <v/>
      </c>
      <c r="R32" s="24"/>
      <c r="S32" s="25" t="str">
        <f t="shared" si="2"/>
        <v>INDKER</v>
      </c>
      <c r="T32" s="25" t="str">
        <f t="shared" si="3"/>
        <v>INDAINDMD</v>
      </c>
      <c r="U32" s="25" t="str">
        <f t="shared" si="4"/>
        <v>INDAINDMD</v>
      </c>
      <c r="V32" s="26">
        <v>2050</v>
      </c>
      <c r="W32" s="26" t="str">
        <f>W31</f>
        <v>UP</v>
      </c>
      <c r="X32" s="26"/>
      <c r="Y32" s="27">
        <f>-ROUNDUP(MIN(SUMIFS('IND RESID'!$M:$M,'IND RESID'!$H:$H,$E32,'IND RESID'!$I:$I,$F32)/SUMIFS('IND RESID'!$M:$M,'IND RESID'!$I:$I,$F32)*AC32,1),3)</f>
        <v>0</v>
      </c>
      <c r="Z32" s="26"/>
      <c r="AA32" s="26"/>
      <c r="AB32" s="22"/>
      <c r="AC32" s="28">
        <v>3</v>
      </c>
    </row>
    <row r="33" spans="1:29">
      <c r="A33" s="14">
        <f>A29+1</f>
        <v>8</v>
      </c>
      <c r="B33" s="9"/>
      <c r="C33" s="15" t="str">
        <f>IF(E33="","",IF(SUMIFS('IND TECH'!$Q:$Q,'IND TECH'!$J:$J,E33,'IND TECH'!$K:$K,F33)=0,"*","UC_MarketShare_"&amp;LEFT(F33,LEN(F33)-3)&amp;"_"&amp;RIGHT(E33,3)&amp;"_MIN"))</f>
        <v>*</v>
      </c>
      <c r="D33" s="16"/>
      <c r="E33" s="17" t="str">
        <f>_xlfn.XLOOKUP($A33,Selected_constraint!$A:$A,Selected_constraint!$B:$B)</f>
        <v>INDWAS</v>
      </c>
      <c r="F33" s="17" t="str">
        <f>_xlfn.XLOOKUP($A33,Selected_constraint!$A:$A,Selected_constraint!$C:$C)</f>
        <v>INDAINDMD</v>
      </c>
      <c r="G33" s="17" t="str">
        <f>F33</f>
        <v>INDAINDMD</v>
      </c>
      <c r="H33" s="18">
        <v>2019</v>
      </c>
      <c r="I33" s="18" t="s">
        <v>166</v>
      </c>
      <c r="J33" s="18">
        <v>1</v>
      </c>
      <c r="K33" s="20">
        <f>-ROUNDDOWN(SUMIFS('IND RESID'!$M:$M,'IND RESID'!$H:$H,$E33,'IND RESID'!$I:$I,$F33)/SUMIFS('IND RESID'!$M:$M,'IND RESID'!$I:$I,$F33),3)*O33</f>
        <v>0</v>
      </c>
      <c r="L33" s="18">
        <v>0</v>
      </c>
      <c r="M33" s="18">
        <v>5</v>
      </c>
      <c r="N33" s="9"/>
      <c r="O33" s="21">
        <v>0.98</v>
      </c>
      <c r="Q33" s="15" t="str">
        <f t="shared" si="0"/>
        <v>*</v>
      </c>
      <c r="R33" s="16"/>
      <c r="S33" s="17" t="str">
        <f t="shared" si="2"/>
        <v>INDWAS</v>
      </c>
      <c r="T33" s="17" t="str">
        <f t="shared" si="3"/>
        <v>INDAINDMD</v>
      </c>
      <c r="U33" s="17" t="str">
        <f t="shared" si="4"/>
        <v>INDAINDMD</v>
      </c>
      <c r="V33" s="18">
        <v>2019</v>
      </c>
      <c r="W33" s="18" t="s">
        <v>167</v>
      </c>
      <c r="X33" s="18">
        <v>1</v>
      </c>
      <c r="Y33" s="20">
        <f>-ROUNDUP(MIN(SUMIFS('IND RESID'!$M:$M,'IND RESID'!$H:$H,$E33,'IND RESID'!$I:$I,$F33)/SUMIFS('IND RESID'!$M:$M,'IND RESID'!$I:$I,$F33)*AC33,1),3)</f>
        <v>0</v>
      </c>
      <c r="Z33" s="18">
        <v>0</v>
      </c>
      <c r="AA33" s="18">
        <v>5</v>
      </c>
      <c r="AB33" s="9"/>
      <c r="AC33" s="21">
        <v>1.02</v>
      </c>
    </row>
    <row r="34" spans="1:29">
      <c r="A34" s="9">
        <f>A33</f>
        <v>8</v>
      </c>
      <c r="B34" s="9"/>
      <c r="C34" s="15" t="str">
        <f>IF(C33="*",C33,"")</f>
        <v>*</v>
      </c>
      <c r="D34" s="16"/>
      <c r="E34" s="17" t="str">
        <f t="shared" ref="E34:G36" si="11">E33</f>
        <v>INDWAS</v>
      </c>
      <c r="F34" s="17" t="str">
        <f t="shared" si="11"/>
        <v>INDAINDMD</v>
      </c>
      <c r="G34" s="17" t="str">
        <f t="shared" si="11"/>
        <v>INDAINDMD</v>
      </c>
      <c r="H34" s="18">
        <v>2025</v>
      </c>
      <c r="I34" s="18" t="str">
        <f>I33</f>
        <v>LO</v>
      </c>
      <c r="J34" s="18"/>
      <c r="K34" s="20">
        <f>-ROUNDDOWN(SUMIFS('IND RESID'!$M:$M,'IND RESID'!$H:$H,$E34,'IND RESID'!$I:$I,$F34)/SUMIFS('IND RESID'!$M:$M,'IND RESID'!$I:$I,$F34),3)*O34</f>
        <v>0</v>
      </c>
      <c r="L34" s="18"/>
      <c r="M34" s="18"/>
      <c r="N34" s="9"/>
      <c r="O34" s="21">
        <v>0.8</v>
      </c>
      <c r="Q34" s="15" t="str">
        <f t="shared" si="0"/>
        <v>*</v>
      </c>
      <c r="R34" s="16"/>
      <c r="S34" s="17" t="str">
        <f t="shared" si="2"/>
        <v>INDWAS</v>
      </c>
      <c r="T34" s="17" t="str">
        <f t="shared" si="3"/>
        <v>INDAINDMD</v>
      </c>
      <c r="U34" s="17" t="str">
        <f t="shared" si="4"/>
        <v>INDAINDMD</v>
      </c>
      <c r="V34" s="18">
        <v>2025</v>
      </c>
      <c r="W34" s="18" t="str">
        <f>W33</f>
        <v>UP</v>
      </c>
      <c r="X34" s="18"/>
      <c r="Y34" s="20">
        <f>-ROUNDUP(MIN(SUMIFS('IND RESID'!$M:$M,'IND RESID'!$H:$H,$E34,'IND RESID'!$I:$I,$F34)/SUMIFS('IND RESID'!$M:$M,'IND RESID'!$I:$I,$F34)*AC34,1),3)</f>
        <v>0</v>
      </c>
      <c r="Z34" s="18"/>
      <c r="AA34" s="18"/>
      <c r="AB34" s="9"/>
      <c r="AC34" s="21">
        <v>1.2</v>
      </c>
    </row>
    <row r="35" spans="1:29">
      <c r="A35" s="9">
        <f>A34</f>
        <v>8</v>
      </c>
      <c r="B35" s="9"/>
      <c r="C35" s="15" t="str">
        <f>IF(C34="*",C34,"")</f>
        <v>*</v>
      </c>
      <c r="D35" s="16"/>
      <c r="E35" s="17" t="str">
        <f t="shared" si="11"/>
        <v>INDWAS</v>
      </c>
      <c r="F35" s="17" t="str">
        <f t="shared" si="11"/>
        <v>INDAINDMD</v>
      </c>
      <c r="G35" s="17" t="str">
        <f t="shared" si="11"/>
        <v>INDAINDMD</v>
      </c>
      <c r="H35" s="18">
        <v>2030</v>
      </c>
      <c r="I35" s="18" t="str">
        <f>I34</f>
        <v>LO</v>
      </c>
      <c r="J35" s="18"/>
      <c r="K35" s="20">
        <f>-ROUNDDOWN(SUMIFS('IND RESID'!$M:$M,'IND RESID'!$H:$H,$E35,'IND RESID'!$I:$I,$F35)/SUMIFS('IND RESID'!$M:$M,'IND RESID'!$I:$I,$F35),3)*O35</f>
        <v>0</v>
      </c>
      <c r="L35" s="18"/>
      <c r="M35" s="18"/>
      <c r="N35" s="9"/>
      <c r="O35" s="21">
        <v>0.2</v>
      </c>
      <c r="Q35" s="15" t="str">
        <f t="shared" si="0"/>
        <v>*</v>
      </c>
      <c r="R35" s="16"/>
      <c r="S35" s="17" t="str">
        <f t="shared" si="2"/>
        <v>INDWAS</v>
      </c>
      <c r="T35" s="17" t="str">
        <f t="shared" si="3"/>
        <v>INDAINDMD</v>
      </c>
      <c r="U35" s="17" t="str">
        <f t="shared" si="4"/>
        <v>INDAINDMD</v>
      </c>
      <c r="V35" s="18">
        <v>2030</v>
      </c>
      <c r="W35" s="18" t="str">
        <f>W34</f>
        <v>UP</v>
      </c>
      <c r="X35" s="18"/>
      <c r="Y35" s="20">
        <f>-ROUNDUP(MIN(SUMIFS('IND RESID'!$M:$M,'IND RESID'!$H:$H,$E35,'IND RESID'!$I:$I,$F35)/SUMIFS('IND RESID'!$M:$M,'IND RESID'!$I:$I,$F35)*AC35,1),3)</f>
        <v>0</v>
      </c>
      <c r="Z35" s="18"/>
      <c r="AA35" s="18"/>
      <c r="AB35" s="9"/>
      <c r="AC35" s="21">
        <v>1.5</v>
      </c>
    </row>
    <row r="36" spans="1:29">
      <c r="A36" s="22">
        <f>A35</f>
        <v>8</v>
      </c>
      <c r="B36" s="22"/>
      <c r="C36" s="23" t="str">
        <f>IF(C35="*",C35,"")</f>
        <v>*</v>
      </c>
      <c r="D36" s="24"/>
      <c r="E36" s="25" t="str">
        <f t="shared" si="11"/>
        <v>INDWAS</v>
      </c>
      <c r="F36" s="25" t="str">
        <f t="shared" si="11"/>
        <v>INDAINDMD</v>
      </c>
      <c r="G36" s="25" t="str">
        <f t="shared" si="11"/>
        <v>INDAINDMD</v>
      </c>
      <c r="H36" s="26">
        <v>2050</v>
      </c>
      <c r="I36" s="26" t="str">
        <f>I35</f>
        <v>LO</v>
      </c>
      <c r="J36" s="26"/>
      <c r="K36" s="27">
        <f>-ROUNDDOWN(SUMIFS('IND RESID'!$M:$M,'IND RESID'!$H:$H,$E36,'IND RESID'!$I:$I,$F36)/SUMIFS('IND RESID'!$M:$M,'IND RESID'!$I:$I,$F36),3)*O36</f>
        <v>0</v>
      </c>
      <c r="L36" s="26"/>
      <c r="M36" s="26"/>
      <c r="N36" s="22"/>
      <c r="O36" s="28">
        <v>0</v>
      </c>
      <c r="Q36" s="23" t="str">
        <f t="shared" si="0"/>
        <v>*</v>
      </c>
      <c r="R36" s="24"/>
      <c r="S36" s="25" t="str">
        <f t="shared" si="2"/>
        <v>INDWAS</v>
      </c>
      <c r="T36" s="25" t="str">
        <f t="shared" si="3"/>
        <v>INDAINDMD</v>
      </c>
      <c r="U36" s="25" t="str">
        <f t="shared" si="4"/>
        <v>INDAINDMD</v>
      </c>
      <c r="V36" s="26">
        <v>2050</v>
      </c>
      <c r="W36" s="26" t="str">
        <f>W35</f>
        <v>UP</v>
      </c>
      <c r="X36" s="26"/>
      <c r="Y36" s="27">
        <f>-ROUNDUP(MIN(SUMIFS('IND RESID'!$M:$M,'IND RESID'!$H:$H,$E36,'IND RESID'!$I:$I,$F36)/SUMIFS('IND RESID'!$M:$M,'IND RESID'!$I:$I,$F36)*AC36,1),3)</f>
        <v>0</v>
      </c>
      <c r="Z36" s="26"/>
      <c r="AA36" s="26"/>
      <c r="AB36" s="22"/>
      <c r="AC36" s="28">
        <v>3</v>
      </c>
    </row>
    <row r="37" spans="1:29">
      <c r="A37" s="14">
        <f>A33+1</f>
        <v>9</v>
      </c>
      <c r="B37" s="9"/>
      <c r="C37" s="15" t="str">
        <f>IF(E37="","",IF(SUMIFS('IND TECH'!$Q:$Q,'IND TECH'!$J:$J,E37,'IND TECH'!$K:$K,F37)=0,"*","UC_MarketShare_"&amp;LEFT(F37,LEN(F37)-3)&amp;"_"&amp;RIGHT(E37,3)&amp;"_MIN"))</f>
        <v>*</v>
      </c>
      <c r="D37" s="16"/>
      <c r="E37" s="17" t="str">
        <f>_xlfn.XLOOKUP($A37,Selected_constraint!$A:$A,Selected_constraint!$B:$B)</f>
        <v>INDBIO</v>
      </c>
      <c r="F37" s="17" t="str">
        <f>_xlfn.XLOOKUP($A37,Selected_constraint!$A:$A,Selected_constraint!$C:$C)</f>
        <v>INDAINDMD</v>
      </c>
      <c r="G37" s="17" t="str">
        <f>F37</f>
        <v>INDAINDMD</v>
      </c>
      <c r="H37" s="18">
        <v>2019</v>
      </c>
      <c r="I37" s="18" t="s">
        <v>166</v>
      </c>
      <c r="J37" s="18">
        <v>1</v>
      </c>
      <c r="K37" s="20">
        <f>-ROUNDDOWN(SUMIFS('IND RESID'!$M:$M,'IND RESID'!$H:$H,$E37,'IND RESID'!$I:$I,$F37)/SUMIFS('IND RESID'!$M:$M,'IND RESID'!$I:$I,$F37),3)*O37</f>
        <v>0</v>
      </c>
      <c r="L37" s="18">
        <v>0</v>
      </c>
      <c r="M37" s="18">
        <v>5</v>
      </c>
      <c r="N37" s="9"/>
      <c r="O37" s="21">
        <v>0.98</v>
      </c>
      <c r="Q37" s="15" t="str">
        <f t="shared" ref="Q37:Q56" si="12">SUBSTITUTE(C37,"MIN","MAX")</f>
        <v>*</v>
      </c>
      <c r="R37" s="16"/>
      <c r="S37" s="17" t="str">
        <f t="shared" si="2"/>
        <v>INDBIO</v>
      </c>
      <c r="T37" s="17" t="str">
        <f t="shared" si="3"/>
        <v>INDAINDMD</v>
      </c>
      <c r="U37" s="17" t="str">
        <f t="shared" si="4"/>
        <v>INDAINDMD</v>
      </c>
      <c r="V37" s="18">
        <v>2019</v>
      </c>
      <c r="W37" s="18" t="s">
        <v>167</v>
      </c>
      <c r="X37" s="18">
        <v>1</v>
      </c>
      <c r="Y37" s="20">
        <f>-ROUNDUP(MIN(SUMIFS('IND RESID'!$M:$M,'IND RESID'!$H:$H,$E37,'IND RESID'!$I:$I,$F37)/SUMIFS('IND RESID'!$M:$M,'IND RESID'!$I:$I,$F37)*AC37,1),3)</f>
        <v>0</v>
      </c>
      <c r="Z37" s="18">
        <v>0</v>
      </c>
      <c r="AA37" s="18">
        <v>5</v>
      </c>
      <c r="AB37" s="9"/>
      <c r="AC37" s="21">
        <v>1.02</v>
      </c>
    </row>
    <row r="38" spans="1:29">
      <c r="A38" s="9">
        <f>A37</f>
        <v>9</v>
      </c>
      <c r="B38" s="9"/>
      <c r="C38" s="15" t="str">
        <f>IF(C37="*",C37,"")</f>
        <v>*</v>
      </c>
      <c r="D38" s="16"/>
      <c r="E38" s="17" t="str">
        <f t="shared" ref="E38:G40" si="13">E37</f>
        <v>INDBIO</v>
      </c>
      <c r="F38" s="17" t="str">
        <f t="shared" si="13"/>
        <v>INDAINDMD</v>
      </c>
      <c r="G38" s="17" t="str">
        <f t="shared" si="13"/>
        <v>INDAINDMD</v>
      </c>
      <c r="H38" s="18">
        <v>2025</v>
      </c>
      <c r="I38" s="18" t="str">
        <f>I37</f>
        <v>LO</v>
      </c>
      <c r="J38" s="18"/>
      <c r="K38" s="20">
        <f>-ROUNDDOWN(SUMIFS('IND RESID'!$M:$M,'IND RESID'!$H:$H,$E38,'IND RESID'!$I:$I,$F38)/SUMIFS('IND RESID'!$M:$M,'IND RESID'!$I:$I,$F38),3)*O38</f>
        <v>0</v>
      </c>
      <c r="L38" s="18"/>
      <c r="M38" s="18"/>
      <c r="N38" s="9"/>
      <c r="O38" s="21">
        <v>0.8</v>
      </c>
      <c r="Q38" s="15" t="str">
        <f t="shared" si="12"/>
        <v>*</v>
      </c>
      <c r="R38" s="16"/>
      <c r="S38" s="17" t="str">
        <f t="shared" ref="S38:S56" si="14">E38</f>
        <v>INDBIO</v>
      </c>
      <c r="T38" s="17" t="str">
        <f t="shared" ref="T38:T56" si="15">F38</f>
        <v>INDAINDMD</v>
      </c>
      <c r="U38" s="17" t="str">
        <f t="shared" ref="U38:U56" si="16">G38</f>
        <v>INDAINDMD</v>
      </c>
      <c r="V38" s="18">
        <v>2025</v>
      </c>
      <c r="W38" s="18" t="str">
        <f>W37</f>
        <v>UP</v>
      </c>
      <c r="X38" s="18"/>
      <c r="Y38" s="20">
        <f>-ROUNDUP(MIN(SUMIFS('IND RESID'!$M:$M,'IND RESID'!$H:$H,$E38,'IND RESID'!$I:$I,$F38)/SUMIFS('IND RESID'!$M:$M,'IND RESID'!$I:$I,$F38)*AC38,1),3)</f>
        <v>0</v>
      </c>
      <c r="Z38" s="18"/>
      <c r="AA38" s="18"/>
      <c r="AB38" s="9"/>
      <c r="AC38" s="21">
        <v>1.2</v>
      </c>
    </row>
    <row r="39" spans="1:29">
      <c r="A39" s="9">
        <f>A38</f>
        <v>9</v>
      </c>
      <c r="B39" s="9"/>
      <c r="C39" s="15" t="str">
        <f>IF(C38="*",C38,"")</f>
        <v>*</v>
      </c>
      <c r="D39" s="16"/>
      <c r="E39" s="17" t="str">
        <f t="shared" si="13"/>
        <v>INDBIO</v>
      </c>
      <c r="F39" s="17" t="str">
        <f t="shared" si="13"/>
        <v>INDAINDMD</v>
      </c>
      <c r="G39" s="17" t="str">
        <f t="shared" si="13"/>
        <v>INDAINDMD</v>
      </c>
      <c r="H39" s="18">
        <v>2030</v>
      </c>
      <c r="I39" s="18" t="str">
        <f>I38</f>
        <v>LO</v>
      </c>
      <c r="J39" s="18"/>
      <c r="K39" s="20">
        <f>-ROUNDDOWN(SUMIFS('IND RESID'!$M:$M,'IND RESID'!$H:$H,$E39,'IND RESID'!$I:$I,$F39)/SUMIFS('IND RESID'!$M:$M,'IND RESID'!$I:$I,$F39),3)*O39</f>
        <v>0</v>
      </c>
      <c r="L39" s="18"/>
      <c r="M39" s="18"/>
      <c r="N39" s="9"/>
      <c r="O39" s="21">
        <v>0.2</v>
      </c>
      <c r="Q39" s="15" t="str">
        <f t="shared" si="12"/>
        <v>*</v>
      </c>
      <c r="R39" s="16"/>
      <c r="S39" s="17" t="str">
        <f t="shared" si="14"/>
        <v>INDBIO</v>
      </c>
      <c r="T39" s="17" t="str">
        <f t="shared" si="15"/>
        <v>INDAINDMD</v>
      </c>
      <c r="U39" s="17" t="str">
        <f t="shared" si="16"/>
        <v>INDAINDMD</v>
      </c>
      <c r="V39" s="18">
        <v>2030</v>
      </c>
      <c r="W39" s="18" t="str">
        <f>W38</f>
        <v>UP</v>
      </c>
      <c r="X39" s="18"/>
      <c r="Y39" s="20">
        <f>-ROUNDUP(MIN(SUMIFS('IND RESID'!$M:$M,'IND RESID'!$H:$H,$E39,'IND RESID'!$I:$I,$F39)/SUMIFS('IND RESID'!$M:$M,'IND RESID'!$I:$I,$F39)*AC39,1),3)</f>
        <v>0</v>
      </c>
      <c r="Z39" s="18"/>
      <c r="AA39" s="18"/>
      <c r="AB39" s="9"/>
      <c r="AC39" s="21">
        <v>1.5</v>
      </c>
    </row>
    <row r="40" spans="1:29">
      <c r="A40" s="22">
        <f>A39</f>
        <v>9</v>
      </c>
      <c r="B40" s="22"/>
      <c r="C40" s="23" t="str">
        <f>IF(C39="*",C39,"")</f>
        <v>*</v>
      </c>
      <c r="D40" s="24"/>
      <c r="E40" s="25" t="str">
        <f t="shared" si="13"/>
        <v>INDBIO</v>
      </c>
      <c r="F40" s="25" t="str">
        <f t="shared" si="13"/>
        <v>INDAINDMD</v>
      </c>
      <c r="G40" s="25" t="str">
        <f t="shared" si="13"/>
        <v>INDAINDMD</v>
      </c>
      <c r="H40" s="26">
        <v>2050</v>
      </c>
      <c r="I40" s="26" t="str">
        <f>I39</f>
        <v>LO</v>
      </c>
      <c r="J40" s="26"/>
      <c r="K40" s="27">
        <f>-ROUNDDOWN(SUMIFS('IND RESID'!$M:$M,'IND RESID'!$H:$H,$E40,'IND RESID'!$I:$I,$F40)/SUMIFS('IND RESID'!$M:$M,'IND RESID'!$I:$I,$F40),3)*O40</f>
        <v>0</v>
      </c>
      <c r="L40" s="26"/>
      <c r="M40" s="26"/>
      <c r="N40" s="22"/>
      <c r="O40" s="28">
        <v>0</v>
      </c>
      <c r="Q40" s="23" t="str">
        <f t="shared" si="12"/>
        <v>*</v>
      </c>
      <c r="R40" s="24"/>
      <c r="S40" s="25" t="str">
        <f t="shared" si="14"/>
        <v>INDBIO</v>
      </c>
      <c r="T40" s="25" t="str">
        <f t="shared" si="15"/>
        <v>INDAINDMD</v>
      </c>
      <c r="U40" s="25" t="str">
        <f t="shared" si="16"/>
        <v>INDAINDMD</v>
      </c>
      <c r="V40" s="26">
        <v>2050</v>
      </c>
      <c r="W40" s="26" t="str">
        <f>W39</f>
        <v>UP</v>
      </c>
      <c r="X40" s="26"/>
      <c r="Y40" s="27">
        <f>-ROUNDUP(MIN(SUMIFS('IND RESID'!$M:$M,'IND RESID'!$H:$H,$E40,'IND RESID'!$I:$I,$F40)/SUMIFS('IND RESID'!$M:$M,'IND RESID'!$I:$I,$F40)*AC40,1),3)</f>
        <v>0</v>
      </c>
      <c r="Z40" s="26"/>
      <c r="AA40" s="26"/>
      <c r="AB40" s="22"/>
      <c r="AC40" s="28">
        <v>3</v>
      </c>
    </row>
    <row r="41" spans="1:29">
      <c r="A41" s="14">
        <f>A37+1</f>
        <v>10</v>
      </c>
      <c r="B41" s="9"/>
      <c r="C41" s="15" t="str">
        <f>IF(E41="","",IF(SUMIFS('IND TECH'!$Q:$Q,'IND TECH'!$J:$J,E41,'IND TECH'!$K:$K,F41)=0,"*","UC_MarketShare_"&amp;LEFT(F41,LEN(F41)-3)&amp;"_"&amp;RIGHT(E41,3)&amp;"_MIN"))</f>
        <v>UC_MarketShare_INDAIN_GSL_MIN</v>
      </c>
      <c r="D41" s="16"/>
      <c r="E41" s="17" t="str">
        <f>_xlfn.XLOOKUP($A41,Selected_constraint!$A:$A,Selected_constraint!$B:$B)</f>
        <v>INDGSL</v>
      </c>
      <c r="F41" s="17" t="str">
        <f>_xlfn.XLOOKUP($A41,Selected_constraint!$A:$A,Selected_constraint!$C:$C)</f>
        <v>INDAINDMD</v>
      </c>
      <c r="G41" s="17" t="str">
        <f>F41</f>
        <v>INDAINDMD</v>
      </c>
      <c r="H41" s="18">
        <v>2019</v>
      </c>
      <c r="I41" s="18" t="s">
        <v>166</v>
      </c>
      <c r="J41" s="18">
        <v>1</v>
      </c>
      <c r="K41" s="20">
        <f>-ROUNDDOWN(SUMIFS('IND RESID'!$M:$M,'IND RESID'!$H:$H,$E41,'IND RESID'!$I:$I,$F41)/SUMIFS('IND RESID'!$M:$M,'IND RESID'!$I:$I,$F41),3)*O41</f>
        <v>0</v>
      </c>
      <c r="L41" s="18">
        <v>0</v>
      </c>
      <c r="M41" s="18">
        <v>5</v>
      </c>
      <c r="N41" s="9"/>
      <c r="O41" s="21">
        <v>0.98</v>
      </c>
      <c r="Q41" s="15" t="str">
        <f t="shared" si="12"/>
        <v>UC_MarketShare_INDAIN_GSL_MAX</v>
      </c>
      <c r="R41" s="16"/>
      <c r="S41" s="17" t="str">
        <f t="shared" si="14"/>
        <v>INDGSL</v>
      </c>
      <c r="T41" s="17" t="str">
        <f t="shared" si="15"/>
        <v>INDAINDMD</v>
      </c>
      <c r="U41" s="17" t="str">
        <f t="shared" si="16"/>
        <v>INDAINDMD</v>
      </c>
      <c r="V41" s="18">
        <v>2019</v>
      </c>
      <c r="W41" s="18" t="s">
        <v>167</v>
      </c>
      <c r="X41" s="18">
        <v>1</v>
      </c>
      <c r="Y41" s="20">
        <f>-ROUNDUP(MIN(SUMIFS('IND RESID'!$M:$M,'IND RESID'!$H:$H,$E41,'IND RESID'!$I:$I,$F41)/SUMIFS('IND RESID'!$M:$M,'IND RESID'!$I:$I,$F41)*AC41,1),3)</f>
        <v>0</v>
      </c>
      <c r="Z41" s="18">
        <v>0</v>
      </c>
      <c r="AA41" s="18">
        <v>5</v>
      </c>
      <c r="AB41" s="9"/>
      <c r="AC41" s="21">
        <v>1.02</v>
      </c>
    </row>
    <row r="42" spans="1:29">
      <c r="A42" s="9">
        <f>A41</f>
        <v>10</v>
      </c>
      <c r="B42" s="9"/>
      <c r="C42" s="15" t="str">
        <f>IF(C41="*",C41,"")</f>
        <v/>
      </c>
      <c r="D42" s="16"/>
      <c r="E42" s="17" t="str">
        <f t="shared" ref="E42:G44" si="17">E41</f>
        <v>INDGSL</v>
      </c>
      <c r="F42" s="17" t="str">
        <f t="shared" si="17"/>
        <v>INDAINDMD</v>
      </c>
      <c r="G42" s="17" t="str">
        <f t="shared" si="17"/>
        <v>INDAINDMD</v>
      </c>
      <c r="H42" s="18">
        <v>2025</v>
      </c>
      <c r="I42" s="18" t="str">
        <f>I41</f>
        <v>LO</v>
      </c>
      <c r="J42" s="18"/>
      <c r="K42" s="20">
        <f>-ROUNDDOWN(SUMIFS('IND RESID'!$M:$M,'IND RESID'!$H:$H,$E42,'IND RESID'!$I:$I,$F42)/SUMIFS('IND RESID'!$M:$M,'IND RESID'!$I:$I,$F42),3)*O42</f>
        <v>0</v>
      </c>
      <c r="L42" s="18"/>
      <c r="M42" s="18"/>
      <c r="N42" s="9"/>
      <c r="O42" s="21">
        <v>0.8</v>
      </c>
      <c r="Q42" s="15" t="str">
        <f t="shared" si="12"/>
        <v/>
      </c>
      <c r="R42" s="16"/>
      <c r="S42" s="17" t="str">
        <f t="shared" si="14"/>
        <v>INDGSL</v>
      </c>
      <c r="T42" s="17" t="str">
        <f t="shared" si="15"/>
        <v>INDAINDMD</v>
      </c>
      <c r="U42" s="17" t="str">
        <f t="shared" si="16"/>
        <v>INDAINDMD</v>
      </c>
      <c r="V42" s="18">
        <v>2025</v>
      </c>
      <c r="W42" s="18" t="str">
        <f>W41</f>
        <v>UP</v>
      </c>
      <c r="X42" s="18"/>
      <c r="Y42" s="20">
        <f>-ROUNDUP(MIN(SUMIFS('IND RESID'!$M:$M,'IND RESID'!$H:$H,$E42,'IND RESID'!$I:$I,$F42)/SUMIFS('IND RESID'!$M:$M,'IND RESID'!$I:$I,$F42)*AC42,1),3)</f>
        <v>0</v>
      </c>
      <c r="Z42" s="18"/>
      <c r="AA42" s="18"/>
      <c r="AB42" s="9"/>
      <c r="AC42" s="21">
        <v>1.2</v>
      </c>
    </row>
    <row r="43" spans="1:29">
      <c r="A43" s="9">
        <f>A42</f>
        <v>10</v>
      </c>
      <c r="B43" s="9"/>
      <c r="C43" s="15" t="str">
        <f>IF(C42="*",C42,"")</f>
        <v/>
      </c>
      <c r="D43" s="16"/>
      <c r="E43" s="17" t="str">
        <f t="shared" si="17"/>
        <v>INDGSL</v>
      </c>
      <c r="F43" s="17" t="str">
        <f t="shared" si="17"/>
        <v>INDAINDMD</v>
      </c>
      <c r="G43" s="17" t="str">
        <f t="shared" si="17"/>
        <v>INDAINDMD</v>
      </c>
      <c r="H43" s="18">
        <v>2030</v>
      </c>
      <c r="I43" s="18" t="str">
        <f>I42</f>
        <v>LO</v>
      </c>
      <c r="J43" s="18"/>
      <c r="K43" s="20">
        <f>-ROUNDDOWN(SUMIFS('IND RESID'!$M:$M,'IND RESID'!$H:$H,$E43,'IND RESID'!$I:$I,$F43)/SUMIFS('IND RESID'!$M:$M,'IND RESID'!$I:$I,$F43),3)*O43</f>
        <v>0</v>
      </c>
      <c r="L43" s="18"/>
      <c r="M43" s="18"/>
      <c r="N43" s="9"/>
      <c r="O43" s="21">
        <v>0.2</v>
      </c>
      <c r="Q43" s="15" t="str">
        <f t="shared" si="12"/>
        <v/>
      </c>
      <c r="R43" s="16"/>
      <c r="S43" s="17" t="str">
        <f t="shared" si="14"/>
        <v>INDGSL</v>
      </c>
      <c r="T43" s="17" t="str">
        <f t="shared" si="15"/>
        <v>INDAINDMD</v>
      </c>
      <c r="U43" s="17" t="str">
        <f t="shared" si="16"/>
        <v>INDAINDMD</v>
      </c>
      <c r="V43" s="18">
        <v>2030</v>
      </c>
      <c r="W43" s="18" t="str">
        <f>W42</f>
        <v>UP</v>
      </c>
      <c r="X43" s="18"/>
      <c r="Y43" s="20">
        <f>-ROUNDUP(MIN(SUMIFS('IND RESID'!$M:$M,'IND RESID'!$H:$H,$E43,'IND RESID'!$I:$I,$F43)/SUMIFS('IND RESID'!$M:$M,'IND RESID'!$I:$I,$F43)*AC43,1),3)</f>
        <v>0</v>
      </c>
      <c r="Z43" s="18"/>
      <c r="AA43" s="18"/>
      <c r="AB43" s="9"/>
      <c r="AC43" s="21">
        <v>1.5</v>
      </c>
    </row>
    <row r="44" spans="1:29">
      <c r="A44" s="22">
        <f>A43</f>
        <v>10</v>
      </c>
      <c r="B44" s="22"/>
      <c r="C44" s="23" t="str">
        <f>IF(C43="*",C43,"")</f>
        <v/>
      </c>
      <c r="D44" s="24"/>
      <c r="E44" s="25" t="str">
        <f t="shared" si="17"/>
        <v>INDGSL</v>
      </c>
      <c r="F44" s="25" t="str">
        <f t="shared" si="17"/>
        <v>INDAINDMD</v>
      </c>
      <c r="G44" s="25" t="str">
        <f t="shared" si="17"/>
        <v>INDAINDMD</v>
      </c>
      <c r="H44" s="26">
        <v>2050</v>
      </c>
      <c r="I44" s="26" t="str">
        <f>I43</f>
        <v>LO</v>
      </c>
      <c r="J44" s="26"/>
      <c r="K44" s="27">
        <f>-ROUNDDOWN(SUMIFS('IND RESID'!$M:$M,'IND RESID'!$H:$H,$E44,'IND RESID'!$I:$I,$F44)/SUMIFS('IND RESID'!$M:$M,'IND RESID'!$I:$I,$F44),3)*O44</f>
        <v>0</v>
      </c>
      <c r="L44" s="26"/>
      <c r="M44" s="26"/>
      <c r="N44" s="22"/>
      <c r="O44" s="28">
        <v>0</v>
      </c>
      <c r="Q44" s="23" t="str">
        <f t="shared" si="12"/>
        <v/>
      </c>
      <c r="R44" s="24"/>
      <c r="S44" s="25" t="str">
        <f t="shared" si="14"/>
        <v>INDGSL</v>
      </c>
      <c r="T44" s="25" t="str">
        <f t="shared" si="15"/>
        <v>INDAINDMD</v>
      </c>
      <c r="U44" s="25" t="str">
        <f t="shared" si="16"/>
        <v>INDAINDMD</v>
      </c>
      <c r="V44" s="26">
        <v>2050</v>
      </c>
      <c r="W44" s="26" t="str">
        <f>W43</f>
        <v>UP</v>
      </c>
      <c r="X44" s="26"/>
      <c r="Y44" s="27">
        <f>-ROUNDUP(MIN(SUMIFS('IND RESID'!$M:$M,'IND RESID'!$H:$H,$E44,'IND RESID'!$I:$I,$F44)/SUMIFS('IND RESID'!$M:$M,'IND RESID'!$I:$I,$F44)*AC44,1),3)</f>
        <v>0</v>
      </c>
      <c r="Z44" s="26"/>
      <c r="AA44" s="26"/>
      <c r="AB44" s="22"/>
      <c r="AC44" s="28">
        <v>3</v>
      </c>
    </row>
    <row r="45" spans="1:29">
      <c r="A45" s="14">
        <f>A41+1</f>
        <v>11</v>
      </c>
      <c r="B45" s="9"/>
      <c r="C45" s="15" t="str">
        <f>IF(E45="","",IF(SUMIFS('IND TECH'!$Q:$Q,'IND TECH'!$J:$J,E45,'IND TECH'!$K:$K,F45)=0,"*","UC_MarketShare_"&amp;LEFT(F45,LEN(F45)-3)&amp;"_"&amp;RIGHT(E45,3)&amp;"_MIN"))</f>
        <v>UC_MarketShare_INDAIN_DSL_MIN</v>
      </c>
      <c r="D45" s="16"/>
      <c r="E45" s="17" t="str">
        <f>_xlfn.XLOOKUP($A45,Selected_constraint!$A:$A,Selected_constraint!$B:$B)</f>
        <v>INDDSL</v>
      </c>
      <c r="F45" s="17" t="str">
        <f>_xlfn.XLOOKUP($A45,Selected_constraint!$A:$A,Selected_constraint!$C:$C)</f>
        <v>INDAINDMD</v>
      </c>
      <c r="G45" s="17" t="str">
        <f>F45</f>
        <v>INDAINDMD</v>
      </c>
      <c r="H45" s="18">
        <v>2019</v>
      </c>
      <c r="I45" s="18" t="s">
        <v>166</v>
      </c>
      <c r="J45" s="18">
        <v>1</v>
      </c>
      <c r="K45" s="20">
        <f>-ROUNDDOWN(SUMIFS('IND RESID'!$M:$M,'IND RESID'!$H:$H,$E45,'IND RESID'!$I:$I,$F45)/SUMIFS('IND RESID'!$M:$M,'IND RESID'!$I:$I,$F45),3)*O45</f>
        <v>0</v>
      </c>
      <c r="L45" s="18">
        <v>0</v>
      </c>
      <c r="M45" s="18">
        <v>5</v>
      </c>
      <c r="N45" s="9"/>
      <c r="O45" s="21">
        <v>0.98</v>
      </c>
      <c r="Q45" s="15" t="str">
        <f t="shared" si="12"/>
        <v>UC_MarketShare_INDAIN_DSL_MAX</v>
      </c>
      <c r="R45" s="16"/>
      <c r="S45" s="17" t="str">
        <f t="shared" si="14"/>
        <v>INDDSL</v>
      </c>
      <c r="T45" s="17" t="str">
        <f t="shared" si="15"/>
        <v>INDAINDMD</v>
      </c>
      <c r="U45" s="17" t="str">
        <f t="shared" si="16"/>
        <v>INDAINDMD</v>
      </c>
      <c r="V45" s="18">
        <v>2019</v>
      </c>
      <c r="W45" s="18" t="s">
        <v>167</v>
      </c>
      <c r="X45" s="18">
        <v>1</v>
      </c>
      <c r="Y45" s="20">
        <f>-ROUNDUP(MIN(SUMIFS('IND RESID'!$M:$M,'IND RESID'!$H:$H,$E45,'IND RESID'!$I:$I,$F45)/SUMIFS('IND RESID'!$M:$M,'IND RESID'!$I:$I,$F45)*AC45,1),3)</f>
        <v>0</v>
      </c>
      <c r="Z45" s="18">
        <v>0</v>
      </c>
      <c r="AA45" s="18">
        <v>5</v>
      </c>
      <c r="AB45" s="9"/>
      <c r="AC45" s="21">
        <v>1.02</v>
      </c>
    </row>
    <row r="46" spans="1:29">
      <c r="A46" s="9">
        <f>A45</f>
        <v>11</v>
      </c>
      <c r="B46" s="9"/>
      <c r="C46" s="15" t="str">
        <f>IF(C45="*",C45,"")</f>
        <v/>
      </c>
      <c r="D46" s="16"/>
      <c r="E46" s="17" t="str">
        <f t="shared" ref="E46:G48" si="18">E45</f>
        <v>INDDSL</v>
      </c>
      <c r="F46" s="17" t="str">
        <f t="shared" si="18"/>
        <v>INDAINDMD</v>
      </c>
      <c r="G46" s="17" t="str">
        <f t="shared" si="18"/>
        <v>INDAINDMD</v>
      </c>
      <c r="H46" s="18">
        <v>2025</v>
      </c>
      <c r="I46" s="18" t="str">
        <f>I45</f>
        <v>LO</v>
      </c>
      <c r="J46" s="18"/>
      <c r="K46" s="20">
        <f>-ROUNDDOWN(SUMIFS('IND RESID'!$M:$M,'IND RESID'!$H:$H,$E46,'IND RESID'!$I:$I,$F46)/SUMIFS('IND RESID'!$M:$M,'IND RESID'!$I:$I,$F46),3)*O46</f>
        <v>0</v>
      </c>
      <c r="L46" s="18"/>
      <c r="M46" s="18"/>
      <c r="N46" s="9"/>
      <c r="O46" s="21">
        <v>0.8</v>
      </c>
      <c r="Q46" s="15" t="str">
        <f t="shared" si="12"/>
        <v/>
      </c>
      <c r="R46" s="16"/>
      <c r="S46" s="17" t="str">
        <f t="shared" si="14"/>
        <v>INDDSL</v>
      </c>
      <c r="T46" s="17" t="str">
        <f t="shared" si="15"/>
        <v>INDAINDMD</v>
      </c>
      <c r="U46" s="17" t="str">
        <f t="shared" si="16"/>
        <v>INDAINDMD</v>
      </c>
      <c r="V46" s="18">
        <v>2025</v>
      </c>
      <c r="W46" s="18" t="str">
        <f>W45</f>
        <v>UP</v>
      </c>
      <c r="X46" s="18"/>
      <c r="Y46" s="20">
        <f>-ROUNDUP(MIN(SUMIFS('IND RESID'!$M:$M,'IND RESID'!$H:$H,$E46,'IND RESID'!$I:$I,$F46)/SUMIFS('IND RESID'!$M:$M,'IND RESID'!$I:$I,$F46)*AC46,1),3)</f>
        <v>0</v>
      </c>
      <c r="Z46" s="18"/>
      <c r="AA46" s="18"/>
      <c r="AB46" s="9"/>
      <c r="AC46" s="21">
        <v>1.2</v>
      </c>
    </row>
    <row r="47" spans="1:29">
      <c r="A47" s="9">
        <f>A46</f>
        <v>11</v>
      </c>
      <c r="B47" s="9"/>
      <c r="C47" s="15" t="str">
        <f>IF(C46="*",C46,"")</f>
        <v/>
      </c>
      <c r="D47" s="16"/>
      <c r="E47" s="17" t="str">
        <f t="shared" si="18"/>
        <v>INDDSL</v>
      </c>
      <c r="F47" s="17" t="str">
        <f t="shared" si="18"/>
        <v>INDAINDMD</v>
      </c>
      <c r="G47" s="17" t="str">
        <f t="shared" si="18"/>
        <v>INDAINDMD</v>
      </c>
      <c r="H47" s="18">
        <v>2030</v>
      </c>
      <c r="I47" s="18" t="str">
        <f>I46</f>
        <v>LO</v>
      </c>
      <c r="J47" s="18"/>
      <c r="K47" s="20">
        <f>-ROUNDDOWN(SUMIFS('IND RESID'!$M:$M,'IND RESID'!$H:$H,$E47,'IND RESID'!$I:$I,$F47)/SUMIFS('IND RESID'!$M:$M,'IND RESID'!$I:$I,$F47),3)*O47</f>
        <v>0</v>
      </c>
      <c r="L47" s="18"/>
      <c r="M47" s="18"/>
      <c r="N47" s="9"/>
      <c r="O47" s="21">
        <v>0.2</v>
      </c>
      <c r="Q47" s="15" t="str">
        <f t="shared" si="12"/>
        <v/>
      </c>
      <c r="R47" s="16"/>
      <c r="S47" s="17" t="str">
        <f t="shared" si="14"/>
        <v>INDDSL</v>
      </c>
      <c r="T47" s="17" t="str">
        <f t="shared" si="15"/>
        <v>INDAINDMD</v>
      </c>
      <c r="U47" s="17" t="str">
        <f t="shared" si="16"/>
        <v>INDAINDMD</v>
      </c>
      <c r="V47" s="18">
        <v>2030</v>
      </c>
      <c r="W47" s="18" t="str">
        <f>W46</f>
        <v>UP</v>
      </c>
      <c r="X47" s="18"/>
      <c r="Y47" s="20">
        <f>-ROUNDUP(MIN(SUMIFS('IND RESID'!$M:$M,'IND RESID'!$H:$H,$E47,'IND RESID'!$I:$I,$F47)/SUMIFS('IND RESID'!$M:$M,'IND RESID'!$I:$I,$F47)*AC47,1),3)</f>
        <v>0</v>
      </c>
      <c r="Z47" s="18"/>
      <c r="AA47" s="18"/>
      <c r="AB47" s="9"/>
      <c r="AC47" s="21">
        <v>1.5</v>
      </c>
    </row>
    <row r="48" spans="1:29">
      <c r="A48" s="22">
        <f>A47</f>
        <v>11</v>
      </c>
      <c r="B48" s="22"/>
      <c r="C48" s="23" t="str">
        <f>IF(C47="*",C47,"")</f>
        <v/>
      </c>
      <c r="D48" s="24"/>
      <c r="E48" s="25" t="str">
        <f t="shared" si="18"/>
        <v>INDDSL</v>
      </c>
      <c r="F48" s="25" t="str">
        <f t="shared" si="18"/>
        <v>INDAINDMD</v>
      </c>
      <c r="G48" s="25" t="str">
        <f t="shared" si="18"/>
        <v>INDAINDMD</v>
      </c>
      <c r="H48" s="26">
        <v>2050</v>
      </c>
      <c r="I48" s="26" t="str">
        <f>I47</f>
        <v>LO</v>
      </c>
      <c r="J48" s="26"/>
      <c r="K48" s="27">
        <f>-ROUNDDOWN(SUMIFS('IND RESID'!$M:$M,'IND RESID'!$H:$H,$E48,'IND RESID'!$I:$I,$F48)/SUMIFS('IND RESID'!$M:$M,'IND RESID'!$I:$I,$F48),3)*O48</f>
        <v>0</v>
      </c>
      <c r="L48" s="26"/>
      <c r="M48" s="26"/>
      <c r="N48" s="22"/>
      <c r="O48" s="28">
        <v>0</v>
      </c>
      <c r="Q48" s="23" t="str">
        <f t="shared" si="12"/>
        <v/>
      </c>
      <c r="R48" s="24"/>
      <c r="S48" s="25" t="str">
        <f t="shared" si="14"/>
        <v>INDDSL</v>
      </c>
      <c r="T48" s="25" t="str">
        <f t="shared" si="15"/>
        <v>INDAINDMD</v>
      </c>
      <c r="U48" s="25" t="str">
        <f t="shared" si="16"/>
        <v>INDAINDMD</v>
      </c>
      <c r="V48" s="26">
        <v>2050</v>
      </c>
      <c r="W48" s="26" t="str">
        <f>W47</f>
        <v>UP</v>
      </c>
      <c r="X48" s="26"/>
      <c r="Y48" s="27">
        <f>-ROUNDUP(MIN(SUMIFS('IND RESID'!$M:$M,'IND RESID'!$H:$H,$E48,'IND RESID'!$I:$I,$F48)/SUMIFS('IND RESID'!$M:$M,'IND RESID'!$I:$I,$F48)*AC48,1),3)</f>
        <v>0</v>
      </c>
      <c r="Z48" s="26"/>
      <c r="AA48" s="26"/>
      <c r="AB48" s="22"/>
      <c r="AC48" s="28">
        <v>3</v>
      </c>
    </row>
    <row r="49" spans="1:29">
      <c r="A49" s="14">
        <f>A45+1</f>
        <v>12</v>
      </c>
      <c r="B49" s="9"/>
      <c r="C49" s="15" t="str">
        <f>IF(E49="","",IF(SUMIFS('IND TECH'!$Q:$Q,'IND TECH'!$J:$J,E49,'IND TECH'!$K:$K,F49)=0,"*","UC_MarketShare_"&amp;LEFT(F49,LEN(F49)-3)&amp;"_"&amp;RIGHT(E49,3)&amp;"_MIN"))</f>
        <v>*</v>
      </c>
      <c r="D49" s="16"/>
      <c r="E49" s="17" t="str">
        <f>_xlfn.XLOOKUP($A49,Selected_constraint!$A:$A,Selected_constraint!$B:$B)</f>
        <v>INDSTM</v>
      </c>
      <c r="F49" s="17" t="str">
        <f>_xlfn.XLOOKUP($A49,Selected_constraint!$A:$A,Selected_constraint!$C:$C)</f>
        <v>INDAINDMD</v>
      </c>
      <c r="G49" s="17" t="str">
        <f>F49</f>
        <v>INDAINDMD</v>
      </c>
      <c r="H49" s="18">
        <v>2019</v>
      </c>
      <c r="I49" s="18" t="s">
        <v>166</v>
      </c>
      <c r="J49" s="18">
        <v>1</v>
      </c>
      <c r="K49" s="20">
        <f>-ROUNDDOWN(SUMIFS('IND RESID'!$M:$M,'IND RESID'!$H:$H,$E49,'IND RESID'!$I:$I,$F49)/SUMIFS('IND RESID'!$M:$M,'IND RESID'!$I:$I,$F49),3)*O49</f>
        <v>-1.176E-2</v>
      </c>
      <c r="L49" s="18">
        <v>0</v>
      </c>
      <c r="M49" s="18">
        <v>5</v>
      </c>
      <c r="N49" s="9"/>
      <c r="O49" s="21">
        <v>0.98</v>
      </c>
      <c r="Q49" s="15" t="str">
        <f t="shared" si="12"/>
        <v>*</v>
      </c>
      <c r="R49" s="16"/>
      <c r="S49" s="17" t="str">
        <f t="shared" si="14"/>
        <v>INDSTM</v>
      </c>
      <c r="T49" s="17" t="str">
        <f t="shared" si="15"/>
        <v>INDAINDMD</v>
      </c>
      <c r="U49" s="17" t="str">
        <f t="shared" si="16"/>
        <v>INDAINDMD</v>
      </c>
      <c r="V49" s="18">
        <v>2019</v>
      </c>
      <c r="W49" s="18" t="s">
        <v>167</v>
      </c>
      <c r="X49" s="18">
        <v>1</v>
      </c>
      <c r="Y49" s="20">
        <f>-ROUNDUP(MIN(SUMIFS('IND RESID'!$M:$M,'IND RESID'!$H:$H,$E49,'IND RESID'!$I:$I,$F49)/SUMIFS('IND RESID'!$M:$M,'IND RESID'!$I:$I,$F49)*AC49,1),3)</f>
        <v>-1.3000000000000001E-2</v>
      </c>
      <c r="Z49" s="18">
        <v>0</v>
      </c>
      <c r="AA49" s="18">
        <v>5</v>
      </c>
      <c r="AB49" s="9"/>
      <c r="AC49" s="21">
        <v>1.02</v>
      </c>
    </row>
    <row r="50" spans="1:29">
      <c r="A50" s="9">
        <f>A49</f>
        <v>12</v>
      </c>
      <c r="B50" s="9"/>
      <c r="C50" s="15" t="str">
        <f>IF(C49="*",C49,"")</f>
        <v>*</v>
      </c>
      <c r="D50" s="16"/>
      <c r="E50" s="17" t="str">
        <f t="shared" ref="E50:G52" si="19">E49</f>
        <v>INDSTM</v>
      </c>
      <c r="F50" s="17" t="str">
        <f t="shared" si="19"/>
        <v>INDAINDMD</v>
      </c>
      <c r="G50" s="17" t="str">
        <f t="shared" si="19"/>
        <v>INDAINDMD</v>
      </c>
      <c r="H50" s="18">
        <v>2025</v>
      </c>
      <c r="I50" s="18" t="str">
        <f>I49</f>
        <v>LO</v>
      </c>
      <c r="J50" s="18"/>
      <c r="K50" s="20">
        <f>-ROUNDDOWN(SUMIFS('IND RESID'!$M:$M,'IND RESID'!$H:$H,$E50,'IND RESID'!$I:$I,$F50)/SUMIFS('IND RESID'!$M:$M,'IND RESID'!$I:$I,$F50),3)*O50</f>
        <v>-9.6000000000000009E-3</v>
      </c>
      <c r="L50" s="18"/>
      <c r="M50" s="18"/>
      <c r="N50" s="9"/>
      <c r="O50" s="21">
        <v>0.8</v>
      </c>
      <c r="Q50" s="15" t="str">
        <f t="shared" si="12"/>
        <v>*</v>
      </c>
      <c r="R50" s="16"/>
      <c r="S50" s="17" t="str">
        <f t="shared" si="14"/>
        <v>INDSTM</v>
      </c>
      <c r="T50" s="17" t="str">
        <f t="shared" si="15"/>
        <v>INDAINDMD</v>
      </c>
      <c r="U50" s="17" t="str">
        <f t="shared" si="16"/>
        <v>INDAINDMD</v>
      </c>
      <c r="V50" s="18">
        <v>2025</v>
      </c>
      <c r="W50" s="18" t="str">
        <f>W49</f>
        <v>UP</v>
      </c>
      <c r="X50" s="18"/>
      <c r="Y50" s="20">
        <f>-ROUNDUP(MIN(SUMIFS('IND RESID'!$M:$M,'IND RESID'!$H:$H,$E50,'IND RESID'!$I:$I,$F50)/SUMIFS('IND RESID'!$M:$M,'IND RESID'!$I:$I,$F50)*AC50,1),3)</f>
        <v>-1.4999999999999999E-2</v>
      </c>
      <c r="Z50" s="18"/>
      <c r="AA50" s="18"/>
      <c r="AB50" s="9"/>
      <c r="AC50" s="21">
        <v>1.2</v>
      </c>
    </row>
    <row r="51" spans="1:29">
      <c r="A51" s="9">
        <f>A50</f>
        <v>12</v>
      </c>
      <c r="B51" s="9"/>
      <c r="C51" s="15" t="str">
        <f>IF(C50="*",C50,"")</f>
        <v>*</v>
      </c>
      <c r="D51" s="16"/>
      <c r="E51" s="17" t="str">
        <f t="shared" si="19"/>
        <v>INDSTM</v>
      </c>
      <c r="F51" s="17" t="str">
        <f t="shared" si="19"/>
        <v>INDAINDMD</v>
      </c>
      <c r="G51" s="17" t="str">
        <f t="shared" si="19"/>
        <v>INDAINDMD</v>
      </c>
      <c r="H51" s="18">
        <v>2030</v>
      </c>
      <c r="I51" s="18" t="str">
        <f>I50</f>
        <v>LO</v>
      </c>
      <c r="J51" s="18"/>
      <c r="K51" s="20">
        <f>-ROUNDDOWN(SUMIFS('IND RESID'!$M:$M,'IND RESID'!$H:$H,$E51,'IND RESID'!$I:$I,$F51)/SUMIFS('IND RESID'!$M:$M,'IND RESID'!$I:$I,$F51),3)*O51</f>
        <v>-2.4000000000000002E-3</v>
      </c>
      <c r="L51" s="18"/>
      <c r="M51" s="18"/>
      <c r="N51" s="9"/>
      <c r="O51" s="21">
        <v>0.2</v>
      </c>
      <c r="Q51" s="15" t="str">
        <f t="shared" si="12"/>
        <v>*</v>
      </c>
      <c r="R51" s="16"/>
      <c r="S51" s="17" t="str">
        <f t="shared" si="14"/>
        <v>INDSTM</v>
      </c>
      <c r="T51" s="17" t="str">
        <f t="shared" si="15"/>
        <v>INDAINDMD</v>
      </c>
      <c r="U51" s="17" t="str">
        <f t="shared" si="16"/>
        <v>INDAINDMD</v>
      </c>
      <c r="V51" s="18">
        <v>2030</v>
      </c>
      <c r="W51" s="18" t="str">
        <f>W50</f>
        <v>UP</v>
      </c>
      <c r="X51" s="18"/>
      <c r="Y51" s="20">
        <f>-ROUNDUP(MIN(SUMIFS('IND RESID'!$M:$M,'IND RESID'!$H:$H,$E51,'IND RESID'!$I:$I,$F51)/SUMIFS('IND RESID'!$M:$M,'IND RESID'!$I:$I,$F51)*AC51,1),3)</f>
        <v>-1.9E-2</v>
      </c>
      <c r="Z51" s="18"/>
      <c r="AA51" s="18"/>
      <c r="AB51" s="9"/>
      <c r="AC51" s="21">
        <v>1.5</v>
      </c>
    </row>
    <row r="52" spans="1:29">
      <c r="A52" s="22">
        <f>A51</f>
        <v>12</v>
      </c>
      <c r="B52" s="22"/>
      <c r="C52" s="23" t="str">
        <f>IF(C51="*",C51,"")</f>
        <v>*</v>
      </c>
      <c r="D52" s="24"/>
      <c r="E52" s="25" t="str">
        <f t="shared" si="19"/>
        <v>INDSTM</v>
      </c>
      <c r="F52" s="25" t="str">
        <f t="shared" si="19"/>
        <v>INDAINDMD</v>
      </c>
      <c r="G52" s="25" t="str">
        <f t="shared" si="19"/>
        <v>INDAINDMD</v>
      </c>
      <c r="H52" s="26">
        <v>2050</v>
      </c>
      <c r="I52" s="26" t="str">
        <f>I51</f>
        <v>LO</v>
      </c>
      <c r="J52" s="26"/>
      <c r="K52" s="27">
        <f>-ROUNDDOWN(SUMIFS('IND RESID'!$M:$M,'IND RESID'!$H:$H,$E52,'IND RESID'!$I:$I,$F52)/SUMIFS('IND RESID'!$M:$M,'IND RESID'!$I:$I,$F52),3)*O52</f>
        <v>0</v>
      </c>
      <c r="L52" s="26"/>
      <c r="M52" s="26"/>
      <c r="N52" s="22"/>
      <c r="O52" s="28">
        <v>0</v>
      </c>
      <c r="Q52" s="23" t="str">
        <f t="shared" si="12"/>
        <v>*</v>
      </c>
      <c r="R52" s="24"/>
      <c r="S52" s="25" t="str">
        <f t="shared" si="14"/>
        <v>INDSTM</v>
      </c>
      <c r="T52" s="25" t="str">
        <f t="shared" si="15"/>
        <v>INDAINDMD</v>
      </c>
      <c r="U52" s="25" t="str">
        <f t="shared" si="16"/>
        <v>INDAINDMD</v>
      </c>
      <c r="V52" s="26">
        <v>2050</v>
      </c>
      <c r="W52" s="26" t="str">
        <f>W51</f>
        <v>UP</v>
      </c>
      <c r="X52" s="26"/>
      <c r="Y52" s="27">
        <f>-ROUNDUP(MIN(SUMIFS('IND RESID'!$M:$M,'IND RESID'!$H:$H,$E52,'IND RESID'!$I:$I,$F52)/SUMIFS('IND RESID'!$M:$M,'IND RESID'!$I:$I,$F52)*AC52,1),3)</f>
        <v>-3.6999999999999998E-2</v>
      </c>
      <c r="Z52" s="26"/>
      <c r="AA52" s="26"/>
      <c r="AB52" s="22"/>
      <c r="AC52" s="28">
        <v>3</v>
      </c>
    </row>
    <row r="53" spans="1:29">
      <c r="A53" s="14">
        <f>A49+1</f>
        <v>13</v>
      </c>
      <c r="B53" s="9"/>
      <c r="C53" s="15" t="str">
        <f>IF(E53="","",IF(SUMIFS('IND TECH'!$Q:$Q,'IND TECH'!$J:$J,E53,'IND TECH'!$K:$K,F53)=0,"*","UC_MarketShare_"&amp;LEFT(F53,LEN(F53)-3)&amp;"_"&amp;RIGHT(E53,3)&amp;"_MIN"))</f>
        <v>UC_MarketShare_INDAIN_ELC_MIN</v>
      </c>
      <c r="D53" s="16"/>
      <c r="E53" s="17" t="str">
        <f>_xlfn.XLOOKUP($A53,Selected_constraint!$A:$A,Selected_constraint!$B:$B)</f>
        <v>INDELC</v>
      </c>
      <c r="F53" s="17" t="str">
        <f>_xlfn.XLOOKUP($A53,Selected_constraint!$A:$A,Selected_constraint!$C:$C)</f>
        <v>INDAINDMD</v>
      </c>
      <c r="G53" s="17" t="str">
        <f>F53</f>
        <v>INDAINDMD</v>
      </c>
      <c r="H53" s="18">
        <v>2019</v>
      </c>
      <c r="I53" s="18" t="s">
        <v>166</v>
      </c>
      <c r="J53" s="18">
        <v>1</v>
      </c>
      <c r="K53" s="20">
        <f>-ROUNDDOWN(SUMIFS('IND RESID'!$M:$M,'IND RESID'!$H:$H,$E53,'IND RESID'!$I:$I,$F53)/SUMIFS('IND RESID'!$M:$M,'IND RESID'!$I:$I,$F53),3)*O53</f>
        <v>-0.47137999999999997</v>
      </c>
      <c r="L53" s="18">
        <v>0</v>
      </c>
      <c r="M53" s="18">
        <v>5</v>
      </c>
      <c r="N53" s="9"/>
      <c r="O53" s="21">
        <v>0.98</v>
      </c>
      <c r="Q53" s="15" t="str">
        <f t="shared" si="12"/>
        <v>UC_MarketShare_INDAIN_ELC_MAX</v>
      </c>
      <c r="R53" s="16"/>
      <c r="S53" s="17" t="str">
        <f t="shared" si="14"/>
        <v>INDELC</v>
      </c>
      <c r="T53" s="17" t="str">
        <f t="shared" si="15"/>
        <v>INDAINDMD</v>
      </c>
      <c r="U53" s="17" t="str">
        <f t="shared" si="16"/>
        <v>INDAINDMD</v>
      </c>
      <c r="V53" s="18">
        <v>2019</v>
      </c>
      <c r="W53" s="18" t="s">
        <v>167</v>
      </c>
      <c r="X53" s="18">
        <v>1</v>
      </c>
      <c r="Y53" s="20">
        <f>-ROUNDUP(MIN(SUMIFS('IND RESID'!$M:$M,'IND RESID'!$H:$H,$E53,'IND RESID'!$I:$I,$F53)/SUMIFS('IND RESID'!$M:$M,'IND RESID'!$I:$I,$F53)*AC53,1),3)</f>
        <v>-0.49199999999999999</v>
      </c>
      <c r="Z53" s="18">
        <v>0</v>
      </c>
      <c r="AA53" s="18">
        <v>5</v>
      </c>
      <c r="AB53" s="9"/>
      <c r="AC53" s="21">
        <v>1.02</v>
      </c>
    </row>
    <row r="54" spans="1:29">
      <c r="A54" s="9">
        <f>A53</f>
        <v>13</v>
      </c>
      <c r="B54" s="9"/>
      <c r="C54" s="15" t="str">
        <f>IF(C53="*",C53,"")</f>
        <v/>
      </c>
      <c r="D54" s="16"/>
      <c r="E54" s="17" t="str">
        <f t="shared" ref="E54:G56" si="20">E53</f>
        <v>INDELC</v>
      </c>
      <c r="F54" s="17" t="str">
        <f t="shared" si="20"/>
        <v>INDAINDMD</v>
      </c>
      <c r="G54" s="17" t="str">
        <f t="shared" si="20"/>
        <v>INDAINDMD</v>
      </c>
      <c r="H54" s="18">
        <v>2025</v>
      </c>
      <c r="I54" s="18" t="str">
        <f>I53</f>
        <v>LO</v>
      </c>
      <c r="J54" s="18"/>
      <c r="K54" s="20">
        <f>-ROUNDDOWN(SUMIFS('IND RESID'!$M:$M,'IND RESID'!$H:$H,$E54,'IND RESID'!$I:$I,$F54)/SUMIFS('IND RESID'!$M:$M,'IND RESID'!$I:$I,$F54),3)*O54</f>
        <v>-0.38480000000000003</v>
      </c>
      <c r="L54" s="18"/>
      <c r="M54" s="18"/>
      <c r="N54" s="9"/>
      <c r="O54" s="21">
        <v>0.8</v>
      </c>
      <c r="Q54" s="15" t="str">
        <f t="shared" si="12"/>
        <v/>
      </c>
      <c r="R54" s="16"/>
      <c r="S54" s="17" t="str">
        <f t="shared" si="14"/>
        <v>INDELC</v>
      </c>
      <c r="T54" s="17" t="str">
        <f t="shared" si="15"/>
        <v>INDAINDMD</v>
      </c>
      <c r="U54" s="17" t="str">
        <f t="shared" si="16"/>
        <v>INDAINDMD</v>
      </c>
      <c r="V54" s="18">
        <v>2025</v>
      </c>
      <c r="W54" s="18" t="str">
        <f>W53</f>
        <v>UP</v>
      </c>
      <c r="X54" s="18"/>
      <c r="Y54" s="20">
        <f>-ROUNDUP(MIN(SUMIFS('IND RESID'!$M:$M,'IND RESID'!$H:$H,$E54,'IND RESID'!$I:$I,$F54)/SUMIFS('IND RESID'!$M:$M,'IND RESID'!$I:$I,$F54)*AC54,1),3)</f>
        <v>-0.72299999999999998</v>
      </c>
      <c r="Z54" s="18"/>
      <c r="AA54" s="18"/>
      <c r="AB54" s="9"/>
      <c r="AC54" s="21">
        <v>1.5</v>
      </c>
    </row>
    <row r="55" spans="1:29">
      <c r="A55" s="9">
        <f>A54</f>
        <v>13</v>
      </c>
      <c r="B55" s="9"/>
      <c r="C55" s="15" t="str">
        <f>IF(C54="*",C54,"")</f>
        <v/>
      </c>
      <c r="D55" s="16"/>
      <c r="E55" s="17" t="str">
        <f t="shared" si="20"/>
        <v>INDELC</v>
      </c>
      <c r="F55" s="17" t="str">
        <f t="shared" si="20"/>
        <v>INDAINDMD</v>
      </c>
      <c r="G55" s="17" t="str">
        <f t="shared" si="20"/>
        <v>INDAINDMD</v>
      </c>
      <c r="H55" s="18">
        <v>2030</v>
      </c>
      <c r="I55" s="18" t="str">
        <f>I54</f>
        <v>LO</v>
      </c>
      <c r="J55" s="18"/>
      <c r="K55" s="20">
        <f>-ROUNDDOWN(SUMIFS('IND RESID'!$M:$M,'IND RESID'!$H:$H,$E55,'IND RESID'!$I:$I,$F55)/SUMIFS('IND RESID'!$M:$M,'IND RESID'!$I:$I,$F55),3)*O55</f>
        <v>-0.36075000000000002</v>
      </c>
      <c r="L55" s="18"/>
      <c r="M55" s="18"/>
      <c r="N55" s="9"/>
      <c r="O55" s="21">
        <v>0.75</v>
      </c>
      <c r="Q55" s="15" t="str">
        <f t="shared" si="12"/>
        <v/>
      </c>
      <c r="R55" s="16"/>
      <c r="S55" s="17" t="str">
        <f t="shared" si="14"/>
        <v>INDELC</v>
      </c>
      <c r="T55" s="17" t="str">
        <f t="shared" si="15"/>
        <v>INDAINDMD</v>
      </c>
      <c r="U55" s="17" t="str">
        <f t="shared" si="16"/>
        <v>INDAINDMD</v>
      </c>
      <c r="V55" s="18">
        <v>2030</v>
      </c>
      <c r="W55" s="18" t="str">
        <f>W54</f>
        <v>UP</v>
      </c>
      <c r="X55" s="18"/>
      <c r="Y55" s="20">
        <f>-ROUNDUP(MIN(SUMIFS('IND RESID'!$M:$M,'IND RESID'!$H:$H,$E55,'IND RESID'!$I:$I,$F55)/SUMIFS('IND RESID'!$M:$M,'IND RESID'!$I:$I,$F55)*AC55,1),3)</f>
        <v>-1</v>
      </c>
      <c r="Z55" s="18"/>
      <c r="AA55" s="18"/>
      <c r="AB55" s="9"/>
      <c r="AC55" s="21">
        <v>3</v>
      </c>
    </row>
    <row r="56" spans="1:29">
      <c r="A56" s="22">
        <f>A55</f>
        <v>13</v>
      </c>
      <c r="B56" s="22"/>
      <c r="C56" s="23" t="str">
        <f>IF(C55="*",C55,"")</f>
        <v/>
      </c>
      <c r="D56" s="24"/>
      <c r="E56" s="25" t="str">
        <f t="shared" si="20"/>
        <v>INDELC</v>
      </c>
      <c r="F56" s="25" t="str">
        <f t="shared" si="20"/>
        <v>INDAINDMD</v>
      </c>
      <c r="G56" s="25" t="str">
        <f t="shared" si="20"/>
        <v>INDAINDMD</v>
      </c>
      <c r="H56" s="26">
        <v>2050</v>
      </c>
      <c r="I56" s="26" t="str">
        <f>I55</f>
        <v>LO</v>
      </c>
      <c r="J56" s="26"/>
      <c r="K56" s="27">
        <f>-ROUNDDOWN(SUMIFS('IND RESID'!$M:$M,'IND RESID'!$H:$H,$E56,'IND RESID'!$I:$I,$F56)/SUMIFS('IND RESID'!$M:$M,'IND RESID'!$I:$I,$F56),3)*O56</f>
        <v>-0.36075000000000002</v>
      </c>
      <c r="L56" s="26"/>
      <c r="M56" s="26"/>
      <c r="N56" s="22"/>
      <c r="O56" s="28">
        <v>0.75</v>
      </c>
      <c r="Q56" s="23" t="str">
        <f t="shared" si="12"/>
        <v/>
      </c>
      <c r="R56" s="24"/>
      <c r="S56" s="25" t="str">
        <f t="shared" si="14"/>
        <v>INDELC</v>
      </c>
      <c r="T56" s="25" t="str">
        <f t="shared" si="15"/>
        <v>INDAINDMD</v>
      </c>
      <c r="U56" s="25" t="str">
        <f t="shared" si="16"/>
        <v>INDAINDMD</v>
      </c>
      <c r="V56" s="26">
        <v>2050</v>
      </c>
      <c r="W56" s="26" t="str">
        <f>W55</f>
        <v>UP</v>
      </c>
      <c r="X56" s="26"/>
      <c r="Y56" s="27">
        <f>-ROUNDUP(MIN(SUMIFS('IND RESID'!$M:$M,'IND RESID'!$H:$H,$E56,'IND RESID'!$I:$I,$F56)/SUMIFS('IND RESID'!$M:$M,'IND RESID'!$I:$I,$F56)*AC56,1),3)</f>
        <v>-1</v>
      </c>
      <c r="Z56" s="26"/>
      <c r="AA56" s="26"/>
      <c r="AB56" s="22"/>
      <c r="AC56" s="2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&gt;&gt; City Data</vt:lpstr>
      <vt:lpstr>City characteristics</vt:lpstr>
      <vt:lpstr>&gt;&gt; GC_NewTech</vt:lpstr>
      <vt:lpstr>IND TECH</vt:lpstr>
      <vt:lpstr>IND RESID</vt:lpstr>
      <vt:lpstr>&gt;&gt;&gt; Data</vt:lpstr>
      <vt:lpstr>Selected_constraint</vt:lpstr>
      <vt:lpstr>&gt;&gt; TIMES</vt:lpstr>
      <vt:lpstr>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2025-04-08T18:34:01Z</dcterms:modified>
</cp:coreProperties>
</file>
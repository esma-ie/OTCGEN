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D85073AF-1F0B-4FA9-8D0C-6FC961C5BD6F}" xr6:coauthVersionLast="47" xr6:coauthVersionMax="47" xr10:uidLastSave="{00000000-0000-0000-0000-000000000000}"/>
  <bookViews>
    <workbookView xWindow="-120" yWindow="-120" windowWidth="25440" windowHeight="15270" firstSheet="5" activeTab="5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Existing" sheetId="4" r:id="rId4"/>
    <sheet name="&gt;&gt; TIMES" sheetId="5" r:id="rId5"/>
    <sheet name="UC_SUB" sheetId="6" r:id="rId6"/>
    <sheet name="MaxSub" sheetId="7" r:id="rId7"/>
    <sheet name="&gt;&gt; Parameters" sheetId="8" r:id="rId8"/>
    <sheet name="Data " sheetId="9" r:id="rId9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3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3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3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3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3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3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R15" i="7" s="1"/>
  <c r="L6" i="9"/>
  <c r="J6" i="9"/>
  <c r="E6" i="9"/>
  <c r="Q5" i="9"/>
  <c r="P5" i="9"/>
  <c r="P6" i="9" s="1"/>
  <c r="Q15" i="7" s="1"/>
  <c r="O5" i="9"/>
  <c r="O6" i="9" s="1"/>
  <c r="P15" i="7" s="1"/>
  <c r="N5" i="9"/>
  <c r="N6" i="9" s="1"/>
  <c r="O15" i="7" s="1"/>
  <c r="M5" i="9"/>
  <c r="M6" i="9" s="1"/>
  <c r="N15" i="7" s="1"/>
  <c r="I5" i="9"/>
  <c r="J5" i="9" s="1"/>
  <c r="F15" i="6" s="1"/>
  <c r="E5" i="9"/>
  <c r="T15" i="7"/>
  <c r="S15" i="7"/>
  <c r="C15" i="7"/>
  <c r="L8" i="7"/>
  <c r="D8" i="7"/>
  <c r="D15" i="7" s="1"/>
  <c r="C8" i="7"/>
  <c r="F17" i="6"/>
  <c r="F16" i="6"/>
  <c r="E16" i="6"/>
  <c r="E15" i="6"/>
  <c r="H14" i="6"/>
  <c r="H15" i="6" s="1"/>
  <c r="H16" i="6" s="1"/>
  <c r="H17" i="6" s="1"/>
  <c r="F14" i="6"/>
  <c r="E14" i="6"/>
  <c r="D14" i="6"/>
  <c r="D15" i="6" s="1"/>
  <c r="D16" i="6" s="1"/>
  <c r="D17" i="6" s="1"/>
  <c r="H13" i="6"/>
  <c r="G13" i="6"/>
  <c r="G14" i="6" s="1"/>
  <c r="G15" i="6" s="1"/>
  <c r="G16" i="6" s="1"/>
  <c r="G17" i="6" s="1"/>
  <c r="F13" i="6"/>
  <c r="E13" i="6"/>
  <c r="D13" i="6"/>
  <c r="F12" i="6"/>
  <c r="E12" i="6"/>
  <c r="F10" i="6"/>
  <c r="F9" i="6"/>
  <c r="E9" i="6"/>
  <c r="F8" i="6"/>
  <c r="E8" i="6"/>
  <c r="G7" i="6"/>
  <c r="G8" i="6" s="1"/>
  <c r="G9" i="6" s="1"/>
  <c r="G10" i="6" s="1"/>
  <c r="F7" i="6"/>
  <c r="E7" i="6"/>
  <c r="H6" i="6"/>
  <c r="H7" i="6" s="1"/>
  <c r="H8" i="6" s="1"/>
  <c r="H9" i="6" s="1"/>
  <c r="H10" i="6" s="1"/>
  <c r="G6" i="6"/>
  <c r="F6" i="6"/>
  <c r="E6" i="6"/>
  <c r="F5" i="6"/>
  <c r="E5" i="6"/>
</calcChain>
</file>

<file path=xl/sharedStrings.xml><?xml version="1.0" encoding="utf-8"?>
<sst xmlns="http://schemas.openxmlformats.org/spreadsheetml/2006/main" count="170" uniqueCount="123">
  <si>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</si>
  <si>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</si>
  <si>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</si>
  <si>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</si>
  <si>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</si>
  <si>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</si>
  <si>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</si>
  <si>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</si>
  <si>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</si>
  <si>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</si>
  <si>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</si>
  <si>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</si>
  <si>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</si>
  <si>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</si>
  <si>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</si>
  <si>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</si>
  <si>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</si>
  <si>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</si>
  <si>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</si>
  <si>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</si>
  <si>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</si>
  <si>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</si>
  <si>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</si>
  <si>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</si>
  <si>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</si>
  <si>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</si>
  <si>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</si>
  <si>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</si>
  <si>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</si>
  <si>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</si>
  <si>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</si>
  <si>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</si>
  <si>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</si>
  <si>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</si>
  <si>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</si>
  <si>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</si>
  <si>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</si>
  <si>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</si>
  <si>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</si>
  <si>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</si>
  <si>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</si>
  <si>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</si>
  <si>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</si>
  <si>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</si>
  <si>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</si>
  <si>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</si>
  <si>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</si>
  <si>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</si>
  <si>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</si>
  <si>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</si>
  <si>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</si>
  <si>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</si>
  <si>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</si>
  <si>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</si>
  <si>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</si>
  <si>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</si>
  <si>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</si>
  <si>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</si>
  <si>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</si>
  <si>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</si>
  <si>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</si>
  <si>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</si>
  <si>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</si>
  <si>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</si>
  <si>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</si>
  <si>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</si>
  <si>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</si>
  <si>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</si>
  <si>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</si>
  <si>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</si>
  <si>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</si>
  <si>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~TFM_INS</t>
  </si>
  <si>
    <t>TimeSlice</t>
  </si>
  <si>
    <t>LimType</t>
  </si>
  <si>
    <t>Attribute</t>
  </si>
  <si>
    <t>CITY</t>
  </si>
  <si>
    <t>Pset_PN</t>
  </si>
  <si>
    <t>Pset_PD</t>
  </si>
  <si>
    <t>Pset_CI</t>
  </si>
  <si>
    <t>NCAP_ISPCT</t>
  </si>
  <si>
    <t>RES*SH*HP*ELC*,-*GHP*</t>
  </si>
  <si>
    <t>*Space heating*</t>
  </si>
  <si>
    <t>NCAP_ISUB</t>
  </si>
  <si>
    <t>~UC_Sets: R_S: AllRegions</t>
  </si>
  <si>
    <t>~UC_Sets: T_S:</t>
  </si>
  <si>
    <t>~UC_T: UC_RHS</t>
  </si>
  <si>
    <t>UC_N</t>
  </si>
  <si>
    <t>PSet: PN</t>
  </si>
  <si>
    <t>PSet: PD</t>
  </si>
  <si>
    <t>PSet: CI</t>
  </si>
  <si>
    <t>PSet_CO</t>
  </si>
  <si>
    <t>UC_ATTR~LHS</t>
  </si>
  <si>
    <t>UC_ATTR~RHS</t>
  </si>
  <si>
    <t>UC_NCAP</t>
  </si>
  <si>
    <t>UC_NCAP~RHS</t>
  </si>
  <si>
    <t>UC_RHS</t>
  </si>
  <si>
    <t>UC_Desc</t>
  </si>
  <si>
    <t>UC_SubResHPCum</t>
  </si>
  <si>
    <t>NCAP,SUB</t>
  </si>
  <si>
    <t>LO</t>
  </si>
  <si>
    <t>Max lump-sum investment subsidies for BEV Cars (cumul)</t>
  </si>
  <si>
    <t>~UC_Sets: T_E:</t>
  </si>
  <si>
    <t>~UC_T: UC_RHST</t>
  </si>
  <si>
    <t>UC_RHST~2019</t>
  </si>
  <si>
    <t>UC_RHST~2024</t>
  </si>
  <si>
    <t>UC_RHST~2025</t>
  </si>
  <si>
    <t>UC_RHST~2027</t>
  </si>
  <si>
    <t>UC_RHST~2030</t>
  </si>
  <si>
    <t>UC_RHST~2032</t>
  </si>
  <si>
    <t>UC_RHST~2035</t>
  </si>
  <si>
    <t>UC_RHST~2036</t>
  </si>
  <si>
    <t>UC_RHST~2100</t>
  </si>
  <si>
    <t>UC_RHST~0</t>
  </si>
  <si>
    <t>UC_SubResGHPAnn</t>
  </si>
  <si>
    <t>Max lump-sum investment subsidies for Passenger LDV BEV (annual)</t>
  </si>
  <si>
    <t xml:space="preserve">Subsidies </t>
  </si>
  <si>
    <t>Policy budget - Cumulative</t>
  </si>
  <si>
    <t xml:space="preserve">Policy budget - Annual </t>
  </si>
  <si>
    <t>% of investment cost</t>
  </si>
  <si>
    <t xml:space="preserve">2023 US $ / unit </t>
  </si>
  <si>
    <t xml:space="preserve">M 2023 US $ </t>
  </si>
  <si>
    <t>Residential - Space heating - Air source heat pumps</t>
  </si>
  <si>
    <t>Commercial - Space heating - Air source heat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</si>
</sst>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)\ _$_ ;_ * \(#,##0\)\ _$_ ;_ * &quot;-&quot;??_)\ _$_ ;_ @_ "/>
    <numFmt numFmtId="165" formatCode="_(* #,##0_);_(* \(#,##0\);_(* &quot;-&quot;??_);_(@_)"/>
    <numFmt numFmtId="166" formatCode="_-&quot;$&quot;* #,##0_-;\-&quot;$&quot;* #,##0_-;_-&quot;$&quot;* &quot;-&quot;??_-;_-@_-"/>
    <numFmt numFmtId="167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/>
    <xf numFmtId="44" fontId="1" fillId="0" borderId="0"/>
    <xf numFmtId="0" fontId="1" fillId="0" borderId="0"/>
    <xf numFmtId="0" fontId="1" fillId="0" borderId="0"/>
    <xf numFmtId="43" fontId="1" fillId="0" borderId="0"/>
    <xf numFmtId="0" fontId="4" fillId="0" borderId="0"/>
    <xf numFmtId="0" fontId="1" fillId="0" borderId="0"/>
    <xf numFmtId="0" fontId="1" fillId="0" borderId="0"/>
    <xf numFmtId="167" fontId="4" fillId="0" borderId="0"/>
  </cellStyleXfs>
  <cellXfs count="70">
    <xf numFmtId="0" fontId="0" fillId="0" borderId="0" xfId="0"/>
    <xf numFmtId="0" fontId="3" fillId="0" borderId="0" xfId="3" applyFont="1"/>
    <xf numFmtId="0" fontId="1" fillId="0" borderId="0" xfId="3"/>
    <xf numFmtId="0" fontId="2" fillId="2" borderId="1" xfId="3" applyFont="1" applyFill="1" applyBorder="1"/>
    <xf numFmtId="0" fontId="2" fillId="2" borderId="1" xfId="4" applyFont="1" applyFill="1" applyBorder="1" applyAlignment="1">
      <alignment horizontal="center"/>
    </xf>
    <xf numFmtId="0" fontId="1" fillId="3" borderId="0" xfId="3" applyFill="1"/>
    <xf numFmtId="0" fontId="5" fillId="3" borderId="0" xfId="6" applyFont="1" applyFill="1" applyAlignment="1">
      <alignment wrapText="1"/>
    </xf>
    <xf numFmtId="0" fontId="5" fillId="3" borderId="0" xfId="6" applyFont="1" applyFill="1"/>
    <xf numFmtId="0" fontId="1" fillId="3" borderId="2" xfId="3" applyFill="1" applyBorder="1"/>
    <xf numFmtId="0" fontId="5" fillId="3" borderId="2" xfId="6" applyFont="1" applyFill="1" applyBorder="1" applyAlignment="1">
      <alignment wrapText="1"/>
    </xf>
    <xf numFmtId="0" fontId="5" fillId="3" borderId="2" xfId="6" applyFont="1" applyFill="1" applyBorder="1"/>
    <xf numFmtId="0" fontId="6" fillId="0" borderId="0" xfId="7" applyFont="1"/>
    <xf numFmtId="0" fontId="7" fillId="0" borderId="0" xfId="7" applyFont="1"/>
    <xf numFmtId="0" fontId="8" fillId="0" borderId="0" xfId="7" applyFont="1"/>
    <xf numFmtId="0" fontId="9" fillId="0" borderId="0" xfId="7" applyFont="1"/>
    <xf numFmtId="0" fontId="10" fillId="0" borderId="0" xfId="0" applyFont="1"/>
    <xf numFmtId="0" fontId="9" fillId="4" borderId="3" xfId="7" applyFont="1" applyFill="1" applyBorder="1" applyAlignment="1">
      <alignment wrapText="1"/>
    </xf>
    <xf numFmtId="0" fontId="9" fillId="4" borderId="3" xfId="7" applyFont="1" applyFill="1" applyBorder="1" applyAlignment="1">
      <alignment horizontal="left" wrapText="1"/>
    </xf>
    <xf numFmtId="0" fontId="9" fillId="4" borderId="3" xfId="7" applyFont="1" applyFill="1" applyBorder="1" applyAlignment="1">
      <alignment horizontal="center" wrapText="1"/>
    </xf>
    <xf numFmtId="0" fontId="6" fillId="0" borderId="0" xfId="7" applyFont="1" applyAlignment="1">
      <alignment wrapText="1"/>
    </xf>
    <xf numFmtId="0" fontId="8" fillId="3" borderId="0" xfId="7" applyFont="1" applyFill="1" applyAlignment="1">
      <alignment vertical="top" wrapText="1"/>
    </xf>
    <xf numFmtId="0" fontId="8" fillId="3" borderId="0" xfId="6" applyFont="1" applyFill="1" applyAlignment="1">
      <alignment vertical="top"/>
    </xf>
    <xf numFmtId="0" fontId="6" fillId="3" borderId="0" xfId="7" applyFont="1" applyFill="1" applyAlignment="1">
      <alignment vertical="top" wrapText="1"/>
    </xf>
    <xf numFmtId="0" fontId="8" fillId="3" borderId="0" xfId="7" applyFont="1" applyFill="1" applyAlignment="1">
      <alignment horizontal="center" vertical="top" wrapText="1"/>
    </xf>
    <xf numFmtId="164" fontId="8" fillId="3" borderId="0" xfId="7" applyNumberFormat="1" applyFont="1" applyFill="1" applyAlignment="1">
      <alignment horizontal="center" vertical="top" wrapText="1"/>
    </xf>
    <xf numFmtId="165" fontId="8" fillId="5" borderId="0" xfId="5" applyNumberFormat="1" applyFont="1" applyFill="1" applyAlignment="1">
      <alignment horizontal="center" vertical="top" wrapText="1"/>
    </xf>
    <xf numFmtId="0" fontId="8" fillId="3" borderId="0" xfId="7" applyFont="1" applyFill="1" applyAlignment="1">
      <alignment vertical="top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6" fillId="0" borderId="0" xfId="7" applyFont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9" fillId="4" borderId="3" xfId="7" applyFont="1" applyFill="1" applyBorder="1" applyAlignment="1">
      <alignment horizontal="left" vertical="center" wrapText="1"/>
    </xf>
    <xf numFmtId="0" fontId="9" fillId="4" borderId="3" xfId="7" applyFont="1" applyFill="1" applyBorder="1" applyAlignment="1">
      <alignment vertical="center" wrapText="1"/>
    </xf>
    <xf numFmtId="0" fontId="9" fillId="4" borderId="3" xfId="7" applyFont="1" applyFill="1" applyBorder="1" applyAlignment="1">
      <alignment horizontal="center" vertical="center" wrapText="1"/>
    </xf>
    <xf numFmtId="164" fontId="11" fillId="3" borderId="0" xfId="7" applyNumberFormat="1" applyFont="1" applyFill="1" applyAlignment="1">
      <alignment horizontal="center" vertical="top" wrapText="1"/>
    </xf>
    <xf numFmtId="165" fontId="6" fillId="5" borderId="0" xfId="9" applyNumberFormat="1" applyFont="1" applyFill="1" applyAlignment="1">
      <alignment horizontal="center" vertical="top" wrapText="1"/>
    </xf>
    <xf numFmtId="1" fontId="9" fillId="3" borderId="0" xfId="0" applyNumberFormat="1" applyFont="1" applyFill="1" applyAlignment="1">
      <alignment horizontal="center" vertical="top" wrapText="1"/>
    </xf>
    <xf numFmtId="43" fontId="0" fillId="3" borderId="0" xfId="1" applyFont="1" applyFill="1"/>
    <xf numFmtId="43" fontId="0" fillId="3" borderId="2" xfId="1" applyFont="1" applyFill="1" applyBorder="1"/>
    <xf numFmtId="0" fontId="6" fillId="0" borderId="0" xfId="8" applyFont="1" applyAlignment="1">
      <alignment horizontal="center"/>
    </xf>
    <xf numFmtId="166" fontId="0" fillId="0" borderId="0" xfId="2" applyNumberFormat="1" applyFont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43" fontId="0" fillId="0" borderId="0" xfId="1" applyFont="1"/>
    <xf numFmtId="43" fontId="0" fillId="0" borderId="0" xfId="0" applyNumberFormat="1"/>
    <xf numFmtId="0" fontId="12" fillId="6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5" xfId="0" applyBorder="1"/>
    <xf numFmtId="0" fontId="0" fillId="0" borderId="13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0" xfId="0"/>
    <xf numFmtId="0" fontId="0" fillId="0" borderId="5" xfId="0" applyBorder="1"/>
    <xf numFmtId="0" fontId="0" fillId="0" borderId="0" xfId="0" applyAlignment="1">
      <alignment horizontal="center"/>
    </xf>
  </cellXfs>
  <cellStyles count="10">
    <cellStyle name="Comma" xfId="1" builtinId="3"/>
    <cellStyle name="Comma 10" xfId="9" xr:uid="{00000000-0005-0000-0000-000009000000}"/>
    <cellStyle name="Comma 21" xfId="5" xr:uid="{00000000-0005-0000-0000-000005000000}"/>
    <cellStyle name="Currency" xfId="2" builtinId="4"/>
    <cellStyle name="Normal" xfId="0" builtinId="0"/>
    <cellStyle name="Normal 10 2 2" xfId="6" xr:uid="{00000000-0005-0000-0000-000006000000}"/>
    <cellStyle name="Normal 14" xfId="7" xr:uid="{00000000-0005-0000-0000-000007000000}"/>
    <cellStyle name="Normal 16" xfId="3" xr:uid="{00000000-0005-0000-0000-000003000000}"/>
    <cellStyle name="Normal 16 2" xfId="4" xr:uid="{00000000-0005-0000-0000-000004000000}"/>
    <cellStyle name="Normal 7 4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J27" sqref="J27"/>
    </sheetView>
  </sheetViews>
  <sheetFormatPr defaultColWidth="8.85546875" defaultRowHeight="15" x14ac:dyDescent="0.25"/>
  <cols>
    <col min="1" max="22" width="8.85546875" style="50" customWidth="1"/>
    <col min="23" max="16384" width="8.85546875" style="50"/>
  </cols>
  <sheetData>
    <row r="1" spans="1:3" s="49" customFormat="1" ht="23.45" customHeight="1" x14ac:dyDescent="0.35">
      <c r="A1" s="49" t="s">
        <v>0</v>
      </c>
    </row>
    <row r="2" spans="1:3" s="49" customFormat="1" ht="23.45" customHeight="1" x14ac:dyDescent="0.35"/>
    <row r="3" spans="1:3" x14ac:dyDescent="0.25">
      <c r="B3" s="51" t="s">
        <v>1</v>
      </c>
    </row>
    <row r="4" spans="1:3" x14ac:dyDescent="0.25">
      <c r="B4" s="52"/>
      <c r="C4" s="50" t="s">
        <v>2</v>
      </c>
    </row>
    <row r="6" spans="1:3" x14ac:dyDescent="0.25">
      <c r="B6" s="53"/>
      <c r="C6" s="50" t="s">
        <v>3</v>
      </c>
    </row>
    <row r="8" spans="1:3" x14ac:dyDescent="0.25">
      <c r="B8" s="54"/>
      <c r="C8" s="50" t="s">
        <v>4</v>
      </c>
    </row>
    <row r="10" spans="1:3" x14ac:dyDescent="0.25">
      <c r="B10" s="55"/>
      <c r="C10" s="5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J27" sqref="J27"/>
    </sheetView>
  </sheetViews>
  <sheetFormatPr defaultColWidth="8.85546875" defaultRowHeight="15" x14ac:dyDescent="0.25"/>
  <cols>
    <col min="1" max="1" width="8.85546875" style="50" customWidth="1"/>
    <col min="2" max="2" width="47.7109375" style="50" customWidth="1"/>
    <col min="3" max="3" width="26.140625" style="50" customWidth="1"/>
    <col min="4" max="4" width="14.42578125" style="50" customWidth="1"/>
    <col min="5" max="13" width="10.85546875" style="50" customWidth="1"/>
    <col min="14" max="35" width="8.85546875" style="50" customWidth="1"/>
    <col min="36" max="16384" width="8.85546875" style="50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17"/>
  <sheetViews>
    <sheetView tabSelected="1" workbookViewId="0">
      <selection activeCell="G24" sqref="G24"/>
    </sheetView>
  </sheetViews>
  <sheetFormatPr defaultColWidth="20.140625" defaultRowHeight="15" x14ac:dyDescent="0.25"/>
  <cols>
    <col min="2" max="2" width="9.85546875" style="58" bestFit="1" customWidth="1"/>
    <col min="3" max="3" width="8.42578125" style="58" bestFit="1" customWidth="1"/>
    <col min="4" max="4" width="11.85546875" style="58" bestFit="1" customWidth="1"/>
    <col min="5" max="5" width="5" style="58" bestFit="1" customWidth="1"/>
    <col min="6" max="6" width="10.42578125" style="58" bestFit="1" customWidth="1"/>
    <col min="7" max="7" width="34.28515625" style="58" customWidth="1"/>
    <col min="8" max="8" width="15.42578125" style="58" bestFit="1" customWidth="1"/>
  </cols>
  <sheetData>
    <row r="3" spans="2:9" x14ac:dyDescent="0.25">
      <c r="B3" s="1" t="s">
        <v>71</v>
      </c>
      <c r="C3" s="2"/>
      <c r="D3" s="2"/>
      <c r="E3" s="2"/>
      <c r="F3" s="2"/>
      <c r="G3" s="2"/>
      <c r="H3" s="2"/>
    </row>
    <row r="4" spans="2:9" x14ac:dyDescent="0.25">
      <c r="B4" s="3" t="s">
        <v>72</v>
      </c>
      <c r="C4" s="3" t="s">
        <v>73</v>
      </c>
      <c r="D4" s="3" t="s">
        <v>74</v>
      </c>
      <c r="E4" s="3" t="s">
        <v>30</v>
      </c>
      <c r="F4" s="4" t="s">
        <v>75</v>
      </c>
      <c r="G4" s="3" t="s">
        <v>76</v>
      </c>
      <c r="H4" s="3" t="s">
        <v>77</v>
      </c>
      <c r="I4" s="3" t="s">
        <v>78</v>
      </c>
    </row>
    <row r="5" spans="2:9" x14ac:dyDescent="0.25">
      <c r="B5" s="5"/>
      <c r="C5" s="5"/>
      <c r="D5" s="5" t="s">
        <v>79</v>
      </c>
      <c r="E5" s="5">
        <f>'Data '!$B$4</f>
        <v>2019</v>
      </c>
      <c r="F5" s="38">
        <f>'Data '!$B$5</f>
        <v>0</v>
      </c>
      <c r="G5" s="6" t="s">
        <v>80</v>
      </c>
      <c r="H5" s="6" t="s">
        <v>81</v>
      </c>
      <c r="I5" s="7"/>
    </row>
    <row r="6" spans="2:9" x14ac:dyDescent="0.25">
      <c r="B6" s="5"/>
      <c r="C6" s="5"/>
      <c r="D6" s="5" t="s">
        <v>79</v>
      </c>
      <c r="E6" s="5">
        <f>'Data '!$C$4</f>
        <v>2024</v>
      </c>
      <c r="F6" s="38">
        <f>'Data '!$C$5</f>
        <v>0</v>
      </c>
      <c r="G6" s="6" t="str">
        <f t="shared" ref="G6:H10" si="0">G5</f>
        <v>RES*SH*HP*ELC*,-*GHP*</v>
      </c>
      <c r="H6" s="6" t="str">
        <f t="shared" si="0"/>
        <v>*Space heating*</v>
      </c>
      <c r="I6" s="7"/>
    </row>
    <row r="7" spans="2:9" x14ac:dyDescent="0.25">
      <c r="B7" s="5"/>
      <c r="C7" s="5"/>
      <c r="D7" s="5" t="s">
        <v>79</v>
      </c>
      <c r="E7" s="5">
        <f>'Data '!$D$4</f>
        <v>2025</v>
      </c>
      <c r="F7" s="38">
        <f>'Data '!$D$5</f>
        <v>0.5</v>
      </c>
      <c r="G7" s="6" t="str">
        <f t="shared" si="0"/>
        <v>RES*SH*HP*ELC*,-*GHP*</v>
      </c>
      <c r="H7" s="6" t="str">
        <f t="shared" si="0"/>
        <v>*Space heating*</v>
      </c>
      <c r="I7" s="7"/>
    </row>
    <row r="8" spans="2:9" x14ac:dyDescent="0.25">
      <c r="B8" s="5"/>
      <c r="C8" s="5"/>
      <c r="D8" s="5" t="s">
        <v>79</v>
      </c>
      <c r="E8" s="5">
        <f>'Data '!$E$4</f>
        <v>2034</v>
      </c>
      <c r="F8" s="38">
        <f>'Data '!$E$5</f>
        <v>0.5</v>
      </c>
      <c r="G8" s="6" t="str">
        <f t="shared" si="0"/>
        <v>RES*SH*HP*ELC*,-*GHP*</v>
      </c>
      <c r="H8" s="6" t="str">
        <f t="shared" si="0"/>
        <v>*Space heating*</v>
      </c>
      <c r="I8" s="7"/>
    </row>
    <row r="9" spans="2:9" x14ac:dyDescent="0.25">
      <c r="B9" s="5"/>
      <c r="C9" s="5"/>
      <c r="D9" s="5" t="s">
        <v>79</v>
      </c>
      <c r="E9" s="5">
        <f>'Data '!$F$4</f>
        <v>2035</v>
      </c>
      <c r="F9" s="38">
        <f>'Data '!$F$5</f>
        <v>0</v>
      </c>
      <c r="G9" s="6" t="str">
        <f t="shared" si="0"/>
        <v>RES*SH*HP*ELC*,-*GHP*</v>
      </c>
      <c r="H9" s="6" t="str">
        <f t="shared" si="0"/>
        <v>*Space heating*</v>
      </c>
      <c r="I9" s="7"/>
    </row>
    <row r="10" spans="2:9" x14ac:dyDescent="0.25">
      <c r="B10" s="8"/>
      <c r="C10" s="8"/>
      <c r="D10" s="8" t="s">
        <v>79</v>
      </c>
      <c r="E10" s="8">
        <v>2050</v>
      </c>
      <c r="F10" s="39">
        <f>F9</f>
        <v>0</v>
      </c>
      <c r="G10" s="9" t="str">
        <f t="shared" si="0"/>
        <v>RES*SH*HP*ELC*,-*GHP*</v>
      </c>
      <c r="H10" s="9" t="str">
        <f t="shared" si="0"/>
        <v>*Space heating*</v>
      </c>
      <c r="I10" s="10"/>
    </row>
    <row r="12" spans="2:9" x14ac:dyDescent="0.25">
      <c r="B12" s="5"/>
      <c r="C12" s="5"/>
      <c r="D12" s="5" t="s">
        <v>82</v>
      </c>
      <c r="E12" s="5">
        <f>'Data '!$B$4</f>
        <v>2019</v>
      </c>
      <c r="F12" s="38">
        <f>'Data '!G5</f>
        <v>0</v>
      </c>
      <c r="G12" s="6" t="s">
        <v>80</v>
      </c>
      <c r="H12" s="6" t="s">
        <v>81</v>
      </c>
      <c r="I12" s="7"/>
    </row>
    <row r="13" spans="2:9" x14ac:dyDescent="0.25">
      <c r="B13" s="5"/>
      <c r="C13" s="5"/>
      <c r="D13" s="5" t="str">
        <f>D12</f>
        <v>NCAP_ISUB</v>
      </c>
      <c r="E13" s="5">
        <f>'Data '!$C$4</f>
        <v>2024</v>
      </c>
      <c r="F13" s="38">
        <f>'Data '!H5</f>
        <v>0</v>
      </c>
      <c r="G13" s="6" t="str">
        <f t="shared" ref="G13:H17" si="1">G12</f>
        <v>RES*SH*HP*ELC*,-*GHP*</v>
      </c>
      <c r="H13" s="6" t="str">
        <f t="shared" si="1"/>
        <v>*Space heating*</v>
      </c>
      <c r="I13" s="7"/>
    </row>
    <row r="14" spans="2:9" x14ac:dyDescent="0.25">
      <c r="B14" s="5"/>
      <c r="C14" s="5"/>
      <c r="D14" s="5" t="str">
        <f>D13</f>
        <v>NCAP_ISUB</v>
      </c>
      <c r="E14" s="5">
        <f>'Data '!$D$4</f>
        <v>2025</v>
      </c>
      <c r="F14" s="38">
        <f>'Data '!I5</f>
        <v>210</v>
      </c>
      <c r="G14" s="6" t="str">
        <f t="shared" si="1"/>
        <v>RES*SH*HP*ELC*,-*GHP*</v>
      </c>
      <c r="H14" s="6" t="str">
        <f t="shared" si="1"/>
        <v>*Space heating*</v>
      </c>
      <c r="I14" s="7"/>
    </row>
    <row r="15" spans="2:9" x14ac:dyDescent="0.25">
      <c r="B15" s="5"/>
      <c r="C15" s="5"/>
      <c r="D15" s="5" t="str">
        <f>D14</f>
        <v>NCAP_ISUB</v>
      </c>
      <c r="E15" s="5">
        <f>'Data '!$E$4</f>
        <v>2034</v>
      </c>
      <c r="F15" s="38">
        <f>'Data '!J5</f>
        <v>210</v>
      </c>
      <c r="G15" s="6" t="str">
        <f t="shared" si="1"/>
        <v>RES*SH*HP*ELC*,-*GHP*</v>
      </c>
      <c r="H15" s="6" t="str">
        <f t="shared" si="1"/>
        <v>*Space heating*</v>
      </c>
      <c r="I15" s="7"/>
    </row>
    <row r="16" spans="2:9" x14ac:dyDescent="0.25">
      <c r="B16" s="5"/>
      <c r="C16" s="5"/>
      <c r="D16" s="5" t="str">
        <f>D15</f>
        <v>NCAP_ISUB</v>
      </c>
      <c r="E16" s="5">
        <f>'Data '!$F$4</f>
        <v>2035</v>
      </c>
      <c r="F16" s="38">
        <f>'Data '!K5</f>
        <v>0</v>
      </c>
      <c r="G16" s="6" t="str">
        <f t="shared" si="1"/>
        <v>RES*SH*HP*ELC*,-*GHP*</v>
      </c>
      <c r="H16" s="6" t="str">
        <f t="shared" si="1"/>
        <v>*Space heating*</v>
      </c>
      <c r="I16" s="7"/>
    </row>
    <row r="17" spans="2:9" x14ac:dyDescent="0.25">
      <c r="B17" s="8"/>
      <c r="C17" s="8"/>
      <c r="D17" s="8" t="str">
        <f>D16</f>
        <v>NCAP_ISUB</v>
      </c>
      <c r="E17" s="8">
        <v>2050</v>
      </c>
      <c r="F17" s="39">
        <f>F16</f>
        <v>0</v>
      </c>
      <c r="G17" s="9" t="str">
        <f t="shared" si="1"/>
        <v>RES*SH*HP*ELC*,-*GHP*</v>
      </c>
      <c r="H17" s="9" t="str">
        <f t="shared" si="1"/>
        <v>*Space heating*</v>
      </c>
      <c r="I1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Z16"/>
  <sheetViews>
    <sheetView workbookViewId="0">
      <selection activeCell="G24" sqref="G24"/>
    </sheetView>
  </sheetViews>
  <sheetFormatPr defaultRowHeight="15" x14ac:dyDescent="0.25"/>
  <cols>
    <col min="2" max="2" width="42.28515625" style="58" bestFit="1" customWidth="1"/>
    <col min="3" max="3" width="14.42578125" style="58" bestFit="1" customWidth="1"/>
    <col min="4" max="4" width="14.42578125" style="58" customWidth="1"/>
    <col min="5" max="5" width="15" style="58" customWidth="1"/>
    <col min="6" max="6" width="7.7109375" style="58" bestFit="1" customWidth="1"/>
    <col min="7" max="7" width="11.5703125" style="58" bestFit="1" customWidth="1"/>
    <col min="8" max="8" width="11.7109375" style="58" bestFit="1" customWidth="1"/>
    <col min="9" max="9" width="13.7109375" style="58" bestFit="1" customWidth="1"/>
    <col min="10" max="10" width="8.42578125" style="58" bestFit="1" customWidth="1"/>
    <col min="11" max="11" width="12.28515625" style="58" bestFit="1" customWidth="1"/>
    <col min="12" max="12" width="12.7109375" style="58" bestFit="1" customWidth="1"/>
    <col min="13" max="13" width="47.42578125" style="58" bestFit="1" customWidth="1"/>
    <col min="14" max="20" width="12.7109375" style="58" bestFit="1" customWidth="1"/>
    <col min="21" max="21" width="9.7109375" style="58" bestFit="1" customWidth="1"/>
    <col min="22" max="22" width="56.140625" style="58" bestFit="1" customWidth="1"/>
  </cols>
  <sheetData>
    <row r="3" spans="2:26" s="11" customFormat="1" ht="12.75" customHeight="1" x14ac:dyDescent="0.2">
      <c r="B3" s="12" t="s">
        <v>83</v>
      </c>
    </row>
    <row r="4" spans="2:26" s="11" customFormat="1" ht="12.75" customHeight="1" x14ac:dyDescent="0.2">
      <c r="B4" s="12" t="s">
        <v>84</v>
      </c>
    </row>
    <row r="5" spans="2:26" s="11" customFormat="1" ht="12.75" customHeight="1" x14ac:dyDescent="0.2">
      <c r="B5" s="12"/>
      <c r="E5" s="13"/>
    </row>
    <row r="6" spans="2:26" s="11" customFormat="1" ht="12.75" customHeight="1" x14ac:dyDescent="0.2">
      <c r="C6" s="14"/>
      <c r="D6" s="14"/>
      <c r="I6" s="15" t="s">
        <v>85</v>
      </c>
    </row>
    <row r="7" spans="2:26" s="11" customFormat="1" ht="13.5" customHeight="1" thickBot="1" x14ac:dyDescent="0.25">
      <c r="B7" s="16" t="s">
        <v>86</v>
      </c>
      <c r="C7" s="17" t="s">
        <v>87</v>
      </c>
      <c r="D7" s="17" t="s">
        <v>88</v>
      </c>
      <c r="E7" s="17" t="s">
        <v>89</v>
      </c>
      <c r="F7" s="17" t="s">
        <v>90</v>
      </c>
      <c r="G7" s="17" t="s">
        <v>91</v>
      </c>
      <c r="H7" s="17" t="s">
        <v>92</v>
      </c>
      <c r="I7" s="16" t="s">
        <v>73</v>
      </c>
      <c r="J7" s="18" t="s">
        <v>93</v>
      </c>
      <c r="K7" s="16" t="s">
        <v>94</v>
      </c>
      <c r="L7" s="16" t="s">
        <v>95</v>
      </c>
      <c r="M7" s="16" t="s">
        <v>96</v>
      </c>
      <c r="R7" s="40"/>
    </row>
    <row r="8" spans="2:26" s="19" customFormat="1" x14ac:dyDescent="0.25">
      <c r="B8" s="20" t="s">
        <v>97</v>
      </c>
      <c r="C8" s="21" t="str">
        <f>UC_SUB!G5</f>
        <v>RES*SH*HP*ELC*,-*GHP*</v>
      </c>
      <c r="D8" s="21" t="str">
        <f>UC_SUB!H5</f>
        <v>*Space heating*</v>
      </c>
      <c r="E8" s="22"/>
      <c r="F8" s="22"/>
      <c r="G8" s="20" t="s">
        <v>98</v>
      </c>
      <c r="H8" s="22"/>
      <c r="I8" s="20" t="s">
        <v>99</v>
      </c>
      <c r="J8" s="23">
        <v>1</v>
      </c>
      <c r="K8" s="24"/>
      <c r="L8" s="25">
        <f>-'Data '!L5</f>
        <v>-500000</v>
      </c>
      <c r="M8" s="26" t="s">
        <v>100</v>
      </c>
      <c r="R8" s="41"/>
      <c r="S8" s="11"/>
      <c r="T8" s="11"/>
    </row>
    <row r="9" spans="2:26" s="11" customFormat="1" x14ac:dyDescent="0.25">
      <c r="R9" s="41"/>
    </row>
    <row r="10" spans="2:26" s="11" customFormat="1" ht="12.75" customHeight="1" x14ac:dyDescent="0.2"/>
    <row r="11" spans="2:26" s="11" customFormat="1" ht="12.75" customHeight="1" x14ac:dyDescent="0.2">
      <c r="B11" s="12" t="s">
        <v>83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2:26" s="11" customFormat="1" ht="12.75" customHeight="1" x14ac:dyDescent="0.2">
      <c r="B12" s="12" t="s">
        <v>101</v>
      </c>
      <c r="C12" s="27"/>
      <c r="D12" s="27"/>
      <c r="E12" s="28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 spans="2:26" s="27" customFormat="1" ht="12.75" customHeight="1" x14ac:dyDescent="0.2">
      <c r="C13" s="29"/>
      <c r="D13" s="29"/>
      <c r="I13" s="15" t="s">
        <v>102</v>
      </c>
      <c r="T13" s="11"/>
    </row>
    <row r="14" spans="2:26" s="30" customFormat="1" ht="13.5" customHeight="1" thickBot="1" x14ac:dyDescent="0.25">
      <c r="B14" s="31" t="s">
        <v>86</v>
      </c>
      <c r="C14" s="32" t="s">
        <v>87</v>
      </c>
      <c r="D14" s="32" t="s">
        <v>88</v>
      </c>
      <c r="E14" s="32" t="s">
        <v>89</v>
      </c>
      <c r="F14" s="32" t="s">
        <v>90</v>
      </c>
      <c r="G14" s="32" t="s">
        <v>91</v>
      </c>
      <c r="H14" s="32" t="s">
        <v>92</v>
      </c>
      <c r="I14" s="33" t="s">
        <v>73</v>
      </c>
      <c r="J14" s="34" t="s">
        <v>93</v>
      </c>
      <c r="K14" s="33" t="s">
        <v>94</v>
      </c>
      <c r="L14" s="31" t="s">
        <v>103</v>
      </c>
      <c r="M14" s="31" t="s">
        <v>104</v>
      </c>
      <c r="N14" s="31" t="s">
        <v>105</v>
      </c>
      <c r="O14" s="31" t="s">
        <v>106</v>
      </c>
      <c r="P14" s="31" t="s">
        <v>107</v>
      </c>
      <c r="Q14" s="31" t="s">
        <v>108</v>
      </c>
      <c r="R14" s="31" t="s">
        <v>109</v>
      </c>
      <c r="S14" s="31" t="s">
        <v>110</v>
      </c>
      <c r="T14" s="31" t="s">
        <v>111</v>
      </c>
      <c r="U14" s="31" t="s">
        <v>112</v>
      </c>
      <c r="V14" s="31" t="s">
        <v>96</v>
      </c>
      <c r="X14" s="27"/>
      <c r="Z14" s="27"/>
    </row>
    <row r="15" spans="2:26" s="19" customFormat="1" ht="12.75" customHeight="1" x14ac:dyDescent="0.2">
      <c r="B15" s="20" t="s">
        <v>113</v>
      </c>
      <c r="C15" s="21" t="str">
        <f>C8</f>
        <v>RES*SH*HP*ELC*,-*GHP*</v>
      </c>
      <c r="D15" s="21" t="str">
        <f>D8</f>
        <v>*Space heating*</v>
      </c>
      <c r="E15" s="22"/>
      <c r="F15" s="22"/>
      <c r="G15" s="20" t="s">
        <v>98</v>
      </c>
      <c r="H15" s="22"/>
      <c r="I15" s="20" t="s">
        <v>99</v>
      </c>
      <c r="J15" s="23">
        <v>1</v>
      </c>
      <c r="K15" s="35"/>
      <c r="L15" s="36">
        <v>0</v>
      </c>
      <c r="M15" s="36">
        <v>0</v>
      </c>
      <c r="N15" s="36">
        <f>-'Data '!M6</f>
        <v>-38461.538461538461</v>
      </c>
      <c r="O15" s="36">
        <f>-'Data '!N6</f>
        <v>-23076.923076923078</v>
      </c>
      <c r="P15" s="36">
        <f>-'Data '!O6</f>
        <v>-23076.923076923078</v>
      </c>
      <c r="Q15" s="36">
        <f>-'Data '!P6</f>
        <v>-7692.3076923076924</v>
      </c>
      <c r="R15" s="36">
        <f>-'Data '!Q6</f>
        <v>-38461.538461538461</v>
      </c>
      <c r="S15" s="36">
        <f>-$R$9*50%</f>
        <v>0</v>
      </c>
      <c r="T15" s="36">
        <f>-$R$9*50%</f>
        <v>0</v>
      </c>
      <c r="U15" s="37">
        <v>1</v>
      </c>
      <c r="V15" s="26" t="s">
        <v>114</v>
      </c>
      <c r="X15" s="27"/>
      <c r="Z15" s="27"/>
    </row>
    <row r="16" spans="2:26" s="11" customFormat="1" ht="12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249977111117893"/>
  </sheetPr>
  <dimension ref="A1"/>
  <sheetViews>
    <sheetView workbookViewId="0">
      <selection activeCell="J27" sqref="J27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6"/>
  <sheetViews>
    <sheetView workbookViewId="0">
      <selection activeCell="L10" sqref="L10"/>
    </sheetView>
  </sheetViews>
  <sheetFormatPr defaultRowHeight="15" x14ac:dyDescent="0.25"/>
  <cols>
    <col min="1" max="1" width="48" style="58" bestFit="1" customWidth="1"/>
    <col min="2" max="11" width="5" style="58" bestFit="1" customWidth="1"/>
    <col min="12" max="12" width="25.140625" style="58" bestFit="1" customWidth="1"/>
    <col min="13" max="17" width="11.7109375" style="58" bestFit="1" customWidth="1"/>
  </cols>
  <sheetData>
    <row r="2" spans="1:17" x14ac:dyDescent="0.25">
      <c r="B2" s="63" t="s">
        <v>115</v>
      </c>
      <c r="C2" s="64"/>
      <c r="D2" s="64"/>
      <c r="E2" s="64"/>
      <c r="F2" s="64"/>
      <c r="G2" s="64"/>
      <c r="H2" s="64"/>
      <c r="I2" s="64"/>
      <c r="J2" s="64"/>
      <c r="K2" s="65"/>
      <c r="L2" t="s">
        <v>116</v>
      </c>
      <c r="M2" s="69" t="s">
        <v>117</v>
      </c>
      <c r="N2" s="67"/>
      <c r="O2" s="67"/>
      <c r="P2" s="67"/>
      <c r="Q2" s="67"/>
    </row>
    <row r="3" spans="1:17" x14ac:dyDescent="0.25">
      <c r="B3" s="66" t="s">
        <v>118</v>
      </c>
      <c r="C3" s="67"/>
      <c r="D3" s="67"/>
      <c r="E3" s="67"/>
      <c r="F3" s="68"/>
      <c r="G3" s="60" t="s">
        <v>119</v>
      </c>
      <c r="H3" s="61"/>
      <c r="I3" s="61"/>
      <c r="J3" s="61"/>
      <c r="K3" s="62"/>
      <c r="L3" t="s">
        <v>120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</row>
    <row r="4" spans="1:17" x14ac:dyDescent="0.25">
      <c r="B4" s="42">
        <v>2019</v>
      </c>
      <c r="C4">
        <v>2024</v>
      </c>
      <c r="D4">
        <v>2025</v>
      </c>
      <c r="E4">
        <v>2034</v>
      </c>
      <c r="F4" s="59">
        <v>2035</v>
      </c>
      <c r="G4" s="42">
        <v>2019</v>
      </c>
      <c r="H4">
        <v>2024</v>
      </c>
      <c r="I4">
        <v>2025</v>
      </c>
      <c r="J4">
        <v>2034</v>
      </c>
      <c r="K4" s="59">
        <v>2035</v>
      </c>
      <c r="M4">
        <v>2025</v>
      </c>
      <c r="N4">
        <v>2027</v>
      </c>
      <c r="O4">
        <v>2030</v>
      </c>
      <c r="P4">
        <v>2032</v>
      </c>
      <c r="Q4">
        <v>2035</v>
      </c>
    </row>
    <row r="5" spans="1:17" x14ac:dyDescent="0.25">
      <c r="A5" s="43" t="s">
        <v>121</v>
      </c>
      <c r="B5" s="43">
        <v>0</v>
      </c>
      <c r="C5" s="56">
        <v>0</v>
      </c>
      <c r="D5" s="56">
        <v>0.5</v>
      </c>
      <c r="E5" s="56">
        <f>D5</f>
        <v>0.5</v>
      </c>
      <c r="F5" s="57">
        <v>0</v>
      </c>
      <c r="G5" s="43">
        <v>0</v>
      </c>
      <c r="H5" s="56">
        <v>0</v>
      </c>
      <c r="I5" s="56">
        <f>420*0.5</f>
        <v>210</v>
      </c>
      <c r="J5" s="56">
        <f>I5</f>
        <v>210</v>
      </c>
      <c r="K5" s="57">
        <v>0</v>
      </c>
      <c r="L5" s="47">
        <v>500000</v>
      </c>
      <c r="M5" s="47">
        <f>L5*1/13</f>
        <v>38461.538461538461</v>
      </c>
      <c r="N5" s="47">
        <f>100000*3/13</f>
        <v>23076.923076923078</v>
      </c>
      <c r="O5" s="47">
        <f>100000*3/13</f>
        <v>23076.923076923078</v>
      </c>
      <c r="P5" s="47">
        <f>100000*1/13</f>
        <v>7692.3076923076924</v>
      </c>
      <c r="Q5" s="47">
        <f>100000*5/13</f>
        <v>38461.538461538461</v>
      </c>
    </row>
    <row r="6" spans="1:17" x14ac:dyDescent="0.25">
      <c r="A6" s="45" t="s">
        <v>122</v>
      </c>
      <c r="B6" s="44">
        <v>0</v>
      </c>
      <c r="C6" s="45">
        <v>0</v>
      </c>
      <c r="D6" s="45">
        <v>0.5</v>
      </c>
      <c r="E6" s="45">
        <f>D6</f>
        <v>0.5</v>
      </c>
      <c r="F6" s="46">
        <v>0</v>
      </c>
      <c r="G6" s="44">
        <v>0</v>
      </c>
      <c r="H6" s="45">
        <v>0</v>
      </c>
      <c r="I6" s="45">
        <v>500</v>
      </c>
      <c r="J6" s="45">
        <f>I6</f>
        <v>500</v>
      </c>
      <c r="K6" s="46">
        <v>0</v>
      </c>
      <c r="L6" s="48">
        <f t="shared" ref="L6:Q6" si="0">L5</f>
        <v>500000</v>
      </c>
      <c r="M6" s="47">
        <f t="shared" si="0"/>
        <v>38461.538461538461</v>
      </c>
      <c r="N6" s="47">
        <f t="shared" si="0"/>
        <v>23076.923076923078</v>
      </c>
      <c r="O6" s="47">
        <f t="shared" si="0"/>
        <v>23076.923076923078</v>
      </c>
      <c r="P6" s="47">
        <f t="shared" si="0"/>
        <v>7692.3076923076924</v>
      </c>
      <c r="Q6" s="47">
        <f t="shared" si="0"/>
        <v>38461.538461538461</v>
      </c>
    </row>
  </sheetData>
  <mergeCells count="4">
    <mergeCell ref="G3:K3"/>
    <mergeCell ref="B2:K2"/>
    <mergeCell ref="B3:F3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&gt;&gt; City Data</vt:lpstr>
      <vt:lpstr>City characteristics</vt:lpstr>
      <vt:lpstr>&gt;&gt; GC_Existing</vt:lpstr>
      <vt:lpstr>&gt;&gt; TIMES</vt:lpstr>
      <vt:lpstr>UC_SUB</vt:lpstr>
      <vt:lpstr>MaxSub</vt:lpstr>
      <vt:lpstr>&gt;&gt; Parameters</vt:lpstr>
      <vt:lpstr>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2025-04-08T18:33:28Z</dcterms:modified>
</cp:coreProperties>
</file>
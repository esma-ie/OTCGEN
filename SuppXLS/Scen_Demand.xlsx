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3EB33941-1385-4735-9269-865BD0486CAC}" xr6:coauthVersionLast="47" xr6:coauthVersionMax="47" xr10:uidLastSave="{00000000-0000-0000-0000-000000000000}"/>
  <bookViews>
    <workbookView xWindow="-120" yWindow="-120" windowWidth="25440" windowHeight="15270" firstSheet="2" activeTab="4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Existing" sheetId="4" r:id="rId4"/>
    <sheet name="Demand" sheetId="5" r:id="rId5"/>
    <sheet name="Trans_Demand" sheetId="6" r:id="rId6"/>
    <sheet name="&gt;&gt; TIMES" sheetId="7" r:id="rId7"/>
    <sheet name="DMD_ELC" sheetId="8" r:id="rId8"/>
    <sheet name="DMD_WAS" sheetId="9" r:id="rId9"/>
    <sheet name="DMD_TRA" sheetId="10" r:id="rId10"/>
    <sheet name="DMD_RES" sheetId="11" r:id="rId11"/>
    <sheet name="DMD_COM" sheetId="12" r:id="rId12"/>
    <sheet name="DMD_IND" sheetId="13" r:id="rId13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ExternalData_1" localSheetId="5" hidden="1">Trans_Demand!$A$1:$D$1171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3" l="1"/>
  <c r="C23" i="13"/>
  <c r="B23" i="13"/>
  <c r="F22" i="13"/>
  <c r="B22" i="13"/>
  <c r="F21" i="13"/>
  <c r="C21" i="13"/>
  <c r="B21" i="13"/>
  <c r="D21" i="13" s="1"/>
  <c r="F20" i="13"/>
  <c r="C20" i="13"/>
  <c r="B20" i="13"/>
  <c r="D20" i="13" s="1"/>
  <c r="F19" i="13"/>
  <c r="D19" i="13"/>
  <c r="C19" i="13"/>
  <c r="B19" i="13"/>
  <c r="F18" i="13"/>
  <c r="D18" i="13"/>
  <c r="C18" i="13"/>
  <c r="B18" i="13"/>
  <c r="F17" i="13"/>
  <c r="C17" i="13"/>
  <c r="B17" i="13"/>
  <c r="D17" i="13" s="1"/>
  <c r="F16" i="13"/>
  <c r="B16" i="13"/>
  <c r="C16" i="13" s="1"/>
  <c r="F15" i="13"/>
  <c r="D15" i="13"/>
  <c r="C15" i="13"/>
  <c r="B15" i="13"/>
  <c r="F14" i="13"/>
  <c r="B14" i="13"/>
  <c r="C14" i="13" s="1"/>
  <c r="F13" i="13"/>
  <c r="C13" i="13"/>
  <c r="B13" i="13"/>
  <c r="F12" i="13"/>
  <c r="B12" i="13"/>
  <c r="D12" i="13" s="1"/>
  <c r="F11" i="13"/>
  <c r="B11" i="13"/>
  <c r="F10" i="13"/>
  <c r="B10" i="13"/>
  <c r="C10" i="13" s="1"/>
  <c r="F9" i="13"/>
  <c r="C9" i="13"/>
  <c r="B9" i="13"/>
  <c r="D9" i="13" s="1"/>
  <c r="F8" i="13"/>
  <c r="B8" i="13"/>
  <c r="D8" i="13" s="1"/>
  <c r="F7" i="13"/>
  <c r="D7" i="13"/>
  <c r="C7" i="13"/>
  <c r="B7" i="13"/>
  <c r="F6" i="13"/>
  <c r="B6" i="13"/>
  <c r="D6" i="13" s="1"/>
  <c r="F293" i="12"/>
  <c r="C293" i="12"/>
  <c r="B293" i="12"/>
  <c r="D293" i="12" s="1"/>
  <c r="F292" i="12"/>
  <c r="D292" i="12"/>
  <c r="B292" i="12"/>
  <c r="C292" i="12" s="1"/>
  <c r="F291" i="12"/>
  <c r="D291" i="12"/>
  <c r="C291" i="12"/>
  <c r="B291" i="12"/>
  <c r="F290" i="12"/>
  <c r="B290" i="12"/>
  <c r="F289" i="12"/>
  <c r="D289" i="12"/>
  <c r="C289" i="12"/>
  <c r="B289" i="12"/>
  <c r="F288" i="12"/>
  <c r="D288" i="12"/>
  <c r="B288" i="12"/>
  <c r="C288" i="12" s="1"/>
  <c r="F287" i="12"/>
  <c r="B287" i="12"/>
  <c r="F286" i="12"/>
  <c r="D286" i="12"/>
  <c r="B286" i="12"/>
  <c r="C286" i="12" s="1"/>
  <c r="F285" i="12"/>
  <c r="C285" i="12"/>
  <c r="B285" i="12"/>
  <c r="D285" i="12" s="1"/>
  <c r="F284" i="12"/>
  <c r="B284" i="12"/>
  <c r="F283" i="12"/>
  <c r="D283" i="12"/>
  <c r="C283" i="12"/>
  <c r="B283" i="12"/>
  <c r="F282" i="12"/>
  <c r="B282" i="12"/>
  <c r="D282" i="12" s="1"/>
  <c r="F281" i="12"/>
  <c r="C281" i="12"/>
  <c r="B281" i="12"/>
  <c r="F280" i="12"/>
  <c r="B280" i="12"/>
  <c r="C280" i="12" s="1"/>
  <c r="F279" i="12"/>
  <c r="D279" i="12"/>
  <c r="C279" i="12"/>
  <c r="B279" i="12"/>
  <c r="F278" i="12"/>
  <c r="D278" i="12"/>
  <c r="B278" i="12"/>
  <c r="C278" i="12" s="1"/>
  <c r="F277" i="12"/>
  <c r="B277" i="12"/>
  <c r="F276" i="12"/>
  <c r="B276" i="12"/>
  <c r="F275" i="12"/>
  <c r="C275" i="12"/>
  <c r="B275" i="12"/>
  <c r="F274" i="12"/>
  <c r="B274" i="12"/>
  <c r="C274" i="12" s="1"/>
  <c r="F273" i="12"/>
  <c r="C273" i="12"/>
  <c r="B273" i="12"/>
  <c r="D273" i="12" s="1"/>
  <c r="F272" i="12"/>
  <c r="D272" i="12"/>
  <c r="C272" i="12"/>
  <c r="B272" i="12"/>
  <c r="F271" i="12"/>
  <c r="D271" i="12"/>
  <c r="C271" i="12"/>
  <c r="B271" i="12"/>
  <c r="F270" i="12"/>
  <c r="B270" i="12"/>
  <c r="F269" i="12"/>
  <c r="B269" i="12"/>
  <c r="D269" i="12" s="1"/>
  <c r="F268" i="12"/>
  <c r="B268" i="12"/>
  <c r="C268" i="12" s="1"/>
  <c r="F267" i="12"/>
  <c r="D267" i="12"/>
  <c r="C267" i="12"/>
  <c r="B267" i="12"/>
  <c r="F266" i="12"/>
  <c r="D266" i="12"/>
  <c r="B266" i="12"/>
  <c r="C266" i="12" s="1"/>
  <c r="F265" i="12"/>
  <c r="B265" i="12"/>
  <c r="F264" i="12"/>
  <c r="B264" i="12"/>
  <c r="F263" i="12"/>
  <c r="C263" i="12"/>
  <c r="B263" i="12"/>
  <c r="F262" i="12"/>
  <c r="B262" i="12"/>
  <c r="F261" i="12"/>
  <c r="C261" i="12"/>
  <c r="B261" i="12"/>
  <c r="D261" i="12" s="1"/>
  <c r="F260" i="12"/>
  <c r="B260" i="12"/>
  <c r="D260" i="12" s="1"/>
  <c r="F259" i="12"/>
  <c r="D259" i="12"/>
  <c r="C259" i="12"/>
  <c r="B259" i="12"/>
  <c r="F258" i="12"/>
  <c r="D258" i="12"/>
  <c r="C258" i="12"/>
  <c r="B258" i="12"/>
  <c r="F257" i="12"/>
  <c r="C257" i="12"/>
  <c r="B257" i="12"/>
  <c r="D257" i="12" s="1"/>
  <c r="F256" i="12"/>
  <c r="B256" i="12"/>
  <c r="F255" i="12"/>
  <c r="D255" i="12"/>
  <c r="C255" i="12"/>
  <c r="B255" i="12"/>
  <c r="F254" i="12"/>
  <c r="B254" i="12"/>
  <c r="C254" i="12" s="1"/>
  <c r="F253" i="12"/>
  <c r="B253" i="12"/>
  <c r="F252" i="12"/>
  <c r="C252" i="12"/>
  <c r="B252" i="12"/>
  <c r="D252" i="12" s="1"/>
  <c r="F251" i="12"/>
  <c r="B251" i="12"/>
  <c r="F250" i="12"/>
  <c r="B250" i="12"/>
  <c r="C250" i="12" s="1"/>
  <c r="F249" i="12"/>
  <c r="C249" i="12"/>
  <c r="B249" i="12"/>
  <c r="D249" i="12" s="1"/>
  <c r="F248" i="12"/>
  <c r="B248" i="12"/>
  <c r="F247" i="12"/>
  <c r="D247" i="12"/>
  <c r="C247" i="12"/>
  <c r="B247" i="12"/>
  <c r="F246" i="12"/>
  <c r="D246" i="12"/>
  <c r="B246" i="12"/>
  <c r="C246" i="12" s="1"/>
  <c r="F245" i="12"/>
  <c r="C245" i="12"/>
  <c r="B245" i="12"/>
  <c r="D245" i="12" s="1"/>
  <c r="F244" i="12"/>
  <c r="B244" i="12"/>
  <c r="C244" i="12" s="1"/>
  <c r="F243" i="12"/>
  <c r="D243" i="12"/>
  <c r="C243" i="12"/>
  <c r="B243" i="12"/>
  <c r="F242" i="12"/>
  <c r="B242" i="12"/>
  <c r="F241" i="12"/>
  <c r="D241" i="12"/>
  <c r="C241" i="12"/>
  <c r="B241" i="12"/>
  <c r="F240" i="12"/>
  <c r="D240" i="12"/>
  <c r="B240" i="12"/>
  <c r="C240" i="12" s="1"/>
  <c r="F239" i="12"/>
  <c r="B239" i="12"/>
  <c r="F238" i="12"/>
  <c r="D238" i="12"/>
  <c r="B238" i="12"/>
  <c r="C238" i="12" s="1"/>
  <c r="F237" i="12"/>
  <c r="C237" i="12"/>
  <c r="B237" i="12"/>
  <c r="D237" i="12" s="1"/>
  <c r="F236" i="12"/>
  <c r="B236" i="12"/>
  <c r="F235" i="12"/>
  <c r="D235" i="12"/>
  <c r="C235" i="12"/>
  <c r="B235" i="12"/>
  <c r="F234" i="12"/>
  <c r="B234" i="12"/>
  <c r="F233" i="12"/>
  <c r="B233" i="12"/>
  <c r="F232" i="12"/>
  <c r="D232" i="12"/>
  <c r="B232" i="12"/>
  <c r="C232" i="12" s="1"/>
  <c r="F231" i="12"/>
  <c r="D231" i="12"/>
  <c r="C231" i="12"/>
  <c r="B231" i="12"/>
  <c r="F230" i="12"/>
  <c r="B230" i="12"/>
  <c r="C230" i="12" s="1"/>
  <c r="F229" i="12"/>
  <c r="D229" i="12"/>
  <c r="B229" i="12"/>
  <c r="F228" i="12"/>
  <c r="B228" i="12"/>
  <c r="F227" i="12"/>
  <c r="B227" i="12"/>
  <c r="F226" i="12"/>
  <c r="B226" i="12"/>
  <c r="C226" i="12" s="1"/>
  <c r="F225" i="12"/>
  <c r="C225" i="12"/>
  <c r="B225" i="12"/>
  <c r="D225" i="12" s="1"/>
  <c r="F224" i="12"/>
  <c r="D224" i="12"/>
  <c r="C224" i="12"/>
  <c r="B224" i="12"/>
  <c r="F223" i="12"/>
  <c r="D223" i="12"/>
  <c r="C223" i="12"/>
  <c r="B223" i="12"/>
  <c r="F222" i="12"/>
  <c r="C222" i="12"/>
  <c r="B222" i="12"/>
  <c r="F221" i="12"/>
  <c r="B221" i="12"/>
  <c r="F220" i="12"/>
  <c r="B220" i="12"/>
  <c r="C220" i="12" s="1"/>
  <c r="F219" i="12"/>
  <c r="D219" i="12"/>
  <c r="C219" i="12"/>
  <c r="B219" i="12"/>
  <c r="F218" i="12"/>
  <c r="D218" i="12"/>
  <c r="B218" i="12"/>
  <c r="C218" i="12" s="1"/>
  <c r="F217" i="12"/>
  <c r="B217" i="12"/>
  <c r="F216" i="12"/>
  <c r="B216" i="12"/>
  <c r="F215" i="12"/>
  <c r="C215" i="12"/>
  <c r="B215" i="12"/>
  <c r="F214" i="12"/>
  <c r="B214" i="12"/>
  <c r="F213" i="12"/>
  <c r="C213" i="12"/>
  <c r="B213" i="12"/>
  <c r="D213" i="12" s="1"/>
  <c r="F212" i="12"/>
  <c r="D212" i="12"/>
  <c r="B212" i="12"/>
  <c r="C212" i="12" s="1"/>
  <c r="F211" i="12"/>
  <c r="D211" i="12"/>
  <c r="C211" i="12"/>
  <c r="B211" i="12"/>
  <c r="F210" i="12"/>
  <c r="D210" i="12"/>
  <c r="C210" i="12"/>
  <c r="B210" i="12"/>
  <c r="F209" i="12"/>
  <c r="C209" i="12"/>
  <c r="B209" i="12"/>
  <c r="D209" i="12" s="1"/>
  <c r="F208" i="12"/>
  <c r="B208" i="12"/>
  <c r="F207" i="12"/>
  <c r="D207" i="12"/>
  <c r="C207" i="12"/>
  <c r="B207" i="12"/>
  <c r="F206" i="12"/>
  <c r="D206" i="12"/>
  <c r="B206" i="12"/>
  <c r="C206" i="12" s="1"/>
  <c r="F205" i="12"/>
  <c r="C205" i="12"/>
  <c r="B205" i="12"/>
  <c r="F204" i="12"/>
  <c r="C204" i="12"/>
  <c r="B204" i="12"/>
  <c r="D204" i="12" s="1"/>
  <c r="F203" i="12"/>
  <c r="C203" i="12"/>
  <c r="B203" i="12"/>
  <c r="F202" i="12"/>
  <c r="B202" i="12"/>
  <c r="C202" i="12" s="1"/>
  <c r="F201" i="12"/>
  <c r="C201" i="12"/>
  <c r="B201" i="12"/>
  <c r="D201" i="12" s="1"/>
  <c r="F200" i="12"/>
  <c r="B200" i="12"/>
  <c r="F199" i="12"/>
  <c r="D199" i="12"/>
  <c r="C199" i="12"/>
  <c r="B199" i="12"/>
  <c r="F198" i="12"/>
  <c r="D198" i="12"/>
  <c r="B198" i="12"/>
  <c r="C198" i="12" s="1"/>
  <c r="F197" i="12"/>
  <c r="C197" i="12"/>
  <c r="B197" i="12"/>
  <c r="D197" i="12" s="1"/>
  <c r="F196" i="12"/>
  <c r="B196" i="12"/>
  <c r="C196" i="12" s="1"/>
  <c r="F195" i="12"/>
  <c r="D195" i="12"/>
  <c r="C195" i="12"/>
  <c r="B195" i="12"/>
  <c r="F194" i="12"/>
  <c r="B194" i="12"/>
  <c r="F193" i="12"/>
  <c r="D193" i="12"/>
  <c r="C193" i="12"/>
  <c r="B193" i="12"/>
  <c r="F192" i="12"/>
  <c r="D192" i="12"/>
  <c r="C192" i="12"/>
  <c r="B192" i="12"/>
  <c r="F191" i="12"/>
  <c r="B191" i="12"/>
  <c r="F190" i="12"/>
  <c r="D190" i="12"/>
  <c r="B190" i="12"/>
  <c r="C190" i="12" s="1"/>
  <c r="F189" i="12"/>
  <c r="C189" i="12"/>
  <c r="B189" i="12"/>
  <c r="D189" i="12" s="1"/>
  <c r="F188" i="12"/>
  <c r="B188" i="12"/>
  <c r="F187" i="12"/>
  <c r="D187" i="12"/>
  <c r="C187" i="12"/>
  <c r="B187" i="12"/>
  <c r="F186" i="12"/>
  <c r="B186" i="12"/>
  <c r="F185" i="12"/>
  <c r="B185" i="12"/>
  <c r="F184" i="12"/>
  <c r="D184" i="12"/>
  <c r="B184" i="12"/>
  <c r="C184" i="12" s="1"/>
  <c r="F183" i="12"/>
  <c r="D183" i="12"/>
  <c r="C183" i="12"/>
  <c r="B183" i="12"/>
  <c r="F182" i="12"/>
  <c r="D182" i="12"/>
  <c r="B182" i="12"/>
  <c r="C182" i="12" s="1"/>
  <c r="F181" i="12"/>
  <c r="B181" i="12"/>
  <c r="F180" i="12"/>
  <c r="D180" i="12"/>
  <c r="B180" i="12"/>
  <c r="F179" i="12"/>
  <c r="B179" i="12"/>
  <c r="F178" i="12"/>
  <c r="B178" i="12"/>
  <c r="F177" i="12"/>
  <c r="C177" i="12"/>
  <c r="B177" i="12"/>
  <c r="D177" i="12" s="1"/>
  <c r="F176" i="12"/>
  <c r="D176" i="12"/>
  <c r="C176" i="12"/>
  <c r="B176" i="12"/>
  <c r="F175" i="12"/>
  <c r="D175" i="12"/>
  <c r="C175" i="12"/>
  <c r="B175" i="12"/>
  <c r="F174" i="12"/>
  <c r="B174" i="12"/>
  <c r="F173" i="12"/>
  <c r="B173" i="12"/>
  <c r="F172" i="12"/>
  <c r="D172" i="12"/>
  <c r="B172" i="12"/>
  <c r="C172" i="12" s="1"/>
  <c r="F171" i="12"/>
  <c r="D171" i="12"/>
  <c r="C171" i="12"/>
  <c r="B171" i="12"/>
  <c r="F170" i="12"/>
  <c r="B170" i="12"/>
  <c r="F169" i="12"/>
  <c r="B169" i="12"/>
  <c r="F168" i="12"/>
  <c r="B168" i="12"/>
  <c r="F167" i="12"/>
  <c r="C167" i="12"/>
  <c r="B167" i="12"/>
  <c r="F166" i="12"/>
  <c r="B166" i="12"/>
  <c r="F165" i="12"/>
  <c r="C165" i="12"/>
  <c r="B165" i="12"/>
  <c r="D165" i="12" s="1"/>
  <c r="F164" i="12"/>
  <c r="B164" i="12"/>
  <c r="F163" i="12"/>
  <c r="D163" i="12"/>
  <c r="C163" i="12"/>
  <c r="B163" i="12"/>
  <c r="F162" i="12"/>
  <c r="D162" i="12"/>
  <c r="C162" i="12"/>
  <c r="B162" i="12"/>
  <c r="F161" i="12"/>
  <c r="C161" i="12"/>
  <c r="B161" i="12"/>
  <c r="D161" i="12" s="1"/>
  <c r="F160" i="12"/>
  <c r="B160" i="12"/>
  <c r="F159" i="12"/>
  <c r="D159" i="12"/>
  <c r="C159" i="12"/>
  <c r="B159" i="12"/>
  <c r="F158" i="12"/>
  <c r="D158" i="12"/>
  <c r="B158" i="12"/>
  <c r="C158" i="12" s="1"/>
  <c r="F157" i="12"/>
  <c r="C157" i="12"/>
  <c r="B157" i="12"/>
  <c r="F156" i="12"/>
  <c r="B156" i="12"/>
  <c r="D156" i="12" s="1"/>
  <c r="F155" i="12"/>
  <c r="C155" i="12"/>
  <c r="B155" i="12"/>
  <c r="F154" i="12"/>
  <c r="B154" i="12"/>
  <c r="C154" i="12" s="1"/>
  <c r="F153" i="12"/>
  <c r="C153" i="12"/>
  <c r="B153" i="12"/>
  <c r="D153" i="12" s="1"/>
  <c r="F152" i="12"/>
  <c r="B152" i="12"/>
  <c r="F151" i="12"/>
  <c r="D151" i="12"/>
  <c r="C151" i="12"/>
  <c r="B151" i="12"/>
  <c r="F150" i="12"/>
  <c r="D150" i="12"/>
  <c r="B150" i="12"/>
  <c r="C150" i="12" s="1"/>
  <c r="F149" i="12"/>
  <c r="C149" i="12"/>
  <c r="B149" i="12"/>
  <c r="D149" i="12" s="1"/>
  <c r="F148" i="12"/>
  <c r="D148" i="12"/>
  <c r="B148" i="12"/>
  <c r="C148" i="12" s="1"/>
  <c r="F147" i="12"/>
  <c r="D147" i="12"/>
  <c r="C147" i="12"/>
  <c r="B147" i="12"/>
  <c r="F146" i="12"/>
  <c r="B146" i="12"/>
  <c r="F145" i="12"/>
  <c r="D145" i="12"/>
  <c r="C145" i="12"/>
  <c r="B145" i="12"/>
  <c r="F144" i="12"/>
  <c r="D144" i="12"/>
  <c r="C144" i="12"/>
  <c r="B144" i="12"/>
  <c r="F143" i="12"/>
  <c r="B143" i="12"/>
  <c r="F142" i="12"/>
  <c r="D142" i="12"/>
  <c r="B142" i="12"/>
  <c r="C142" i="12" s="1"/>
  <c r="F141" i="12"/>
  <c r="C141" i="12"/>
  <c r="B141" i="12"/>
  <c r="D141" i="12" s="1"/>
  <c r="F140" i="12"/>
  <c r="C140" i="12"/>
  <c r="B140" i="12"/>
  <c r="F139" i="12"/>
  <c r="D139" i="12"/>
  <c r="C139" i="12"/>
  <c r="B139" i="12"/>
  <c r="F138" i="12"/>
  <c r="D138" i="12"/>
  <c r="B138" i="12"/>
  <c r="C138" i="12" s="1"/>
  <c r="F137" i="12"/>
  <c r="B137" i="12"/>
  <c r="F136" i="12"/>
  <c r="D136" i="12"/>
  <c r="B136" i="12"/>
  <c r="C136" i="12" s="1"/>
  <c r="F135" i="12"/>
  <c r="D135" i="12"/>
  <c r="C135" i="12"/>
  <c r="B135" i="12"/>
  <c r="F134" i="12"/>
  <c r="D134" i="12"/>
  <c r="B134" i="12"/>
  <c r="C134" i="12" s="1"/>
  <c r="F133" i="12"/>
  <c r="D133" i="12"/>
  <c r="B133" i="12"/>
  <c r="F132" i="12"/>
  <c r="D132" i="12"/>
  <c r="B132" i="12"/>
  <c r="C132" i="12" s="1"/>
  <c r="F131" i="12"/>
  <c r="B131" i="12"/>
  <c r="F130" i="12"/>
  <c r="B130" i="12"/>
  <c r="F129" i="12"/>
  <c r="C129" i="12"/>
  <c r="B129" i="12"/>
  <c r="D129" i="12" s="1"/>
  <c r="F128" i="12"/>
  <c r="D128" i="12"/>
  <c r="C128" i="12"/>
  <c r="B128" i="12"/>
  <c r="F127" i="12"/>
  <c r="D127" i="12"/>
  <c r="C127" i="12"/>
  <c r="B127" i="12"/>
  <c r="F126" i="12"/>
  <c r="D126" i="12"/>
  <c r="B126" i="12"/>
  <c r="F125" i="12"/>
  <c r="B125" i="12"/>
  <c r="F124" i="12"/>
  <c r="D124" i="12"/>
  <c r="B124" i="12"/>
  <c r="C124" i="12" s="1"/>
  <c r="F123" i="12"/>
  <c r="D123" i="12"/>
  <c r="C123" i="12"/>
  <c r="B123" i="12"/>
  <c r="F122" i="12"/>
  <c r="B122" i="12"/>
  <c r="F121" i="12"/>
  <c r="B121" i="12"/>
  <c r="F120" i="12"/>
  <c r="D120" i="12"/>
  <c r="B120" i="12"/>
  <c r="F119" i="12"/>
  <c r="C119" i="12"/>
  <c r="B119" i="12"/>
  <c r="F118" i="12"/>
  <c r="B118" i="12"/>
  <c r="F117" i="12"/>
  <c r="C117" i="12"/>
  <c r="B117" i="12"/>
  <c r="D117" i="12" s="1"/>
  <c r="F116" i="12"/>
  <c r="C116" i="12"/>
  <c r="B116" i="12"/>
  <c r="D116" i="12" s="1"/>
  <c r="F115" i="12"/>
  <c r="D115" i="12"/>
  <c r="C115" i="12"/>
  <c r="B115" i="12"/>
  <c r="F114" i="12"/>
  <c r="D114" i="12"/>
  <c r="C114" i="12"/>
  <c r="B114" i="12"/>
  <c r="F113" i="12"/>
  <c r="B113" i="12"/>
  <c r="F112" i="12"/>
  <c r="B112" i="12"/>
  <c r="F111" i="12"/>
  <c r="D111" i="12"/>
  <c r="C111" i="12"/>
  <c r="B111" i="12"/>
  <c r="F110" i="12"/>
  <c r="D110" i="12"/>
  <c r="B110" i="12"/>
  <c r="C110" i="12" s="1"/>
  <c r="F109" i="12"/>
  <c r="C109" i="12"/>
  <c r="B109" i="12"/>
  <c r="F108" i="12"/>
  <c r="B108" i="12"/>
  <c r="F107" i="12"/>
  <c r="C107" i="12"/>
  <c r="B107" i="12"/>
  <c r="F106" i="12"/>
  <c r="B106" i="12"/>
  <c r="F105" i="12"/>
  <c r="C105" i="12"/>
  <c r="B105" i="12"/>
  <c r="D105" i="12" s="1"/>
  <c r="F104" i="12"/>
  <c r="D104" i="12"/>
  <c r="B104" i="12"/>
  <c r="C104" i="12" s="1"/>
  <c r="F103" i="12"/>
  <c r="D103" i="12"/>
  <c r="C103" i="12"/>
  <c r="B103" i="12"/>
  <c r="F102" i="12"/>
  <c r="D102" i="12"/>
  <c r="B102" i="12"/>
  <c r="C102" i="12" s="1"/>
  <c r="F101" i="12"/>
  <c r="B101" i="12"/>
  <c r="F100" i="12"/>
  <c r="D100" i="12"/>
  <c r="B100" i="12"/>
  <c r="F99" i="12"/>
  <c r="D99" i="12"/>
  <c r="C99" i="12"/>
  <c r="B99" i="12"/>
  <c r="F98" i="12"/>
  <c r="D98" i="12"/>
  <c r="B98" i="12"/>
  <c r="F97" i="12"/>
  <c r="B97" i="12"/>
  <c r="F96" i="12"/>
  <c r="D96" i="12"/>
  <c r="B96" i="12"/>
  <c r="C96" i="12" s="1"/>
  <c r="F95" i="12"/>
  <c r="C95" i="12"/>
  <c r="B95" i="12"/>
  <c r="F94" i="12"/>
  <c r="B94" i="12"/>
  <c r="F93" i="12"/>
  <c r="B93" i="12"/>
  <c r="F92" i="12"/>
  <c r="C92" i="12"/>
  <c r="B92" i="12"/>
  <c r="D92" i="12" s="1"/>
  <c r="F91" i="12"/>
  <c r="D91" i="12"/>
  <c r="C91" i="12"/>
  <c r="B91" i="12"/>
  <c r="F90" i="12"/>
  <c r="B90" i="12"/>
  <c r="F89" i="12"/>
  <c r="C89" i="12"/>
  <c r="B89" i="12"/>
  <c r="D89" i="12" s="1"/>
  <c r="F88" i="12"/>
  <c r="D88" i="12"/>
  <c r="C88" i="12"/>
  <c r="B88" i="12"/>
  <c r="F87" i="12"/>
  <c r="D87" i="12"/>
  <c r="C87" i="12"/>
  <c r="B87" i="12"/>
  <c r="F86" i="12"/>
  <c r="B86" i="12"/>
  <c r="C86" i="12" s="1"/>
  <c r="F85" i="12"/>
  <c r="C85" i="12"/>
  <c r="B85" i="12"/>
  <c r="D85" i="12" s="1"/>
  <c r="F84" i="12"/>
  <c r="D84" i="12"/>
  <c r="C84" i="12"/>
  <c r="B84" i="12"/>
  <c r="F83" i="12"/>
  <c r="B83" i="12"/>
  <c r="F82" i="12"/>
  <c r="B82" i="12"/>
  <c r="F81" i="12"/>
  <c r="C81" i="12"/>
  <c r="B81" i="12"/>
  <c r="D81" i="12" s="1"/>
  <c r="F80" i="12"/>
  <c r="D80" i="12"/>
  <c r="C80" i="12"/>
  <c r="B80" i="12"/>
  <c r="F79" i="12"/>
  <c r="D79" i="12"/>
  <c r="C79" i="12"/>
  <c r="B79" i="12"/>
  <c r="F78" i="12"/>
  <c r="C78" i="12"/>
  <c r="B78" i="12"/>
  <c r="D78" i="12" s="1"/>
  <c r="F77" i="12"/>
  <c r="B77" i="12"/>
  <c r="F76" i="12"/>
  <c r="D76" i="12"/>
  <c r="B76" i="12"/>
  <c r="C76" i="12" s="1"/>
  <c r="F75" i="12"/>
  <c r="D75" i="12"/>
  <c r="C75" i="12"/>
  <c r="B75" i="12"/>
  <c r="F74" i="12"/>
  <c r="B74" i="12"/>
  <c r="F73" i="12"/>
  <c r="D73" i="12"/>
  <c r="B73" i="12"/>
  <c r="C73" i="12" s="1"/>
  <c r="F72" i="12"/>
  <c r="B72" i="12"/>
  <c r="F71" i="12"/>
  <c r="D71" i="12"/>
  <c r="B71" i="12"/>
  <c r="F70" i="12"/>
  <c r="B70" i="12"/>
  <c r="C70" i="12" s="1"/>
  <c r="F69" i="12"/>
  <c r="B69" i="12"/>
  <c r="F68" i="12"/>
  <c r="D68" i="12"/>
  <c r="B68" i="12"/>
  <c r="C68" i="12" s="1"/>
  <c r="F67" i="12"/>
  <c r="D67" i="12"/>
  <c r="C67" i="12"/>
  <c r="B67" i="12"/>
  <c r="F66" i="12"/>
  <c r="C66" i="12"/>
  <c r="B66" i="12"/>
  <c r="D66" i="12" s="1"/>
  <c r="F65" i="12"/>
  <c r="C65" i="12"/>
  <c r="B65" i="12"/>
  <c r="D65" i="12" s="1"/>
  <c r="F64" i="12"/>
  <c r="D64" i="12"/>
  <c r="C64" i="12"/>
  <c r="B64" i="12"/>
  <c r="F63" i="12"/>
  <c r="D63" i="12"/>
  <c r="C63" i="12"/>
  <c r="B63" i="12"/>
  <c r="F62" i="12"/>
  <c r="B62" i="12"/>
  <c r="F61" i="12"/>
  <c r="C61" i="12"/>
  <c r="B61" i="12"/>
  <c r="D61" i="12" s="1"/>
  <c r="F60" i="12"/>
  <c r="D60" i="12"/>
  <c r="C60" i="12"/>
  <c r="B60" i="12"/>
  <c r="F59" i="12"/>
  <c r="C59" i="12"/>
  <c r="B59" i="12"/>
  <c r="F58" i="12"/>
  <c r="D58" i="12"/>
  <c r="B58" i="12"/>
  <c r="F57" i="12"/>
  <c r="C57" i="12"/>
  <c r="B57" i="12"/>
  <c r="D57" i="12" s="1"/>
  <c r="F56" i="12"/>
  <c r="D56" i="12"/>
  <c r="C56" i="12"/>
  <c r="B56" i="12"/>
  <c r="F55" i="12"/>
  <c r="D55" i="12"/>
  <c r="C55" i="12"/>
  <c r="B55" i="12"/>
  <c r="F54" i="12"/>
  <c r="B54" i="12"/>
  <c r="D54" i="12" s="1"/>
  <c r="F53" i="12"/>
  <c r="B53" i="12"/>
  <c r="F52" i="12"/>
  <c r="D52" i="12"/>
  <c r="B52" i="12"/>
  <c r="C52" i="12" s="1"/>
  <c r="F51" i="12"/>
  <c r="D51" i="12"/>
  <c r="C51" i="12"/>
  <c r="B51" i="12"/>
  <c r="F50" i="12"/>
  <c r="D50" i="12"/>
  <c r="B50" i="12"/>
  <c r="F49" i="12"/>
  <c r="D49" i="12"/>
  <c r="B49" i="12"/>
  <c r="C49" i="12" s="1"/>
  <c r="F48" i="12"/>
  <c r="D48" i="12"/>
  <c r="B48" i="12"/>
  <c r="C48" i="12" s="1"/>
  <c r="F47" i="12"/>
  <c r="D47" i="12"/>
  <c r="C47" i="12"/>
  <c r="B47" i="12"/>
  <c r="F46" i="12"/>
  <c r="D46" i="12"/>
  <c r="B46" i="12"/>
  <c r="C46" i="12" s="1"/>
  <c r="F45" i="12"/>
  <c r="B45" i="12"/>
  <c r="F44" i="12"/>
  <c r="C44" i="12"/>
  <c r="B44" i="12"/>
  <c r="D44" i="12" s="1"/>
  <c r="F43" i="12"/>
  <c r="D43" i="12"/>
  <c r="C43" i="12"/>
  <c r="B43" i="12"/>
  <c r="F42" i="12"/>
  <c r="D42" i="12"/>
  <c r="B42" i="12"/>
  <c r="C42" i="12" s="1"/>
  <c r="F41" i="12"/>
  <c r="C41" i="12"/>
  <c r="B41" i="12"/>
  <c r="D41" i="12" s="1"/>
  <c r="F40" i="12"/>
  <c r="D40" i="12"/>
  <c r="C40" i="12"/>
  <c r="B40" i="12"/>
  <c r="F39" i="12"/>
  <c r="D39" i="12"/>
  <c r="C39" i="12"/>
  <c r="B39" i="12"/>
  <c r="F38" i="12"/>
  <c r="B38" i="12"/>
  <c r="C38" i="12" s="1"/>
  <c r="F37" i="12"/>
  <c r="B37" i="12"/>
  <c r="F36" i="12"/>
  <c r="D36" i="12"/>
  <c r="C36" i="12"/>
  <c r="B36" i="12"/>
  <c r="F35" i="12"/>
  <c r="D35" i="12"/>
  <c r="C35" i="12"/>
  <c r="B35" i="12"/>
  <c r="F34" i="12"/>
  <c r="B34" i="12"/>
  <c r="F33" i="12"/>
  <c r="C33" i="12"/>
  <c r="B33" i="12"/>
  <c r="D33" i="12" s="1"/>
  <c r="F32" i="12"/>
  <c r="D32" i="12"/>
  <c r="C32" i="12"/>
  <c r="B32" i="12"/>
  <c r="F31" i="12"/>
  <c r="D31" i="12"/>
  <c r="C31" i="12"/>
  <c r="B31" i="12"/>
  <c r="F30" i="12"/>
  <c r="B30" i="12"/>
  <c r="F29" i="12"/>
  <c r="B29" i="12"/>
  <c r="F28" i="12"/>
  <c r="C28" i="12"/>
  <c r="B28" i="12"/>
  <c r="D28" i="12" s="1"/>
  <c r="F27" i="12"/>
  <c r="D27" i="12"/>
  <c r="C27" i="12"/>
  <c r="B27" i="12"/>
  <c r="F26" i="12"/>
  <c r="B26" i="12"/>
  <c r="F25" i="12"/>
  <c r="B25" i="12"/>
  <c r="F24" i="12"/>
  <c r="D24" i="12"/>
  <c r="B24" i="12"/>
  <c r="F23" i="12"/>
  <c r="B23" i="12"/>
  <c r="F22" i="12"/>
  <c r="B22" i="12"/>
  <c r="F21" i="12"/>
  <c r="B21" i="12"/>
  <c r="F20" i="12"/>
  <c r="D20" i="12"/>
  <c r="B20" i="12"/>
  <c r="F19" i="12"/>
  <c r="D19" i="12"/>
  <c r="C19" i="12"/>
  <c r="B19" i="12"/>
  <c r="F18" i="12"/>
  <c r="D18" i="12"/>
  <c r="C18" i="12"/>
  <c r="B18" i="12"/>
  <c r="F17" i="12"/>
  <c r="C17" i="12"/>
  <c r="B17" i="12"/>
  <c r="D17" i="12" s="1"/>
  <c r="F16" i="12"/>
  <c r="D16" i="12"/>
  <c r="C16" i="12"/>
  <c r="B16" i="12"/>
  <c r="F15" i="12"/>
  <c r="D15" i="12"/>
  <c r="C15" i="12"/>
  <c r="B15" i="12"/>
  <c r="F14" i="12"/>
  <c r="D14" i="12"/>
  <c r="B14" i="12"/>
  <c r="C14" i="12" s="1"/>
  <c r="F13" i="12"/>
  <c r="B13" i="12"/>
  <c r="F12" i="12"/>
  <c r="D12" i="12"/>
  <c r="C12" i="12"/>
  <c r="B12" i="12"/>
  <c r="F11" i="12"/>
  <c r="B11" i="12"/>
  <c r="F10" i="12"/>
  <c r="B10" i="12"/>
  <c r="F9" i="12"/>
  <c r="C9" i="12"/>
  <c r="B9" i="12"/>
  <c r="D9" i="12" s="1"/>
  <c r="F8" i="12"/>
  <c r="D8" i="12"/>
  <c r="C8" i="12"/>
  <c r="B8" i="12"/>
  <c r="F7" i="12"/>
  <c r="D7" i="12"/>
  <c r="C7" i="12"/>
  <c r="B7" i="12"/>
  <c r="F6" i="12"/>
  <c r="C6" i="12"/>
  <c r="B6" i="12"/>
  <c r="D6" i="12" s="1"/>
  <c r="F293" i="11"/>
  <c r="B293" i="11"/>
  <c r="F292" i="11"/>
  <c r="B292" i="11"/>
  <c r="F291" i="11"/>
  <c r="D291" i="11"/>
  <c r="C291" i="11"/>
  <c r="B291" i="11"/>
  <c r="F290" i="11"/>
  <c r="D290" i="11"/>
  <c r="B290" i="11"/>
  <c r="F289" i="11"/>
  <c r="B289" i="11"/>
  <c r="C289" i="11" s="1"/>
  <c r="F288" i="11"/>
  <c r="B288" i="11"/>
  <c r="C288" i="11" s="1"/>
  <c r="F287" i="11"/>
  <c r="D287" i="11"/>
  <c r="C287" i="11"/>
  <c r="B287" i="11"/>
  <c r="F286" i="11"/>
  <c r="B286" i="11"/>
  <c r="C286" i="11" s="1"/>
  <c r="F285" i="11"/>
  <c r="B285" i="11"/>
  <c r="F284" i="11"/>
  <c r="D284" i="11"/>
  <c r="C284" i="11"/>
  <c r="B284" i="11"/>
  <c r="F283" i="11"/>
  <c r="D283" i="11"/>
  <c r="C283" i="11"/>
  <c r="B283" i="11"/>
  <c r="F282" i="11"/>
  <c r="C282" i="11"/>
  <c r="B282" i="11"/>
  <c r="D282" i="11" s="1"/>
  <c r="F281" i="11"/>
  <c r="C281" i="11"/>
  <c r="B281" i="11"/>
  <c r="D281" i="11" s="1"/>
  <c r="F280" i="11"/>
  <c r="D280" i="11"/>
  <c r="C280" i="11"/>
  <c r="B280" i="11"/>
  <c r="F279" i="11"/>
  <c r="D279" i="11"/>
  <c r="C279" i="11"/>
  <c r="B279" i="11"/>
  <c r="F278" i="11"/>
  <c r="D278" i="11"/>
  <c r="B278" i="11"/>
  <c r="F277" i="11"/>
  <c r="C277" i="11"/>
  <c r="B277" i="11"/>
  <c r="D277" i="11" s="1"/>
  <c r="F276" i="11"/>
  <c r="D276" i="11"/>
  <c r="C276" i="11"/>
  <c r="B276" i="11"/>
  <c r="F275" i="11"/>
  <c r="D275" i="11"/>
  <c r="B275" i="11"/>
  <c r="F274" i="11"/>
  <c r="D274" i="11"/>
  <c r="B274" i="11"/>
  <c r="F273" i="11"/>
  <c r="C273" i="11"/>
  <c r="B273" i="11"/>
  <c r="D273" i="11" s="1"/>
  <c r="F272" i="11"/>
  <c r="D272" i="11"/>
  <c r="C272" i="11"/>
  <c r="B272" i="11"/>
  <c r="F271" i="11"/>
  <c r="D271" i="11"/>
  <c r="C271" i="11"/>
  <c r="B271" i="11"/>
  <c r="F270" i="11"/>
  <c r="C270" i="11"/>
  <c r="B270" i="11"/>
  <c r="D270" i="11" s="1"/>
  <c r="F269" i="11"/>
  <c r="B269" i="11"/>
  <c r="F268" i="11"/>
  <c r="D268" i="11"/>
  <c r="C268" i="11"/>
  <c r="B268" i="11"/>
  <c r="F267" i="11"/>
  <c r="D267" i="11"/>
  <c r="C267" i="11"/>
  <c r="B267" i="11"/>
  <c r="F266" i="11"/>
  <c r="B266" i="11"/>
  <c r="F265" i="11"/>
  <c r="D265" i="11"/>
  <c r="B265" i="11"/>
  <c r="F264" i="11"/>
  <c r="B264" i="11"/>
  <c r="F263" i="11"/>
  <c r="B263" i="11"/>
  <c r="F262" i="11"/>
  <c r="B262" i="11"/>
  <c r="F261" i="11"/>
  <c r="B261" i="11"/>
  <c r="F260" i="11"/>
  <c r="D260" i="11"/>
  <c r="C260" i="11"/>
  <c r="B260" i="11"/>
  <c r="F259" i="11"/>
  <c r="D259" i="11"/>
  <c r="C259" i="11"/>
  <c r="B259" i="11"/>
  <c r="F258" i="11"/>
  <c r="C258" i="11"/>
  <c r="B258" i="11"/>
  <c r="F257" i="11"/>
  <c r="D257" i="11"/>
  <c r="B257" i="11"/>
  <c r="C257" i="11" s="1"/>
  <c r="F256" i="11"/>
  <c r="D256" i="11"/>
  <c r="C256" i="11"/>
  <c r="B256" i="11"/>
  <c r="F255" i="11"/>
  <c r="D255" i="11"/>
  <c r="B255" i="11"/>
  <c r="C255" i="11" s="1"/>
  <c r="F254" i="11"/>
  <c r="B254" i="11"/>
  <c r="F253" i="11"/>
  <c r="B253" i="11"/>
  <c r="F252" i="11"/>
  <c r="D252" i="11"/>
  <c r="C252" i="11"/>
  <c r="B252" i="11"/>
  <c r="F251" i="11"/>
  <c r="B251" i="11"/>
  <c r="F250" i="11"/>
  <c r="B250" i="11"/>
  <c r="F249" i="11"/>
  <c r="C249" i="11"/>
  <c r="B249" i="11"/>
  <c r="D249" i="11" s="1"/>
  <c r="F248" i="11"/>
  <c r="D248" i="11"/>
  <c r="C248" i="11"/>
  <c r="B248" i="11"/>
  <c r="F247" i="11"/>
  <c r="D247" i="11"/>
  <c r="C247" i="11"/>
  <c r="B247" i="11"/>
  <c r="F246" i="11"/>
  <c r="D246" i="11"/>
  <c r="C246" i="11"/>
  <c r="B246" i="11"/>
  <c r="F245" i="11"/>
  <c r="D245" i="11"/>
  <c r="B245" i="11"/>
  <c r="C245" i="11" s="1"/>
  <c r="F244" i="11"/>
  <c r="D244" i="11"/>
  <c r="C244" i="11"/>
  <c r="B244" i="11"/>
  <c r="F243" i="11"/>
  <c r="B243" i="11"/>
  <c r="C243" i="11" s="1"/>
  <c r="F242" i="11"/>
  <c r="D242" i="11"/>
  <c r="B242" i="11"/>
  <c r="C242" i="11" s="1"/>
  <c r="F241" i="11"/>
  <c r="D241" i="11"/>
  <c r="C241" i="11"/>
  <c r="B241" i="11"/>
  <c r="F240" i="11"/>
  <c r="B240" i="11"/>
  <c r="F239" i="11"/>
  <c r="B239" i="11"/>
  <c r="F238" i="11"/>
  <c r="C238" i="11"/>
  <c r="B238" i="11"/>
  <c r="D238" i="11" s="1"/>
  <c r="F237" i="11"/>
  <c r="B237" i="11"/>
  <c r="F236" i="11"/>
  <c r="D236" i="11"/>
  <c r="C236" i="11"/>
  <c r="B236" i="11"/>
  <c r="F235" i="11"/>
  <c r="D235" i="11"/>
  <c r="C235" i="11"/>
  <c r="B235" i="11"/>
  <c r="F234" i="11"/>
  <c r="C234" i="11"/>
  <c r="B234" i="11"/>
  <c r="F233" i="11"/>
  <c r="B233" i="11"/>
  <c r="F232" i="11"/>
  <c r="D232" i="11"/>
  <c r="C232" i="11"/>
  <c r="B232" i="11"/>
  <c r="F231" i="11"/>
  <c r="D231" i="11"/>
  <c r="B231" i="11"/>
  <c r="C231" i="11" s="1"/>
  <c r="F230" i="11"/>
  <c r="D230" i="11"/>
  <c r="B230" i="11"/>
  <c r="C230" i="11" s="1"/>
  <c r="F229" i="11"/>
  <c r="B229" i="11"/>
  <c r="C229" i="11" s="1"/>
  <c r="F228" i="11"/>
  <c r="D228" i="11"/>
  <c r="C228" i="11"/>
  <c r="B228" i="11"/>
  <c r="F227" i="11"/>
  <c r="B227" i="11"/>
  <c r="F226" i="11"/>
  <c r="B226" i="11"/>
  <c r="F225" i="11"/>
  <c r="C225" i="11"/>
  <c r="B225" i="11"/>
  <c r="F224" i="11"/>
  <c r="D224" i="11"/>
  <c r="C224" i="11"/>
  <c r="B224" i="11"/>
  <c r="F223" i="11"/>
  <c r="D223" i="11"/>
  <c r="C223" i="11"/>
  <c r="B223" i="11"/>
  <c r="F222" i="11"/>
  <c r="C222" i="11"/>
  <c r="B222" i="11"/>
  <c r="D222" i="11" s="1"/>
  <c r="F221" i="11"/>
  <c r="D221" i="11"/>
  <c r="B221" i="11"/>
  <c r="C221" i="11" s="1"/>
  <c r="F220" i="11"/>
  <c r="B220" i="11"/>
  <c r="F219" i="11"/>
  <c r="D219" i="11"/>
  <c r="B219" i="11"/>
  <c r="F218" i="11"/>
  <c r="D218" i="11"/>
  <c r="B218" i="11"/>
  <c r="C218" i="11" s="1"/>
  <c r="F217" i="11"/>
  <c r="D217" i="11"/>
  <c r="C217" i="11"/>
  <c r="B217" i="11"/>
  <c r="F216" i="11"/>
  <c r="C216" i="11"/>
  <c r="B216" i="11"/>
  <c r="F215" i="11"/>
  <c r="D215" i="11"/>
  <c r="B215" i="11"/>
  <c r="F214" i="11"/>
  <c r="C214" i="11"/>
  <c r="B214" i="11"/>
  <c r="D214" i="11" s="1"/>
  <c r="F213" i="11"/>
  <c r="B213" i="11"/>
  <c r="D213" i="11" s="1"/>
  <c r="F212" i="11"/>
  <c r="D212" i="11"/>
  <c r="C212" i="11"/>
  <c r="B212" i="11"/>
  <c r="F211" i="11"/>
  <c r="D211" i="11"/>
  <c r="C211" i="11"/>
  <c r="B211" i="11"/>
  <c r="F210" i="11"/>
  <c r="C210" i="11"/>
  <c r="B210" i="11"/>
  <c r="D210" i="11" s="1"/>
  <c r="F209" i="11"/>
  <c r="C209" i="11"/>
  <c r="B209" i="11"/>
  <c r="D209" i="11" s="1"/>
  <c r="F208" i="11"/>
  <c r="D208" i="11"/>
  <c r="C208" i="11"/>
  <c r="B208" i="11"/>
  <c r="F207" i="11"/>
  <c r="D207" i="11"/>
  <c r="B207" i="11"/>
  <c r="C207" i="11" s="1"/>
  <c r="F206" i="11"/>
  <c r="D206" i="11"/>
  <c r="B206" i="11"/>
  <c r="F205" i="11"/>
  <c r="D205" i="11"/>
  <c r="B205" i="11"/>
  <c r="F204" i="11"/>
  <c r="D204" i="11"/>
  <c r="C204" i="11"/>
  <c r="B204" i="11"/>
  <c r="F203" i="11"/>
  <c r="B203" i="11"/>
  <c r="F202" i="11"/>
  <c r="B202" i="11"/>
  <c r="F201" i="11"/>
  <c r="B201" i="11"/>
  <c r="D201" i="11" s="1"/>
  <c r="F200" i="11"/>
  <c r="D200" i="11"/>
  <c r="C200" i="11"/>
  <c r="B200" i="11"/>
  <c r="F199" i="11"/>
  <c r="D199" i="11"/>
  <c r="C199" i="11"/>
  <c r="B199" i="11"/>
  <c r="F198" i="11"/>
  <c r="B198" i="11"/>
  <c r="F197" i="11"/>
  <c r="B197" i="11"/>
  <c r="F196" i="11"/>
  <c r="C196" i="11"/>
  <c r="B196" i="11"/>
  <c r="F195" i="11"/>
  <c r="D195" i="11"/>
  <c r="B195" i="11"/>
  <c r="F194" i="11"/>
  <c r="B194" i="11"/>
  <c r="C194" i="11" s="1"/>
  <c r="F193" i="11"/>
  <c r="D193" i="11"/>
  <c r="C193" i="11"/>
  <c r="B193" i="11"/>
  <c r="F192" i="11"/>
  <c r="D192" i="11"/>
  <c r="B192" i="11"/>
  <c r="F191" i="11"/>
  <c r="C191" i="11"/>
  <c r="B191" i="11"/>
  <c r="F190" i="11"/>
  <c r="C190" i="11"/>
  <c r="B190" i="11"/>
  <c r="D190" i="11" s="1"/>
  <c r="F189" i="11"/>
  <c r="D189" i="11"/>
  <c r="B189" i="11"/>
  <c r="F188" i="11"/>
  <c r="D188" i="11"/>
  <c r="C188" i="11"/>
  <c r="B188" i="11"/>
  <c r="F187" i="11"/>
  <c r="B187" i="11"/>
  <c r="F186" i="11"/>
  <c r="D186" i="11"/>
  <c r="B186" i="11"/>
  <c r="F185" i="11"/>
  <c r="D185" i="11"/>
  <c r="C185" i="11"/>
  <c r="B185" i="11"/>
  <c r="F184" i="11"/>
  <c r="C184" i="11"/>
  <c r="B184" i="11"/>
  <c r="F183" i="11"/>
  <c r="D183" i="11"/>
  <c r="B183" i="11"/>
  <c r="C183" i="11" s="1"/>
  <c r="F182" i="11"/>
  <c r="D182" i="11"/>
  <c r="C182" i="11"/>
  <c r="B182" i="11"/>
  <c r="F181" i="11"/>
  <c r="D181" i="11"/>
  <c r="C181" i="11"/>
  <c r="B181" i="11"/>
  <c r="F180" i="11"/>
  <c r="B180" i="11"/>
  <c r="F179" i="11"/>
  <c r="D179" i="11"/>
  <c r="B179" i="11"/>
  <c r="C179" i="11" s="1"/>
  <c r="F178" i="11"/>
  <c r="C178" i="11"/>
  <c r="B178" i="11"/>
  <c r="F177" i="11"/>
  <c r="D177" i="11"/>
  <c r="C177" i="11"/>
  <c r="B177" i="11"/>
  <c r="F176" i="11"/>
  <c r="D176" i="11"/>
  <c r="C176" i="11"/>
  <c r="B176" i="11"/>
  <c r="F175" i="11"/>
  <c r="C175" i="11"/>
  <c r="B175" i="11"/>
  <c r="D175" i="11" s="1"/>
  <c r="F174" i="11"/>
  <c r="B174" i="11"/>
  <c r="F173" i="11"/>
  <c r="D173" i="11"/>
  <c r="C173" i="11"/>
  <c r="B173" i="11"/>
  <c r="F172" i="11"/>
  <c r="D172" i="11"/>
  <c r="C172" i="11"/>
  <c r="B172" i="11"/>
  <c r="F171" i="11"/>
  <c r="D171" i="11"/>
  <c r="B171" i="11"/>
  <c r="F170" i="11"/>
  <c r="D170" i="11"/>
  <c r="C170" i="11"/>
  <c r="B170" i="11"/>
  <c r="F169" i="11"/>
  <c r="D169" i="11"/>
  <c r="B169" i="11"/>
  <c r="C169" i="11" s="1"/>
  <c r="F168" i="11"/>
  <c r="D168" i="11"/>
  <c r="B168" i="11"/>
  <c r="F167" i="11"/>
  <c r="B167" i="11"/>
  <c r="F166" i="11"/>
  <c r="B166" i="11"/>
  <c r="D166" i="11" s="1"/>
  <c r="F165" i="11"/>
  <c r="C165" i="11"/>
  <c r="B165" i="11"/>
  <c r="D165" i="11" s="1"/>
  <c r="F164" i="11"/>
  <c r="D164" i="11"/>
  <c r="C164" i="11"/>
  <c r="B164" i="11"/>
  <c r="F163" i="11"/>
  <c r="D163" i="11"/>
  <c r="B163" i="11"/>
  <c r="C163" i="11" s="1"/>
  <c r="F162" i="11"/>
  <c r="D162" i="11"/>
  <c r="B162" i="11"/>
  <c r="C162" i="11" s="1"/>
  <c r="F161" i="11"/>
  <c r="D161" i="11"/>
  <c r="C161" i="11"/>
  <c r="B161" i="11"/>
  <c r="F160" i="11"/>
  <c r="D160" i="11"/>
  <c r="C160" i="11"/>
  <c r="B160" i="11"/>
  <c r="F159" i="11"/>
  <c r="D159" i="11"/>
  <c r="B159" i="11"/>
  <c r="C159" i="11" s="1"/>
  <c r="F158" i="11"/>
  <c r="D158" i="11"/>
  <c r="B158" i="11"/>
  <c r="C158" i="11" s="1"/>
  <c r="F157" i="11"/>
  <c r="D157" i="11"/>
  <c r="B157" i="11"/>
  <c r="C157" i="11" s="1"/>
  <c r="F156" i="11"/>
  <c r="C156" i="11"/>
  <c r="B156" i="11"/>
  <c r="F155" i="11"/>
  <c r="B155" i="11"/>
  <c r="F154" i="11"/>
  <c r="B154" i="11"/>
  <c r="F153" i="11"/>
  <c r="D153" i="11"/>
  <c r="C153" i="11"/>
  <c r="B153" i="11"/>
  <c r="F152" i="11"/>
  <c r="D152" i="11"/>
  <c r="C152" i="11"/>
  <c r="B152" i="11"/>
  <c r="F151" i="11"/>
  <c r="B151" i="11"/>
  <c r="D151" i="11" s="1"/>
  <c r="F150" i="11"/>
  <c r="D150" i="11"/>
  <c r="C150" i="11"/>
  <c r="B150" i="11"/>
  <c r="F149" i="11"/>
  <c r="D149" i="11"/>
  <c r="C149" i="11"/>
  <c r="B149" i="11"/>
  <c r="F148" i="11"/>
  <c r="D148" i="11"/>
  <c r="C148" i="11"/>
  <c r="B148" i="11"/>
  <c r="F147" i="11"/>
  <c r="B147" i="11"/>
  <c r="F146" i="11"/>
  <c r="B146" i="11"/>
  <c r="F145" i="11"/>
  <c r="B145" i="11"/>
  <c r="D145" i="11" s="1"/>
  <c r="F144" i="11"/>
  <c r="B144" i="11"/>
  <c r="F143" i="11"/>
  <c r="B143" i="11"/>
  <c r="F142" i="11"/>
  <c r="C142" i="11"/>
  <c r="B142" i="11"/>
  <c r="D142" i="11" s="1"/>
  <c r="F141" i="11"/>
  <c r="D141" i="11"/>
  <c r="B141" i="11"/>
  <c r="F140" i="11"/>
  <c r="D140" i="11"/>
  <c r="C140" i="11"/>
  <c r="B140" i="11"/>
  <c r="F139" i="11"/>
  <c r="D139" i="11"/>
  <c r="B139" i="11"/>
  <c r="C139" i="11" s="1"/>
  <c r="F138" i="11"/>
  <c r="D138" i="11"/>
  <c r="C138" i="11"/>
  <c r="B138" i="11"/>
  <c r="F137" i="11"/>
  <c r="D137" i="11"/>
  <c r="C137" i="11"/>
  <c r="B137" i="11"/>
  <c r="F136" i="11"/>
  <c r="B136" i="11"/>
  <c r="F135" i="11"/>
  <c r="B135" i="11"/>
  <c r="F134" i="11"/>
  <c r="B134" i="11"/>
  <c r="F133" i="11"/>
  <c r="B133" i="11"/>
  <c r="F132" i="11"/>
  <c r="B132" i="11"/>
  <c r="F131" i="11"/>
  <c r="D131" i="11"/>
  <c r="B131" i="11"/>
  <c r="C131" i="11" s="1"/>
  <c r="F130" i="11"/>
  <c r="C130" i="11"/>
  <c r="B130" i="11"/>
  <c r="F129" i="11"/>
  <c r="B129" i="11"/>
  <c r="D129" i="11" s="1"/>
  <c r="F128" i="11"/>
  <c r="D128" i="11"/>
  <c r="C128" i="11"/>
  <c r="B128" i="11"/>
  <c r="F127" i="11"/>
  <c r="D127" i="11"/>
  <c r="B127" i="11"/>
  <c r="C127" i="11" s="1"/>
  <c r="F126" i="11"/>
  <c r="D126" i="11"/>
  <c r="B126" i="11"/>
  <c r="C126" i="11" s="1"/>
  <c r="F125" i="11"/>
  <c r="C125" i="11"/>
  <c r="B125" i="11"/>
  <c r="D125" i="11" s="1"/>
  <c r="F124" i="11"/>
  <c r="D124" i="11"/>
  <c r="C124" i="11"/>
  <c r="B124" i="11"/>
  <c r="F123" i="11"/>
  <c r="D123" i="11"/>
  <c r="B123" i="11"/>
  <c r="F122" i="11"/>
  <c r="D122" i="11"/>
  <c r="C122" i="11"/>
  <c r="B122" i="11"/>
  <c r="F121" i="11"/>
  <c r="B121" i="11"/>
  <c r="F120" i="11"/>
  <c r="D120" i="11"/>
  <c r="C120" i="11"/>
  <c r="B120" i="11"/>
  <c r="F119" i="11"/>
  <c r="D119" i="11"/>
  <c r="C119" i="11"/>
  <c r="B119" i="11"/>
  <c r="F118" i="11"/>
  <c r="B118" i="11"/>
  <c r="F117" i="11"/>
  <c r="B117" i="11"/>
  <c r="F116" i="11"/>
  <c r="D116" i="11"/>
  <c r="C116" i="11"/>
  <c r="B116" i="11"/>
  <c r="F115" i="11"/>
  <c r="D115" i="11"/>
  <c r="C115" i="11"/>
  <c r="B115" i="11"/>
  <c r="F114" i="11"/>
  <c r="D114" i="11"/>
  <c r="C114" i="11"/>
  <c r="B114" i="11"/>
  <c r="F113" i="11"/>
  <c r="B113" i="11"/>
  <c r="F112" i="11"/>
  <c r="C112" i="11"/>
  <c r="B112" i="11"/>
  <c r="D112" i="11" s="1"/>
  <c r="F111" i="11"/>
  <c r="D111" i="11"/>
  <c r="B111" i="11"/>
  <c r="C111" i="11" s="1"/>
  <c r="F110" i="11"/>
  <c r="D110" i="11"/>
  <c r="C110" i="11"/>
  <c r="B110" i="11"/>
  <c r="F109" i="11"/>
  <c r="D109" i="11"/>
  <c r="C109" i="11"/>
  <c r="B109" i="11"/>
  <c r="F108" i="11"/>
  <c r="C108" i="11"/>
  <c r="B108" i="11"/>
  <c r="F107" i="11"/>
  <c r="D107" i="11"/>
  <c r="B107" i="11"/>
  <c r="C107" i="11" s="1"/>
  <c r="F106" i="11"/>
  <c r="C106" i="11"/>
  <c r="B106" i="11"/>
  <c r="D106" i="11" s="1"/>
  <c r="F105" i="11"/>
  <c r="D105" i="11"/>
  <c r="C105" i="11"/>
  <c r="B105" i="11"/>
  <c r="F104" i="11"/>
  <c r="D104" i="11"/>
  <c r="C104" i="11"/>
  <c r="B104" i="11"/>
  <c r="F103" i="11"/>
  <c r="B103" i="11"/>
  <c r="F102" i="11"/>
  <c r="B102" i="11"/>
  <c r="F101" i="11"/>
  <c r="D101" i="11"/>
  <c r="C101" i="11"/>
  <c r="B101" i="11"/>
  <c r="F100" i="11"/>
  <c r="D100" i="11"/>
  <c r="C100" i="11"/>
  <c r="B100" i="11"/>
  <c r="F99" i="11"/>
  <c r="B99" i="11"/>
  <c r="C99" i="11" s="1"/>
  <c r="F98" i="11"/>
  <c r="C98" i="11"/>
  <c r="B98" i="11"/>
  <c r="D98" i="11" s="1"/>
  <c r="F97" i="11"/>
  <c r="D97" i="11"/>
  <c r="C97" i="11"/>
  <c r="B97" i="11"/>
  <c r="F96" i="11"/>
  <c r="B96" i="11"/>
  <c r="F95" i="11"/>
  <c r="D95" i="11"/>
  <c r="B95" i="11"/>
  <c r="F94" i="11"/>
  <c r="B94" i="11"/>
  <c r="F93" i="11"/>
  <c r="B93" i="11"/>
  <c r="F92" i="11"/>
  <c r="D92" i="11"/>
  <c r="C92" i="11"/>
  <c r="B92" i="11"/>
  <c r="F91" i="11"/>
  <c r="D91" i="11"/>
  <c r="C91" i="11"/>
  <c r="B91" i="11"/>
  <c r="F90" i="11"/>
  <c r="C90" i="11"/>
  <c r="B90" i="11"/>
  <c r="F89" i="11"/>
  <c r="D89" i="11"/>
  <c r="C89" i="11"/>
  <c r="B89" i="11"/>
  <c r="F88" i="11"/>
  <c r="B88" i="11"/>
  <c r="D88" i="11" s="1"/>
  <c r="F87" i="11"/>
  <c r="D87" i="11"/>
  <c r="B87" i="11"/>
  <c r="C87" i="11" s="1"/>
  <c r="F86" i="11"/>
  <c r="D86" i="11"/>
  <c r="C86" i="11"/>
  <c r="B86" i="11"/>
  <c r="F85" i="11"/>
  <c r="B85" i="11"/>
  <c r="F84" i="11"/>
  <c r="D84" i="11"/>
  <c r="B84" i="11"/>
  <c r="F83" i="11"/>
  <c r="D83" i="11"/>
  <c r="B83" i="11"/>
  <c r="C83" i="11" s="1"/>
  <c r="F82" i="11"/>
  <c r="B82" i="11"/>
  <c r="F81" i="11"/>
  <c r="B81" i="11"/>
  <c r="D81" i="11" s="1"/>
  <c r="F80" i="11"/>
  <c r="D80" i="11"/>
  <c r="C80" i="11"/>
  <c r="B80" i="11"/>
  <c r="F79" i="11"/>
  <c r="D79" i="11"/>
  <c r="C79" i="11"/>
  <c r="B79" i="11"/>
  <c r="F78" i="11"/>
  <c r="B78" i="11"/>
  <c r="F77" i="11"/>
  <c r="B77" i="11"/>
  <c r="F76" i="11"/>
  <c r="C76" i="11"/>
  <c r="B76" i="11"/>
  <c r="D76" i="11" s="1"/>
  <c r="F75" i="11"/>
  <c r="B75" i="11"/>
  <c r="F74" i="11"/>
  <c r="B74" i="11"/>
  <c r="D74" i="11" s="1"/>
  <c r="F73" i="11"/>
  <c r="D73" i="11"/>
  <c r="B73" i="11"/>
  <c r="C73" i="11" s="1"/>
  <c r="F72" i="11"/>
  <c r="B72" i="11"/>
  <c r="F71" i="11"/>
  <c r="D71" i="11"/>
  <c r="B71" i="11"/>
  <c r="F70" i="11"/>
  <c r="B70" i="11"/>
  <c r="F69" i="11"/>
  <c r="D69" i="11"/>
  <c r="B69" i="11"/>
  <c r="C69" i="11" s="1"/>
  <c r="F68" i="11"/>
  <c r="D68" i="11"/>
  <c r="C68" i="11"/>
  <c r="B68" i="11"/>
  <c r="F67" i="11"/>
  <c r="D67" i="11"/>
  <c r="C67" i="11"/>
  <c r="B67" i="11"/>
  <c r="F66" i="11"/>
  <c r="B66" i="11"/>
  <c r="F65" i="11"/>
  <c r="C65" i="11"/>
  <c r="B65" i="11"/>
  <c r="F64" i="11"/>
  <c r="B64" i="11"/>
  <c r="F63" i="11"/>
  <c r="D63" i="11"/>
  <c r="B63" i="11"/>
  <c r="C63" i="11" s="1"/>
  <c r="F62" i="11"/>
  <c r="C62" i="11"/>
  <c r="B62" i="11"/>
  <c r="D62" i="11" s="1"/>
  <c r="F61" i="11"/>
  <c r="D61" i="11"/>
  <c r="C61" i="11"/>
  <c r="B61" i="11"/>
  <c r="F60" i="11"/>
  <c r="B60" i="11"/>
  <c r="F59" i="11"/>
  <c r="D59" i="11"/>
  <c r="C59" i="11"/>
  <c r="B59" i="11"/>
  <c r="F58" i="11"/>
  <c r="C58" i="11"/>
  <c r="B58" i="11"/>
  <c r="F57" i="11"/>
  <c r="D57" i="11"/>
  <c r="B57" i="11"/>
  <c r="F56" i="11"/>
  <c r="D56" i="11"/>
  <c r="C56" i="11"/>
  <c r="B56" i="11"/>
  <c r="F55" i="11"/>
  <c r="C55" i="11"/>
  <c r="B55" i="11"/>
  <c r="D55" i="11" s="1"/>
  <c r="F54" i="11"/>
  <c r="B54" i="11"/>
  <c r="F53" i="11"/>
  <c r="D53" i="11"/>
  <c r="C53" i="11"/>
  <c r="B53" i="11"/>
  <c r="F52" i="11"/>
  <c r="D52" i="11"/>
  <c r="B52" i="11"/>
  <c r="C52" i="11" s="1"/>
  <c r="F51" i="11"/>
  <c r="D51" i="11"/>
  <c r="B51" i="11"/>
  <c r="C51" i="11" s="1"/>
  <c r="F50" i="11"/>
  <c r="B50" i="11"/>
  <c r="F49" i="11"/>
  <c r="D49" i="11"/>
  <c r="C49" i="11"/>
  <c r="B49" i="11"/>
  <c r="F48" i="11"/>
  <c r="D48" i="11"/>
  <c r="B48" i="11"/>
  <c r="F47" i="11"/>
  <c r="D47" i="11"/>
  <c r="C47" i="11"/>
  <c r="B47" i="11"/>
  <c r="F46" i="11"/>
  <c r="B46" i="11"/>
  <c r="F45" i="11"/>
  <c r="B45" i="11"/>
  <c r="C45" i="11" s="1"/>
  <c r="F44" i="11"/>
  <c r="D44" i="11"/>
  <c r="C44" i="11"/>
  <c r="B44" i="11"/>
  <c r="F43" i="11"/>
  <c r="D43" i="11"/>
  <c r="C43" i="11"/>
  <c r="B43" i="11"/>
  <c r="F42" i="11"/>
  <c r="C42" i="11"/>
  <c r="B42" i="11"/>
  <c r="F41" i="11"/>
  <c r="B41" i="11"/>
  <c r="F40" i="11"/>
  <c r="D40" i="11"/>
  <c r="B40" i="11"/>
  <c r="C40" i="11" s="1"/>
  <c r="F39" i="11"/>
  <c r="D39" i="11"/>
  <c r="B39" i="11"/>
  <c r="C39" i="11" s="1"/>
  <c r="F38" i="11"/>
  <c r="B38" i="11"/>
  <c r="D38" i="11" s="1"/>
  <c r="F37" i="11"/>
  <c r="B37" i="11"/>
  <c r="F36" i="11"/>
  <c r="C36" i="11"/>
  <c r="B36" i="11"/>
  <c r="F35" i="11"/>
  <c r="D35" i="11"/>
  <c r="C35" i="11"/>
  <c r="B35" i="11"/>
  <c r="F34" i="11"/>
  <c r="C34" i="11"/>
  <c r="B34" i="11"/>
  <c r="F33" i="11"/>
  <c r="D33" i="11"/>
  <c r="C33" i="11"/>
  <c r="B33" i="11"/>
  <c r="F32" i="11"/>
  <c r="D32" i="11"/>
  <c r="C32" i="11"/>
  <c r="B32" i="11"/>
  <c r="F31" i="11"/>
  <c r="B31" i="11"/>
  <c r="F30" i="11"/>
  <c r="D30" i="11"/>
  <c r="C30" i="11"/>
  <c r="B30" i="11"/>
  <c r="F29" i="11"/>
  <c r="D29" i="11"/>
  <c r="C29" i="11"/>
  <c r="B29" i="11"/>
  <c r="F28" i="11"/>
  <c r="B28" i="11"/>
  <c r="F27" i="11"/>
  <c r="B27" i="11"/>
  <c r="F26" i="11"/>
  <c r="C26" i="11"/>
  <c r="B26" i="11"/>
  <c r="D26" i="11" s="1"/>
  <c r="F25" i="11"/>
  <c r="D25" i="11"/>
  <c r="C25" i="11"/>
  <c r="B25" i="11"/>
  <c r="F24" i="11"/>
  <c r="D24" i="11"/>
  <c r="C24" i="11"/>
  <c r="B24" i="11"/>
  <c r="F23" i="11"/>
  <c r="D23" i="11"/>
  <c r="B23" i="11"/>
  <c r="F22" i="11"/>
  <c r="B22" i="11"/>
  <c r="D22" i="11" s="1"/>
  <c r="F21" i="11"/>
  <c r="D21" i="11"/>
  <c r="B21" i="11"/>
  <c r="C21" i="11" s="1"/>
  <c r="F20" i="11"/>
  <c r="D20" i="11"/>
  <c r="C20" i="11"/>
  <c r="B20" i="11"/>
  <c r="F19" i="11"/>
  <c r="C19" i="11"/>
  <c r="B19" i="11"/>
  <c r="D19" i="11" s="1"/>
  <c r="F18" i="11"/>
  <c r="D18" i="11"/>
  <c r="C18" i="11"/>
  <c r="B18" i="11"/>
  <c r="F17" i="11"/>
  <c r="B17" i="11"/>
  <c r="F16" i="11"/>
  <c r="B16" i="11"/>
  <c r="D16" i="11" s="1"/>
  <c r="F15" i="11"/>
  <c r="B15" i="11"/>
  <c r="C15" i="11" s="1"/>
  <c r="F14" i="11"/>
  <c r="D14" i="11"/>
  <c r="C14" i="11"/>
  <c r="B14" i="11"/>
  <c r="F13" i="11"/>
  <c r="C13" i="11"/>
  <c r="B13" i="11"/>
  <c r="F12" i="11"/>
  <c r="D12" i="11"/>
  <c r="B12" i="11"/>
  <c r="F11" i="11"/>
  <c r="B11" i="11"/>
  <c r="C11" i="11" s="1"/>
  <c r="F10" i="11"/>
  <c r="B10" i="11"/>
  <c r="F9" i="11"/>
  <c r="B9" i="11"/>
  <c r="F8" i="11"/>
  <c r="D8" i="11"/>
  <c r="C8" i="11"/>
  <c r="B8" i="11"/>
  <c r="F7" i="11"/>
  <c r="D7" i="11"/>
  <c r="B7" i="11"/>
  <c r="C7" i="11" s="1"/>
  <c r="F6" i="11"/>
  <c r="B6" i="11"/>
  <c r="C6" i="11" s="1"/>
  <c r="F365" i="10"/>
  <c r="B365" i="10"/>
  <c r="F364" i="10"/>
  <c r="C364" i="10"/>
  <c r="B364" i="10"/>
  <c r="F363" i="10"/>
  <c r="B363" i="10"/>
  <c r="F362" i="10"/>
  <c r="D362" i="10"/>
  <c r="B362" i="10"/>
  <c r="C362" i="10" s="1"/>
  <c r="F361" i="10"/>
  <c r="D361" i="10"/>
  <c r="B361" i="10"/>
  <c r="C361" i="10" s="1"/>
  <c r="F360" i="10"/>
  <c r="B360" i="10"/>
  <c r="F359" i="10"/>
  <c r="C359" i="10"/>
  <c r="B359" i="10"/>
  <c r="D359" i="10" s="1"/>
  <c r="F358" i="10"/>
  <c r="B358" i="10"/>
  <c r="D358" i="10" s="1"/>
  <c r="F357" i="10"/>
  <c r="D357" i="10"/>
  <c r="C357" i="10"/>
  <c r="B357" i="10"/>
  <c r="F356" i="10"/>
  <c r="D356" i="10"/>
  <c r="C356" i="10"/>
  <c r="B356" i="10"/>
  <c r="F355" i="10"/>
  <c r="D355" i="10"/>
  <c r="C355" i="10"/>
  <c r="B355" i="10"/>
  <c r="F354" i="10"/>
  <c r="B354" i="10"/>
  <c r="F353" i="10"/>
  <c r="D353" i="10"/>
  <c r="B353" i="10"/>
  <c r="C353" i="10" s="1"/>
  <c r="F352" i="10"/>
  <c r="D352" i="10"/>
  <c r="B352" i="10"/>
  <c r="C352" i="10" s="1"/>
  <c r="F351" i="10"/>
  <c r="D351" i="10"/>
  <c r="B351" i="10"/>
  <c r="C351" i="10" s="1"/>
  <c r="F350" i="10"/>
  <c r="C350" i="10"/>
  <c r="B350" i="10"/>
  <c r="D350" i="10" s="1"/>
  <c r="F349" i="10"/>
  <c r="B349" i="10"/>
  <c r="F348" i="10"/>
  <c r="B348" i="10"/>
  <c r="F347" i="10"/>
  <c r="D347" i="10"/>
  <c r="C347" i="10"/>
  <c r="B347" i="10"/>
  <c r="F346" i="10"/>
  <c r="C346" i="10"/>
  <c r="B346" i="10"/>
  <c r="F345" i="10"/>
  <c r="C345" i="10"/>
  <c r="B345" i="10"/>
  <c r="F344" i="10"/>
  <c r="D344" i="10"/>
  <c r="C344" i="10"/>
  <c r="B344" i="10"/>
  <c r="F343" i="10"/>
  <c r="C343" i="10"/>
  <c r="B343" i="10"/>
  <c r="D343" i="10" s="1"/>
  <c r="F342" i="10"/>
  <c r="B342" i="10"/>
  <c r="F341" i="10"/>
  <c r="D341" i="10"/>
  <c r="C341" i="10"/>
  <c r="B341" i="10"/>
  <c r="F340" i="10"/>
  <c r="D340" i="10"/>
  <c r="B340" i="10"/>
  <c r="C340" i="10" s="1"/>
  <c r="F339" i="10"/>
  <c r="B339" i="10"/>
  <c r="F338" i="10"/>
  <c r="C338" i="10"/>
  <c r="B338" i="10"/>
  <c r="D338" i="10" s="1"/>
  <c r="F337" i="10"/>
  <c r="D337" i="10"/>
  <c r="B337" i="10"/>
  <c r="C337" i="10" s="1"/>
  <c r="F336" i="10"/>
  <c r="D336" i="10"/>
  <c r="C336" i="10"/>
  <c r="B336" i="10"/>
  <c r="F335" i="10"/>
  <c r="D335" i="10"/>
  <c r="C335" i="10"/>
  <c r="B335" i="10"/>
  <c r="F334" i="10"/>
  <c r="C334" i="10"/>
  <c r="B334" i="10"/>
  <c r="D334" i="10" s="1"/>
  <c r="F333" i="10"/>
  <c r="D333" i="10"/>
  <c r="B333" i="10"/>
  <c r="C333" i="10" s="1"/>
  <c r="F332" i="10"/>
  <c r="D332" i="10"/>
  <c r="C332" i="10"/>
  <c r="B332" i="10"/>
  <c r="F331" i="10"/>
  <c r="B331" i="10"/>
  <c r="F330" i="10"/>
  <c r="C330" i="10"/>
  <c r="B330" i="10"/>
  <c r="F329" i="10"/>
  <c r="D329" i="10"/>
  <c r="C329" i="10"/>
  <c r="B329" i="10"/>
  <c r="F328" i="10"/>
  <c r="C328" i="10"/>
  <c r="B328" i="10"/>
  <c r="D328" i="10" s="1"/>
  <c r="F327" i="10"/>
  <c r="D327" i="10"/>
  <c r="B327" i="10"/>
  <c r="C327" i="10" s="1"/>
  <c r="F326" i="10"/>
  <c r="B326" i="10"/>
  <c r="F325" i="10"/>
  <c r="C325" i="10"/>
  <c r="B325" i="10"/>
  <c r="F324" i="10"/>
  <c r="D324" i="10"/>
  <c r="C324" i="10"/>
  <c r="B324" i="10"/>
  <c r="F323" i="10"/>
  <c r="B323" i="10"/>
  <c r="F322" i="10"/>
  <c r="B322" i="10"/>
  <c r="F321" i="10"/>
  <c r="D321" i="10"/>
  <c r="C321" i="10"/>
  <c r="B321" i="10"/>
  <c r="F320" i="10"/>
  <c r="D320" i="10"/>
  <c r="C320" i="10"/>
  <c r="B320" i="10"/>
  <c r="F319" i="10"/>
  <c r="B319" i="10"/>
  <c r="F318" i="10"/>
  <c r="D318" i="10"/>
  <c r="B318" i="10"/>
  <c r="C318" i="10" s="1"/>
  <c r="F317" i="10"/>
  <c r="B317" i="10"/>
  <c r="F316" i="10"/>
  <c r="D316" i="10"/>
  <c r="C316" i="10"/>
  <c r="B316" i="10"/>
  <c r="F315" i="10"/>
  <c r="B315" i="10"/>
  <c r="F314" i="10"/>
  <c r="B314" i="10"/>
  <c r="F313" i="10"/>
  <c r="D313" i="10"/>
  <c r="B313" i="10"/>
  <c r="F312" i="10"/>
  <c r="B312" i="10"/>
  <c r="F311" i="10"/>
  <c r="B311" i="10"/>
  <c r="F310" i="10"/>
  <c r="B310" i="10"/>
  <c r="F309" i="10"/>
  <c r="B309" i="10"/>
  <c r="F308" i="10"/>
  <c r="D308" i="10"/>
  <c r="C308" i="10"/>
  <c r="B308" i="10"/>
  <c r="F307" i="10"/>
  <c r="C307" i="10"/>
  <c r="B307" i="10"/>
  <c r="D307" i="10" s="1"/>
  <c r="F306" i="10"/>
  <c r="C306" i="10"/>
  <c r="B306" i="10"/>
  <c r="F305" i="10"/>
  <c r="D305" i="10"/>
  <c r="C305" i="10"/>
  <c r="B305" i="10"/>
  <c r="F304" i="10"/>
  <c r="B304" i="10"/>
  <c r="D304" i="10" s="1"/>
  <c r="F303" i="10"/>
  <c r="D303" i="10"/>
  <c r="B303" i="10"/>
  <c r="C303" i="10" s="1"/>
  <c r="F302" i="10"/>
  <c r="B302" i="10"/>
  <c r="F301" i="10"/>
  <c r="B301" i="10"/>
  <c r="F300" i="10"/>
  <c r="B300" i="10"/>
  <c r="F299" i="10"/>
  <c r="D299" i="10"/>
  <c r="C299" i="10"/>
  <c r="B299" i="10"/>
  <c r="F298" i="10"/>
  <c r="B298" i="10"/>
  <c r="F297" i="10"/>
  <c r="C297" i="10"/>
  <c r="B297" i="10"/>
  <c r="F296" i="10"/>
  <c r="D296" i="10"/>
  <c r="C296" i="10"/>
  <c r="B296" i="10"/>
  <c r="F295" i="10"/>
  <c r="B295" i="10"/>
  <c r="F294" i="10"/>
  <c r="D294" i="10"/>
  <c r="B294" i="10"/>
  <c r="C294" i="10" s="1"/>
  <c r="F293" i="10"/>
  <c r="D293" i="10"/>
  <c r="C293" i="10"/>
  <c r="B293" i="10"/>
  <c r="F292" i="10"/>
  <c r="D292" i="10"/>
  <c r="C292" i="10"/>
  <c r="B292" i="10"/>
  <c r="F291" i="10"/>
  <c r="B291" i="10"/>
  <c r="F290" i="10"/>
  <c r="B290" i="10"/>
  <c r="D290" i="10" s="1"/>
  <c r="F289" i="10"/>
  <c r="B289" i="10"/>
  <c r="F288" i="10"/>
  <c r="D288" i="10"/>
  <c r="B288" i="10"/>
  <c r="F287" i="10"/>
  <c r="B287" i="10"/>
  <c r="F286" i="10"/>
  <c r="C286" i="10"/>
  <c r="B286" i="10"/>
  <c r="F285" i="10"/>
  <c r="D285" i="10"/>
  <c r="C285" i="10"/>
  <c r="B285" i="10"/>
  <c r="F284" i="10"/>
  <c r="B284" i="10"/>
  <c r="F283" i="10"/>
  <c r="C283" i="10"/>
  <c r="B283" i="10"/>
  <c r="D283" i="10" s="1"/>
  <c r="F282" i="10"/>
  <c r="D282" i="10"/>
  <c r="C282" i="10"/>
  <c r="B282" i="10"/>
  <c r="F281" i="10"/>
  <c r="D281" i="10"/>
  <c r="C281" i="10"/>
  <c r="B281" i="10"/>
  <c r="F280" i="10"/>
  <c r="C280" i="10"/>
  <c r="B280" i="10"/>
  <c r="D280" i="10" s="1"/>
  <c r="F279" i="10"/>
  <c r="B279" i="10"/>
  <c r="C279" i="10" s="1"/>
  <c r="F278" i="10"/>
  <c r="C278" i="10"/>
  <c r="B278" i="10"/>
  <c r="D278" i="10" s="1"/>
  <c r="F277" i="10"/>
  <c r="D277" i="10"/>
  <c r="C277" i="10"/>
  <c r="B277" i="10"/>
  <c r="F276" i="10"/>
  <c r="B276" i="10"/>
  <c r="F275" i="10"/>
  <c r="D275" i="10"/>
  <c r="C275" i="10"/>
  <c r="B275" i="10"/>
  <c r="F274" i="10"/>
  <c r="D274" i="10"/>
  <c r="B274" i="10"/>
  <c r="C274" i="10" s="1"/>
  <c r="F273" i="10"/>
  <c r="C273" i="10"/>
  <c r="B273" i="10"/>
  <c r="F272" i="10"/>
  <c r="B272" i="10"/>
  <c r="F271" i="10"/>
  <c r="B271" i="10"/>
  <c r="D271" i="10" s="1"/>
  <c r="F270" i="10"/>
  <c r="D270" i="10"/>
  <c r="B270" i="10"/>
  <c r="F269" i="10"/>
  <c r="D269" i="10"/>
  <c r="C269" i="10"/>
  <c r="B269" i="10"/>
  <c r="F268" i="10"/>
  <c r="B268" i="10"/>
  <c r="F267" i="10"/>
  <c r="B267" i="10"/>
  <c r="F266" i="10"/>
  <c r="B266" i="10"/>
  <c r="D266" i="10" s="1"/>
  <c r="F265" i="10"/>
  <c r="C265" i="10"/>
  <c r="B265" i="10"/>
  <c r="D265" i="10" s="1"/>
  <c r="F264" i="10"/>
  <c r="D264" i="10"/>
  <c r="B264" i="10"/>
  <c r="C264" i="10" s="1"/>
  <c r="F263" i="10"/>
  <c r="C263" i="10"/>
  <c r="B263" i="10"/>
  <c r="F262" i="10"/>
  <c r="B262" i="10"/>
  <c r="F261" i="10"/>
  <c r="C261" i="10"/>
  <c r="B261" i="10"/>
  <c r="F260" i="10"/>
  <c r="D260" i="10"/>
  <c r="C260" i="10"/>
  <c r="B260" i="10"/>
  <c r="F259" i="10"/>
  <c r="B259" i="10"/>
  <c r="F258" i="10"/>
  <c r="D258" i="10"/>
  <c r="B258" i="10"/>
  <c r="F257" i="10"/>
  <c r="D257" i="10"/>
  <c r="C257" i="10"/>
  <c r="B257" i="10"/>
  <c r="F256" i="10"/>
  <c r="C256" i="10"/>
  <c r="B256" i="10"/>
  <c r="F255" i="10"/>
  <c r="B255" i="10"/>
  <c r="F254" i="10"/>
  <c r="D254" i="10"/>
  <c r="C254" i="10"/>
  <c r="B254" i="10"/>
  <c r="F253" i="10"/>
  <c r="D253" i="10"/>
  <c r="B253" i="10"/>
  <c r="C253" i="10" s="1"/>
  <c r="F252" i="10"/>
  <c r="D252" i="10"/>
  <c r="B252" i="10"/>
  <c r="C252" i="10" s="1"/>
  <c r="F251" i="10"/>
  <c r="B251" i="10"/>
  <c r="F250" i="10"/>
  <c r="B250" i="10"/>
  <c r="D250" i="10" s="1"/>
  <c r="F249" i="10"/>
  <c r="B249" i="10"/>
  <c r="F248" i="10"/>
  <c r="C248" i="10"/>
  <c r="B248" i="10"/>
  <c r="F247" i="10"/>
  <c r="B247" i="10"/>
  <c r="D247" i="10" s="1"/>
  <c r="F246" i="10"/>
  <c r="B246" i="10"/>
  <c r="F245" i="10"/>
  <c r="D245" i="10"/>
  <c r="C245" i="10"/>
  <c r="B245" i="10"/>
  <c r="F244" i="10"/>
  <c r="C244" i="10"/>
  <c r="B244" i="10"/>
  <c r="F243" i="10"/>
  <c r="D243" i="10"/>
  <c r="C243" i="10"/>
  <c r="B243" i="10"/>
  <c r="F242" i="10"/>
  <c r="D242" i="10"/>
  <c r="B242" i="10"/>
  <c r="C242" i="10" s="1"/>
  <c r="F241" i="10"/>
  <c r="C241" i="10"/>
  <c r="B241" i="10"/>
  <c r="D241" i="10" s="1"/>
  <c r="F240" i="10"/>
  <c r="B240" i="10"/>
  <c r="F239" i="10"/>
  <c r="B239" i="10"/>
  <c r="D239" i="10" s="1"/>
  <c r="F238" i="10"/>
  <c r="D238" i="10"/>
  <c r="B238" i="10"/>
  <c r="F237" i="10"/>
  <c r="B237" i="10"/>
  <c r="F236" i="10"/>
  <c r="B236" i="10"/>
  <c r="C236" i="10" s="1"/>
  <c r="F235" i="10"/>
  <c r="B235" i="10"/>
  <c r="F234" i="10"/>
  <c r="D234" i="10"/>
  <c r="C234" i="10"/>
  <c r="B234" i="10"/>
  <c r="F233" i="10"/>
  <c r="D233" i="10"/>
  <c r="C233" i="10"/>
  <c r="B233" i="10"/>
  <c r="F232" i="10"/>
  <c r="B232" i="10"/>
  <c r="F231" i="10"/>
  <c r="B231" i="10"/>
  <c r="C231" i="10" s="1"/>
  <c r="F230" i="10"/>
  <c r="D230" i="10"/>
  <c r="B230" i="10"/>
  <c r="F229" i="10"/>
  <c r="D229" i="10"/>
  <c r="C229" i="10"/>
  <c r="B229" i="10"/>
  <c r="F228" i="10"/>
  <c r="B228" i="10"/>
  <c r="F227" i="10"/>
  <c r="C227" i="10"/>
  <c r="B227" i="10"/>
  <c r="D227" i="10" s="1"/>
  <c r="F226" i="10"/>
  <c r="D226" i="10"/>
  <c r="B226" i="10"/>
  <c r="C226" i="10" s="1"/>
  <c r="F225" i="10"/>
  <c r="B225" i="10"/>
  <c r="F224" i="10"/>
  <c r="D224" i="10"/>
  <c r="C224" i="10"/>
  <c r="B224" i="10"/>
  <c r="F223" i="10"/>
  <c r="C223" i="10"/>
  <c r="B223" i="10"/>
  <c r="D223" i="10" s="1"/>
  <c r="F222" i="10"/>
  <c r="D222" i="10"/>
  <c r="C222" i="10"/>
  <c r="B222" i="10"/>
  <c r="F221" i="10"/>
  <c r="D221" i="10"/>
  <c r="C221" i="10"/>
  <c r="B221" i="10"/>
  <c r="F220" i="10"/>
  <c r="B220" i="10"/>
  <c r="F219" i="10"/>
  <c r="D219" i="10"/>
  <c r="C219" i="10"/>
  <c r="B219" i="10"/>
  <c r="F218" i="10"/>
  <c r="D218" i="10"/>
  <c r="B218" i="10"/>
  <c r="C218" i="10" s="1"/>
  <c r="F217" i="10"/>
  <c r="B217" i="10"/>
  <c r="F216" i="10"/>
  <c r="D216" i="10"/>
  <c r="B216" i="10"/>
  <c r="C216" i="10" s="1"/>
  <c r="F215" i="10"/>
  <c r="B215" i="10"/>
  <c r="F214" i="10"/>
  <c r="D214" i="10"/>
  <c r="C214" i="10"/>
  <c r="B214" i="10"/>
  <c r="F213" i="10"/>
  <c r="C213" i="10"/>
  <c r="B213" i="10"/>
  <c r="F212" i="10"/>
  <c r="C212" i="10"/>
  <c r="B212" i="10"/>
  <c r="F211" i="10"/>
  <c r="C211" i="10"/>
  <c r="B211" i="10"/>
  <c r="D211" i="10" s="1"/>
  <c r="F210" i="10"/>
  <c r="D210" i="10"/>
  <c r="C210" i="10"/>
  <c r="B210" i="10"/>
  <c r="F209" i="10"/>
  <c r="D209" i="10"/>
  <c r="C209" i="10"/>
  <c r="B209" i="10"/>
  <c r="F208" i="10"/>
  <c r="B208" i="10"/>
  <c r="F207" i="10"/>
  <c r="B207" i="10"/>
  <c r="D207" i="10" s="1"/>
  <c r="F206" i="10"/>
  <c r="D206" i="10"/>
  <c r="C206" i="10"/>
  <c r="B206" i="10"/>
  <c r="F205" i="10"/>
  <c r="D205" i="10"/>
  <c r="C205" i="10"/>
  <c r="B205" i="10"/>
  <c r="F204" i="10"/>
  <c r="B204" i="10"/>
  <c r="F203" i="10"/>
  <c r="C203" i="10"/>
  <c r="B203" i="10"/>
  <c r="D203" i="10" s="1"/>
  <c r="F202" i="10"/>
  <c r="D202" i="10"/>
  <c r="B202" i="10"/>
  <c r="C202" i="10" s="1"/>
  <c r="F201" i="10"/>
  <c r="D201" i="10"/>
  <c r="C201" i="10"/>
  <c r="B201" i="10"/>
  <c r="F200" i="10"/>
  <c r="B200" i="10"/>
  <c r="F199" i="10"/>
  <c r="B199" i="10"/>
  <c r="D199" i="10" s="1"/>
  <c r="F198" i="10"/>
  <c r="D198" i="10"/>
  <c r="B198" i="10"/>
  <c r="C198" i="10" s="1"/>
  <c r="F197" i="10"/>
  <c r="D197" i="10"/>
  <c r="C197" i="10"/>
  <c r="B197" i="10"/>
  <c r="F196" i="10"/>
  <c r="B196" i="10"/>
  <c r="F195" i="10"/>
  <c r="B195" i="10"/>
  <c r="F194" i="10"/>
  <c r="D194" i="10"/>
  <c r="C194" i="10"/>
  <c r="B194" i="10"/>
  <c r="F193" i="10"/>
  <c r="C193" i="10"/>
  <c r="B193" i="10"/>
  <c r="F192" i="10"/>
  <c r="D192" i="10"/>
  <c r="B192" i="10"/>
  <c r="C192" i="10" s="1"/>
  <c r="F191" i="10"/>
  <c r="D191" i="10"/>
  <c r="B191" i="10"/>
  <c r="C191" i="10" s="1"/>
  <c r="F190" i="10"/>
  <c r="D190" i="10"/>
  <c r="C190" i="10"/>
  <c r="B190" i="10"/>
  <c r="F189" i="10"/>
  <c r="B189" i="10"/>
  <c r="F188" i="10"/>
  <c r="B188" i="10"/>
  <c r="C188" i="10" s="1"/>
  <c r="F187" i="10"/>
  <c r="C187" i="10"/>
  <c r="B187" i="10"/>
  <c r="D187" i="10" s="1"/>
  <c r="F186" i="10"/>
  <c r="C186" i="10"/>
  <c r="B186" i="10"/>
  <c r="D186" i="10" s="1"/>
  <c r="F185" i="10"/>
  <c r="D185" i="10"/>
  <c r="C185" i="10"/>
  <c r="B185" i="10"/>
  <c r="F184" i="10"/>
  <c r="D184" i="10"/>
  <c r="C184" i="10"/>
  <c r="B184" i="10"/>
  <c r="F183" i="10"/>
  <c r="D183" i="10"/>
  <c r="B183" i="10"/>
  <c r="C183" i="10" s="1"/>
  <c r="F182" i="10"/>
  <c r="D182" i="10"/>
  <c r="C182" i="10"/>
  <c r="B182" i="10"/>
  <c r="F181" i="10"/>
  <c r="B181" i="10"/>
  <c r="D181" i="10" s="1"/>
  <c r="F180" i="10"/>
  <c r="B180" i="10"/>
  <c r="F179" i="10"/>
  <c r="B179" i="10"/>
  <c r="F178" i="10"/>
  <c r="D178" i="10"/>
  <c r="B178" i="10"/>
  <c r="C178" i="10" s="1"/>
  <c r="F177" i="10"/>
  <c r="B177" i="10"/>
  <c r="F176" i="10"/>
  <c r="C176" i="10"/>
  <c r="B176" i="10"/>
  <c r="D176" i="10" s="1"/>
  <c r="F175" i="10"/>
  <c r="C175" i="10"/>
  <c r="B175" i="10"/>
  <c r="D175" i="10" s="1"/>
  <c r="F174" i="10"/>
  <c r="C174" i="10"/>
  <c r="B174" i="10"/>
  <c r="F173" i="10"/>
  <c r="D173" i="10"/>
  <c r="C173" i="10"/>
  <c r="B173" i="10"/>
  <c r="F172" i="10"/>
  <c r="B172" i="10"/>
  <c r="D172" i="10" s="1"/>
  <c r="F171" i="10"/>
  <c r="B171" i="10"/>
  <c r="F170" i="10"/>
  <c r="D170" i="10"/>
  <c r="C170" i="10"/>
  <c r="B170" i="10"/>
  <c r="F169" i="10"/>
  <c r="D169" i="10"/>
  <c r="C169" i="10"/>
  <c r="B169" i="10"/>
  <c r="F168" i="10"/>
  <c r="D168" i="10"/>
  <c r="B168" i="10"/>
  <c r="C168" i="10" s="1"/>
  <c r="F167" i="10"/>
  <c r="B167" i="10"/>
  <c r="D167" i="10" s="1"/>
  <c r="F166" i="10"/>
  <c r="C166" i="10"/>
  <c r="B166" i="10"/>
  <c r="D166" i="10" s="1"/>
  <c r="F165" i="10"/>
  <c r="C165" i="10"/>
  <c r="B165" i="10"/>
  <c r="F164" i="10"/>
  <c r="B164" i="10"/>
  <c r="F163" i="10"/>
  <c r="B163" i="10"/>
  <c r="D163" i="10" s="1"/>
  <c r="F162" i="10"/>
  <c r="B162" i="10"/>
  <c r="F161" i="10"/>
  <c r="D161" i="10"/>
  <c r="C161" i="10"/>
  <c r="B161" i="10"/>
  <c r="F160" i="10"/>
  <c r="C160" i="10"/>
  <c r="B160" i="10"/>
  <c r="D160" i="10" s="1"/>
  <c r="F159" i="10"/>
  <c r="D159" i="10"/>
  <c r="B159" i="10"/>
  <c r="C159" i="10" s="1"/>
  <c r="F158" i="10"/>
  <c r="D158" i="10"/>
  <c r="C158" i="10"/>
  <c r="B158" i="10"/>
  <c r="F157" i="10"/>
  <c r="B157" i="10"/>
  <c r="F156" i="10"/>
  <c r="B156" i="10"/>
  <c r="F155" i="10"/>
  <c r="C155" i="10"/>
  <c r="B155" i="10"/>
  <c r="D155" i="10" s="1"/>
  <c r="F154" i="10"/>
  <c r="D154" i="10"/>
  <c r="C154" i="10"/>
  <c r="B154" i="10"/>
  <c r="F153" i="10"/>
  <c r="C153" i="10"/>
  <c r="B153" i="10"/>
  <c r="F152" i="10"/>
  <c r="D152" i="10"/>
  <c r="C152" i="10"/>
  <c r="B152" i="10"/>
  <c r="F151" i="10"/>
  <c r="C151" i="10"/>
  <c r="B151" i="10"/>
  <c r="D151" i="10" s="1"/>
  <c r="F150" i="10"/>
  <c r="B150" i="10"/>
  <c r="F149" i="10"/>
  <c r="D149" i="10"/>
  <c r="C149" i="10"/>
  <c r="B149" i="10"/>
  <c r="F148" i="10"/>
  <c r="B148" i="10"/>
  <c r="D148" i="10" s="1"/>
  <c r="F147" i="10"/>
  <c r="B147" i="10"/>
  <c r="F146" i="10"/>
  <c r="B146" i="10"/>
  <c r="D146" i="10" s="1"/>
  <c r="F145" i="10"/>
  <c r="B145" i="10"/>
  <c r="F144" i="10"/>
  <c r="D144" i="10"/>
  <c r="B144" i="10"/>
  <c r="C144" i="10" s="1"/>
  <c r="F143" i="10"/>
  <c r="D143" i="10"/>
  <c r="C143" i="10"/>
  <c r="B143" i="10"/>
  <c r="F142" i="10"/>
  <c r="C142" i="10"/>
  <c r="B142" i="10"/>
  <c r="F141" i="10"/>
  <c r="C141" i="10"/>
  <c r="B141" i="10"/>
  <c r="F140" i="10"/>
  <c r="D140" i="10"/>
  <c r="B140" i="10"/>
  <c r="C140" i="10" s="1"/>
  <c r="F139" i="10"/>
  <c r="C139" i="10"/>
  <c r="B139" i="10"/>
  <c r="F138" i="10"/>
  <c r="D138" i="10"/>
  <c r="B138" i="10"/>
  <c r="F137" i="10"/>
  <c r="D137" i="10"/>
  <c r="C137" i="10"/>
  <c r="B137" i="10"/>
  <c r="F136" i="10"/>
  <c r="C136" i="10"/>
  <c r="B136" i="10"/>
  <c r="D136" i="10" s="1"/>
  <c r="F135" i="10"/>
  <c r="D135" i="10"/>
  <c r="B135" i="10"/>
  <c r="C135" i="10" s="1"/>
  <c r="F134" i="10"/>
  <c r="B134" i="10"/>
  <c r="F133" i="10"/>
  <c r="D133" i="10"/>
  <c r="C133" i="10"/>
  <c r="B133" i="10"/>
  <c r="F132" i="10"/>
  <c r="D132" i="10"/>
  <c r="B132" i="10"/>
  <c r="F131" i="10"/>
  <c r="D131" i="10"/>
  <c r="C131" i="10"/>
  <c r="B131" i="10"/>
  <c r="F130" i="10"/>
  <c r="B130" i="10"/>
  <c r="C130" i="10" s="1"/>
  <c r="F129" i="10"/>
  <c r="D129" i="10"/>
  <c r="B129" i="10"/>
  <c r="F128" i="10"/>
  <c r="D128" i="10"/>
  <c r="B128" i="10"/>
  <c r="F127" i="10"/>
  <c r="C127" i="10"/>
  <c r="B127" i="10"/>
  <c r="D127" i="10" s="1"/>
  <c r="F126" i="10"/>
  <c r="B126" i="10"/>
  <c r="F125" i="10"/>
  <c r="D125" i="10"/>
  <c r="C125" i="10"/>
  <c r="B125" i="10"/>
  <c r="F124" i="10"/>
  <c r="D124" i="10"/>
  <c r="B124" i="10"/>
  <c r="C124" i="10" s="1"/>
  <c r="F123" i="10"/>
  <c r="D123" i="10"/>
  <c r="B123" i="10"/>
  <c r="F122" i="10"/>
  <c r="C122" i="10"/>
  <c r="B122" i="10"/>
  <c r="D122" i="10" s="1"/>
  <c r="F121" i="10"/>
  <c r="B121" i="10"/>
  <c r="F120" i="10"/>
  <c r="D120" i="10"/>
  <c r="B120" i="10"/>
  <c r="C120" i="10" s="1"/>
  <c r="F119" i="10"/>
  <c r="D119" i="10"/>
  <c r="B119" i="10"/>
  <c r="C119" i="10" s="1"/>
  <c r="F118" i="10"/>
  <c r="D118" i="10"/>
  <c r="B118" i="10"/>
  <c r="F117" i="10"/>
  <c r="C117" i="10"/>
  <c r="B117" i="10"/>
  <c r="F116" i="10"/>
  <c r="B116" i="10"/>
  <c r="D116" i="10" s="1"/>
  <c r="F115" i="10"/>
  <c r="B115" i="10"/>
  <c r="F114" i="10"/>
  <c r="B114" i="10"/>
  <c r="F113" i="10"/>
  <c r="D113" i="10"/>
  <c r="C113" i="10"/>
  <c r="B113" i="10"/>
  <c r="F112" i="10"/>
  <c r="B112" i="10"/>
  <c r="F111" i="10"/>
  <c r="D111" i="10"/>
  <c r="C111" i="10"/>
  <c r="B111" i="10"/>
  <c r="F110" i="10"/>
  <c r="D110" i="10"/>
  <c r="C110" i="10"/>
  <c r="B110" i="10"/>
  <c r="F109" i="10"/>
  <c r="D109" i="10"/>
  <c r="C109" i="10"/>
  <c r="B109" i="10"/>
  <c r="F108" i="10"/>
  <c r="B108" i="10"/>
  <c r="C108" i="10" s="1"/>
  <c r="F107" i="10"/>
  <c r="B107" i="10"/>
  <c r="F106" i="10"/>
  <c r="C106" i="10"/>
  <c r="B106" i="10"/>
  <c r="D106" i="10" s="1"/>
  <c r="F105" i="10"/>
  <c r="B105" i="10"/>
  <c r="F104" i="10"/>
  <c r="B104" i="10"/>
  <c r="F103" i="10"/>
  <c r="B103" i="10"/>
  <c r="F102" i="10"/>
  <c r="B102" i="10"/>
  <c r="F101" i="10"/>
  <c r="D101" i="10"/>
  <c r="C101" i="10"/>
  <c r="B101" i="10"/>
  <c r="F100" i="10"/>
  <c r="D100" i="10"/>
  <c r="B100" i="10"/>
  <c r="C100" i="10" s="1"/>
  <c r="F99" i="10"/>
  <c r="D99" i="10"/>
  <c r="C99" i="10"/>
  <c r="B99" i="10"/>
  <c r="F98" i="10"/>
  <c r="D98" i="10"/>
  <c r="B98" i="10"/>
  <c r="F97" i="10"/>
  <c r="B97" i="10"/>
  <c r="D97" i="10" s="1"/>
  <c r="F96" i="10"/>
  <c r="B96" i="10"/>
  <c r="F95" i="10"/>
  <c r="D95" i="10"/>
  <c r="C95" i="10"/>
  <c r="B95" i="10"/>
  <c r="F94" i="10"/>
  <c r="B94" i="10"/>
  <c r="F93" i="10"/>
  <c r="B93" i="10"/>
  <c r="F92" i="10"/>
  <c r="D92" i="10"/>
  <c r="B92" i="10"/>
  <c r="C92" i="10" s="1"/>
  <c r="F91" i="10"/>
  <c r="B91" i="10"/>
  <c r="F90" i="10"/>
  <c r="D90" i="10"/>
  <c r="C90" i="10"/>
  <c r="B90" i="10"/>
  <c r="F89" i="10"/>
  <c r="D89" i="10"/>
  <c r="C89" i="10"/>
  <c r="B89" i="10"/>
  <c r="F88" i="10"/>
  <c r="D88" i="10"/>
  <c r="B88" i="10"/>
  <c r="F87" i="10"/>
  <c r="D87" i="10"/>
  <c r="B87" i="10"/>
  <c r="C87" i="10" s="1"/>
  <c r="F86" i="10"/>
  <c r="B86" i="10"/>
  <c r="F85" i="10"/>
  <c r="D85" i="10"/>
  <c r="C85" i="10"/>
  <c r="B85" i="10"/>
  <c r="F84" i="10"/>
  <c r="D84" i="10"/>
  <c r="B84" i="10"/>
  <c r="F83" i="10"/>
  <c r="C83" i="10"/>
  <c r="B83" i="10"/>
  <c r="F82" i="10"/>
  <c r="D82" i="10"/>
  <c r="B82" i="10"/>
  <c r="F81" i="10"/>
  <c r="D81" i="10"/>
  <c r="C81" i="10"/>
  <c r="B81" i="10"/>
  <c r="F80" i="10"/>
  <c r="D80" i="10"/>
  <c r="C80" i="10"/>
  <c r="B80" i="10"/>
  <c r="F79" i="10"/>
  <c r="C79" i="10"/>
  <c r="B79" i="10"/>
  <c r="D79" i="10" s="1"/>
  <c r="F78" i="10"/>
  <c r="B78" i="10"/>
  <c r="D78" i="10" s="1"/>
  <c r="F77" i="10"/>
  <c r="D77" i="10"/>
  <c r="C77" i="10"/>
  <c r="B77" i="10"/>
  <c r="F76" i="10"/>
  <c r="D76" i="10"/>
  <c r="C76" i="10"/>
  <c r="B76" i="10"/>
  <c r="F75" i="10"/>
  <c r="D75" i="10"/>
  <c r="C75" i="10"/>
  <c r="B75" i="10"/>
  <c r="F74" i="10"/>
  <c r="D74" i="10"/>
  <c r="B74" i="10"/>
  <c r="F73" i="10"/>
  <c r="B73" i="10"/>
  <c r="F72" i="10"/>
  <c r="D72" i="10"/>
  <c r="B72" i="10"/>
  <c r="C72" i="10" s="1"/>
  <c r="F71" i="10"/>
  <c r="D71" i="10"/>
  <c r="C71" i="10"/>
  <c r="B71" i="10"/>
  <c r="F70" i="10"/>
  <c r="D70" i="10"/>
  <c r="C70" i="10"/>
  <c r="B70" i="10"/>
  <c r="F69" i="10"/>
  <c r="B69" i="10"/>
  <c r="F68" i="10"/>
  <c r="D68" i="10"/>
  <c r="B68" i="10"/>
  <c r="C68" i="10" s="1"/>
  <c r="F67" i="10"/>
  <c r="C67" i="10"/>
  <c r="B67" i="10"/>
  <c r="D67" i="10" s="1"/>
  <c r="F66" i="10"/>
  <c r="D66" i="10"/>
  <c r="B66" i="10"/>
  <c r="F65" i="10"/>
  <c r="D65" i="10"/>
  <c r="C65" i="10"/>
  <c r="B65" i="10"/>
  <c r="F64" i="10"/>
  <c r="B64" i="10"/>
  <c r="F63" i="10"/>
  <c r="B63" i="10"/>
  <c r="D63" i="10" s="1"/>
  <c r="F62" i="10"/>
  <c r="D62" i="10"/>
  <c r="C62" i="10"/>
  <c r="B62" i="10"/>
  <c r="F61" i="10"/>
  <c r="B61" i="10"/>
  <c r="F60" i="10"/>
  <c r="B60" i="10"/>
  <c r="C60" i="10" s="1"/>
  <c r="F59" i="10"/>
  <c r="C59" i="10"/>
  <c r="B59" i="10"/>
  <c r="D59" i="10" s="1"/>
  <c r="F58" i="10"/>
  <c r="D58" i="10"/>
  <c r="C58" i="10"/>
  <c r="B58" i="10"/>
  <c r="F57" i="10"/>
  <c r="B57" i="10"/>
  <c r="F56" i="10"/>
  <c r="B56" i="10"/>
  <c r="F55" i="10"/>
  <c r="C55" i="10"/>
  <c r="B55" i="10"/>
  <c r="D55" i="10" s="1"/>
  <c r="F54" i="10"/>
  <c r="B54" i="10"/>
  <c r="C54" i="10" s="1"/>
  <c r="F53" i="10"/>
  <c r="D53" i="10"/>
  <c r="C53" i="10"/>
  <c r="B53" i="10"/>
  <c r="F52" i="10"/>
  <c r="D52" i="10"/>
  <c r="C52" i="10"/>
  <c r="B52" i="10"/>
  <c r="F51" i="10"/>
  <c r="B51" i="10"/>
  <c r="F50" i="10"/>
  <c r="C50" i="10"/>
  <c r="B50" i="10"/>
  <c r="F49" i="10"/>
  <c r="B49" i="10"/>
  <c r="D49" i="10" s="1"/>
  <c r="F48" i="10"/>
  <c r="D48" i="10"/>
  <c r="B48" i="10"/>
  <c r="C48" i="10" s="1"/>
  <c r="F47" i="10"/>
  <c r="C47" i="10"/>
  <c r="B47" i="10"/>
  <c r="D47" i="10" s="1"/>
  <c r="F46" i="10"/>
  <c r="B46" i="10"/>
  <c r="F45" i="10"/>
  <c r="B45" i="10"/>
  <c r="F44" i="10"/>
  <c r="D44" i="10"/>
  <c r="B44" i="10"/>
  <c r="C44" i="10" s="1"/>
  <c r="F43" i="10"/>
  <c r="B43" i="10"/>
  <c r="F42" i="10"/>
  <c r="B42" i="10"/>
  <c r="F41" i="10"/>
  <c r="D41" i="10"/>
  <c r="C41" i="10"/>
  <c r="B41" i="10"/>
  <c r="F40" i="10"/>
  <c r="D40" i="10"/>
  <c r="C40" i="10"/>
  <c r="B40" i="10"/>
  <c r="F39" i="10"/>
  <c r="D39" i="10"/>
  <c r="B39" i="10"/>
  <c r="C39" i="10" s="1"/>
  <c r="F38" i="10"/>
  <c r="B38" i="10"/>
  <c r="F37" i="10"/>
  <c r="C37" i="10"/>
  <c r="B37" i="10"/>
  <c r="D37" i="10" s="1"/>
  <c r="F36" i="10"/>
  <c r="D36" i="10"/>
  <c r="B36" i="10"/>
  <c r="F35" i="10"/>
  <c r="B35" i="10"/>
  <c r="F34" i="10"/>
  <c r="B34" i="10"/>
  <c r="F33" i="10"/>
  <c r="C33" i="10"/>
  <c r="B33" i="10"/>
  <c r="D33" i="10" s="1"/>
  <c r="F32" i="10"/>
  <c r="B32" i="10"/>
  <c r="F31" i="10"/>
  <c r="B31" i="10"/>
  <c r="F30" i="10"/>
  <c r="D30" i="10"/>
  <c r="B30" i="10"/>
  <c r="C30" i="10" s="1"/>
  <c r="F29" i="10"/>
  <c r="D29" i="10"/>
  <c r="C29" i="10"/>
  <c r="B29" i="10"/>
  <c r="F28" i="10"/>
  <c r="C28" i="10"/>
  <c r="B28" i="10"/>
  <c r="D28" i="10" s="1"/>
  <c r="F27" i="10"/>
  <c r="B27" i="10"/>
  <c r="F26" i="10"/>
  <c r="B26" i="10"/>
  <c r="F25" i="10"/>
  <c r="B25" i="10"/>
  <c r="F24" i="10"/>
  <c r="D24" i="10"/>
  <c r="B24" i="10"/>
  <c r="C24" i="10" s="1"/>
  <c r="F23" i="10"/>
  <c r="B23" i="10"/>
  <c r="D23" i="10" s="1"/>
  <c r="F22" i="10"/>
  <c r="C22" i="10"/>
  <c r="B22" i="10"/>
  <c r="F21" i="10"/>
  <c r="C21" i="10"/>
  <c r="B21" i="10"/>
  <c r="F20" i="10"/>
  <c r="D20" i="10"/>
  <c r="C20" i="10"/>
  <c r="B20" i="10"/>
  <c r="F19" i="10"/>
  <c r="B19" i="10"/>
  <c r="F18" i="10"/>
  <c r="C18" i="10"/>
  <c r="B18" i="10"/>
  <c r="D18" i="10" s="1"/>
  <c r="F17" i="10"/>
  <c r="D17" i="10"/>
  <c r="C17" i="10"/>
  <c r="B17" i="10"/>
  <c r="F16" i="10"/>
  <c r="C16" i="10"/>
  <c r="B16" i="10"/>
  <c r="D16" i="10" s="1"/>
  <c r="F15" i="10"/>
  <c r="B15" i="10"/>
  <c r="F14" i="10"/>
  <c r="D14" i="10"/>
  <c r="C14" i="10"/>
  <c r="B14" i="10"/>
  <c r="F13" i="10"/>
  <c r="C13" i="10"/>
  <c r="B13" i="10"/>
  <c r="D13" i="10" s="1"/>
  <c r="F12" i="10"/>
  <c r="D12" i="10"/>
  <c r="B12" i="10"/>
  <c r="C12" i="10" s="1"/>
  <c r="F11" i="10"/>
  <c r="B11" i="10"/>
  <c r="F10" i="10"/>
  <c r="D10" i="10"/>
  <c r="B10" i="10"/>
  <c r="F9" i="10"/>
  <c r="D9" i="10"/>
  <c r="B9" i="10"/>
  <c r="F8" i="10"/>
  <c r="D8" i="10"/>
  <c r="C8" i="10"/>
  <c r="B8" i="10"/>
  <c r="F7" i="10"/>
  <c r="C7" i="10"/>
  <c r="B7" i="10"/>
  <c r="D7" i="10" s="1"/>
  <c r="F6" i="10"/>
  <c r="B6" i="10"/>
  <c r="C6" i="10" s="1"/>
  <c r="E213" i="9"/>
  <c r="D213" i="9"/>
  <c r="F212" i="9"/>
  <c r="D212" i="9"/>
  <c r="B212" i="9"/>
  <c r="F211" i="9"/>
  <c r="D211" i="9"/>
  <c r="B211" i="9"/>
  <c r="C211" i="9" s="1"/>
  <c r="F210" i="9"/>
  <c r="D210" i="9"/>
  <c r="B210" i="9"/>
  <c r="C210" i="9" s="1"/>
  <c r="F209" i="9"/>
  <c r="D209" i="9"/>
  <c r="C209" i="9"/>
  <c r="B209" i="9"/>
  <c r="F208" i="9"/>
  <c r="D208" i="9"/>
  <c r="C208" i="9"/>
  <c r="B208" i="9"/>
  <c r="F207" i="9"/>
  <c r="D207" i="9"/>
  <c r="B207" i="9"/>
  <c r="C207" i="9" s="1"/>
  <c r="F206" i="9"/>
  <c r="D206" i="9"/>
  <c r="C206" i="9"/>
  <c r="B206" i="9"/>
  <c r="F205" i="9"/>
  <c r="D205" i="9"/>
  <c r="C205" i="9"/>
  <c r="B205" i="9"/>
  <c r="F204" i="9"/>
  <c r="D204" i="9"/>
  <c r="B204" i="9"/>
  <c r="C204" i="9" s="1"/>
  <c r="F203" i="9"/>
  <c r="D203" i="9"/>
  <c r="B203" i="9"/>
  <c r="C203" i="9" s="1"/>
  <c r="F202" i="9"/>
  <c r="D202" i="9"/>
  <c r="B202" i="9"/>
  <c r="C202" i="9" s="1"/>
  <c r="F201" i="9"/>
  <c r="D201" i="9"/>
  <c r="B201" i="9"/>
  <c r="C201" i="9" s="1"/>
  <c r="F200" i="9"/>
  <c r="D200" i="9"/>
  <c r="B200" i="9"/>
  <c r="C200" i="9" s="1"/>
  <c r="F199" i="9"/>
  <c r="D199" i="9"/>
  <c r="C199" i="9"/>
  <c r="B199" i="9"/>
  <c r="F198" i="9"/>
  <c r="D198" i="9"/>
  <c r="B198" i="9"/>
  <c r="C198" i="9" s="1"/>
  <c r="F197" i="9"/>
  <c r="D197" i="9"/>
  <c r="C197" i="9"/>
  <c r="B197" i="9"/>
  <c r="F196" i="9"/>
  <c r="D196" i="9"/>
  <c r="C196" i="9"/>
  <c r="B196" i="9"/>
  <c r="F195" i="9"/>
  <c r="D195" i="9"/>
  <c r="C195" i="9"/>
  <c r="B195" i="9"/>
  <c r="E194" i="9"/>
  <c r="D194" i="9"/>
  <c r="C194" i="9"/>
  <c r="F193" i="9"/>
  <c r="D193" i="9"/>
  <c r="C193" i="9"/>
  <c r="B193" i="9"/>
  <c r="B194" i="9" s="1"/>
  <c r="F192" i="9"/>
  <c r="D192" i="9"/>
  <c r="B192" i="9"/>
  <c r="C192" i="9" s="1"/>
  <c r="F191" i="9"/>
  <c r="D191" i="9"/>
  <c r="C191" i="9"/>
  <c r="B191" i="9"/>
  <c r="F190" i="9"/>
  <c r="D190" i="9"/>
  <c r="B190" i="9"/>
  <c r="C190" i="9" s="1"/>
  <c r="F189" i="9"/>
  <c r="D189" i="9"/>
  <c r="B189" i="9"/>
  <c r="C189" i="9" s="1"/>
  <c r="F188" i="9"/>
  <c r="D188" i="9"/>
  <c r="B188" i="9"/>
  <c r="C188" i="9" s="1"/>
  <c r="F187" i="9"/>
  <c r="D187" i="9"/>
  <c r="C187" i="9"/>
  <c r="B187" i="9"/>
  <c r="F186" i="9"/>
  <c r="D186" i="9"/>
  <c r="B186" i="9"/>
  <c r="C186" i="9" s="1"/>
  <c r="F185" i="9"/>
  <c r="D185" i="9"/>
  <c r="C185" i="9"/>
  <c r="B185" i="9"/>
  <c r="F184" i="9"/>
  <c r="D184" i="9"/>
  <c r="B184" i="9"/>
  <c r="C184" i="9" s="1"/>
  <c r="F183" i="9"/>
  <c r="D183" i="9"/>
  <c r="C183" i="9"/>
  <c r="B183" i="9"/>
  <c r="F182" i="9"/>
  <c r="D182" i="9"/>
  <c r="C182" i="9"/>
  <c r="B182" i="9"/>
  <c r="F181" i="9"/>
  <c r="D181" i="9"/>
  <c r="C181" i="9"/>
  <c r="B181" i="9"/>
  <c r="F180" i="9"/>
  <c r="D180" i="9"/>
  <c r="C180" i="9"/>
  <c r="B180" i="9"/>
  <c r="F179" i="9"/>
  <c r="D179" i="9"/>
  <c r="C179" i="9"/>
  <c r="B179" i="9"/>
  <c r="F178" i="9"/>
  <c r="D178" i="9"/>
  <c r="B178" i="9"/>
  <c r="C178" i="9" s="1"/>
  <c r="F177" i="9"/>
  <c r="D177" i="9"/>
  <c r="B177" i="9"/>
  <c r="C177" i="9" s="1"/>
  <c r="F176" i="9"/>
  <c r="D176" i="9"/>
  <c r="B176" i="9"/>
  <c r="C176" i="9" s="1"/>
  <c r="E175" i="9"/>
  <c r="D175" i="9"/>
  <c r="C175" i="9"/>
  <c r="B175" i="9"/>
  <c r="F174" i="9"/>
  <c r="D174" i="9"/>
  <c r="C174" i="9"/>
  <c r="B174" i="9"/>
  <c r="G173" i="9"/>
  <c r="F173" i="9"/>
  <c r="D173" i="9"/>
  <c r="C173" i="9"/>
  <c r="B173" i="9"/>
  <c r="F172" i="9"/>
  <c r="D172" i="9"/>
  <c r="C172" i="9"/>
  <c r="B172" i="9"/>
  <c r="F171" i="9"/>
  <c r="D171" i="9"/>
  <c r="B171" i="9"/>
  <c r="C171" i="9" s="1"/>
  <c r="F170" i="9"/>
  <c r="D170" i="9"/>
  <c r="B170" i="9"/>
  <c r="C170" i="9" s="1"/>
  <c r="F169" i="9"/>
  <c r="D169" i="9"/>
  <c r="B169" i="9"/>
  <c r="C169" i="9" s="1"/>
  <c r="F168" i="9"/>
  <c r="D168" i="9"/>
  <c r="C168" i="9"/>
  <c r="B168" i="9"/>
  <c r="F167" i="9"/>
  <c r="D167" i="9"/>
  <c r="C167" i="9"/>
  <c r="B167" i="9"/>
  <c r="F166" i="9"/>
  <c r="D166" i="9"/>
  <c r="C166" i="9"/>
  <c r="B166" i="9"/>
  <c r="F165" i="9"/>
  <c r="D165" i="9"/>
  <c r="B165" i="9"/>
  <c r="C165" i="9" s="1"/>
  <c r="F164" i="9"/>
  <c r="D164" i="9"/>
  <c r="B164" i="9"/>
  <c r="C164" i="9" s="1"/>
  <c r="F163" i="9"/>
  <c r="D163" i="9"/>
  <c r="C163" i="9"/>
  <c r="B163" i="9"/>
  <c r="F162" i="9"/>
  <c r="D162" i="9"/>
  <c r="B162" i="9"/>
  <c r="C162" i="9" s="1"/>
  <c r="F161" i="9"/>
  <c r="D161" i="9"/>
  <c r="C161" i="9"/>
  <c r="B161" i="9"/>
  <c r="G160" i="9"/>
  <c r="F160" i="9"/>
  <c r="D160" i="9"/>
  <c r="C160" i="9"/>
  <c r="B160" i="9"/>
  <c r="F159" i="9"/>
  <c r="D159" i="9"/>
  <c r="C159" i="9"/>
  <c r="B159" i="9"/>
  <c r="F158" i="9"/>
  <c r="D158" i="9"/>
  <c r="B158" i="9"/>
  <c r="C158" i="9" s="1"/>
  <c r="F157" i="9"/>
  <c r="D157" i="9"/>
  <c r="C157" i="9"/>
  <c r="B157" i="9"/>
  <c r="E156" i="9"/>
  <c r="C156" i="9"/>
  <c r="B156" i="9"/>
  <c r="F155" i="9"/>
  <c r="D155" i="9"/>
  <c r="D156" i="9" s="1"/>
  <c r="C155" i="9"/>
  <c r="B155" i="9"/>
  <c r="F154" i="9"/>
  <c r="D154" i="9"/>
  <c r="C154" i="9"/>
  <c r="B154" i="9"/>
  <c r="F153" i="9"/>
  <c r="D153" i="9"/>
  <c r="C153" i="9"/>
  <c r="B153" i="9"/>
  <c r="F152" i="9"/>
  <c r="D152" i="9"/>
  <c r="C152" i="9"/>
  <c r="B152" i="9"/>
  <c r="F151" i="9"/>
  <c r="D151" i="9"/>
  <c r="C151" i="9"/>
  <c r="B151" i="9"/>
  <c r="F150" i="9"/>
  <c r="D150" i="9"/>
  <c r="B150" i="9"/>
  <c r="C150" i="9" s="1"/>
  <c r="F149" i="9"/>
  <c r="D149" i="9"/>
  <c r="B149" i="9"/>
  <c r="C149" i="9" s="1"/>
  <c r="F148" i="9"/>
  <c r="D148" i="9"/>
  <c r="B148" i="9"/>
  <c r="C148" i="9" s="1"/>
  <c r="F147" i="9"/>
  <c r="D147" i="9"/>
  <c r="B147" i="9"/>
  <c r="C147" i="9" s="1"/>
  <c r="F146" i="9"/>
  <c r="D146" i="9"/>
  <c r="C146" i="9"/>
  <c r="B146" i="9"/>
  <c r="F145" i="9"/>
  <c r="D145" i="9"/>
  <c r="B145" i="9"/>
  <c r="C145" i="9" s="1"/>
  <c r="F144" i="9"/>
  <c r="D144" i="9"/>
  <c r="C144" i="9"/>
  <c r="B144" i="9"/>
  <c r="F143" i="9"/>
  <c r="D143" i="9"/>
  <c r="B143" i="9"/>
  <c r="C143" i="9" s="1"/>
  <c r="F142" i="9"/>
  <c r="D142" i="9"/>
  <c r="B142" i="9"/>
  <c r="C142" i="9" s="1"/>
  <c r="F141" i="9"/>
  <c r="D141" i="9"/>
  <c r="C141" i="9"/>
  <c r="B141" i="9"/>
  <c r="F140" i="9"/>
  <c r="D140" i="9"/>
  <c r="C140" i="9"/>
  <c r="B140" i="9"/>
  <c r="F139" i="9"/>
  <c r="D139" i="9"/>
  <c r="B139" i="9"/>
  <c r="C139" i="9" s="1"/>
  <c r="F138" i="9"/>
  <c r="D138" i="9"/>
  <c r="B138" i="9"/>
  <c r="C138" i="9" s="1"/>
  <c r="E137" i="9"/>
  <c r="F136" i="9"/>
  <c r="D136" i="9"/>
  <c r="D137" i="9" s="1"/>
  <c r="C136" i="9"/>
  <c r="C137" i="9" s="1"/>
  <c r="B136" i="9"/>
  <c r="B137" i="9" s="1"/>
  <c r="F135" i="9"/>
  <c r="D135" i="9"/>
  <c r="C135" i="9"/>
  <c r="B135" i="9"/>
  <c r="F134" i="9"/>
  <c r="D134" i="9"/>
  <c r="C134" i="9"/>
  <c r="B134" i="9"/>
  <c r="F133" i="9"/>
  <c r="D133" i="9"/>
  <c r="B133" i="9"/>
  <c r="C133" i="9" s="1"/>
  <c r="F132" i="9"/>
  <c r="D132" i="9"/>
  <c r="C132" i="9"/>
  <c r="B132" i="9"/>
  <c r="F131" i="9"/>
  <c r="D131" i="9"/>
  <c r="C131" i="9"/>
  <c r="B131" i="9"/>
  <c r="F130" i="9"/>
  <c r="D130" i="9"/>
  <c r="B130" i="9"/>
  <c r="C130" i="9" s="1"/>
  <c r="F129" i="9"/>
  <c r="D129" i="9"/>
  <c r="C129" i="9"/>
  <c r="B129" i="9"/>
  <c r="F128" i="9"/>
  <c r="D128" i="9"/>
  <c r="B128" i="9"/>
  <c r="C128" i="9" s="1"/>
  <c r="F127" i="9"/>
  <c r="D127" i="9"/>
  <c r="B127" i="9"/>
  <c r="C127" i="9" s="1"/>
  <c r="F126" i="9"/>
  <c r="D126" i="9"/>
  <c r="C126" i="9"/>
  <c r="B126" i="9"/>
  <c r="F125" i="9"/>
  <c r="D125" i="9"/>
  <c r="C125" i="9"/>
  <c r="B125" i="9"/>
  <c r="F124" i="9"/>
  <c r="D124" i="9"/>
  <c r="C124" i="9"/>
  <c r="B124" i="9"/>
  <c r="F123" i="9"/>
  <c r="D123" i="9"/>
  <c r="C123" i="9"/>
  <c r="B123" i="9"/>
  <c r="F122" i="9"/>
  <c r="D122" i="9"/>
  <c r="C122" i="9"/>
  <c r="B122" i="9"/>
  <c r="F121" i="9"/>
  <c r="D121" i="9"/>
  <c r="C121" i="9"/>
  <c r="B121" i="9"/>
  <c r="F120" i="9"/>
  <c r="D120" i="9"/>
  <c r="B120" i="9"/>
  <c r="C120" i="9" s="1"/>
  <c r="F119" i="9"/>
  <c r="D119" i="9"/>
  <c r="B119" i="9"/>
  <c r="C119" i="9" s="1"/>
  <c r="E118" i="9"/>
  <c r="D118" i="9"/>
  <c r="F117" i="9"/>
  <c r="D117" i="9"/>
  <c r="B117" i="9"/>
  <c r="F116" i="9"/>
  <c r="D116" i="9"/>
  <c r="B116" i="9"/>
  <c r="C116" i="9" s="1"/>
  <c r="F115" i="9"/>
  <c r="D115" i="9"/>
  <c r="C115" i="9"/>
  <c r="B115" i="9"/>
  <c r="F114" i="9"/>
  <c r="D114" i="9"/>
  <c r="C114" i="9"/>
  <c r="B114" i="9"/>
  <c r="F113" i="9"/>
  <c r="D113" i="9"/>
  <c r="B113" i="9"/>
  <c r="C113" i="9" s="1"/>
  <c r="F112" i="9"/>
  <c r="D112" i="9"/>
  <c r="B112" i="9"/>
  <c r="C112" i="9" s="1"/>
  <c r="F111" i="9"/>
  <c r="D111" i="9"/>
  <c r="C111" i="9"/>
  <c r="B111" i="9"/>
  <c r="F110" i="9"/>
  <c r="D110" i="9"/>
  <c r="B110" i="9"/>
  <c r="C110" i="9" s="1"/>
  <c r="F109" i="9"/>
  <c r="D109" i="9"/>
  <c r="B109" i="9"/>
  <c r="C109" i="9" s="1"/>
  <c r="F108" i="9"/>
  <c r="D108" i="9"/>
  <c r="B108" i="9"/>
  <c r="C108" i="9" s="1"/>
  <c r="F107" i="9"/>
  <c r="D107" i="9"/>
  <c r="C107" i="9"/>
  <c r="B107" i="9"/>
  <c r="F106" i="9"/>
  <c r="D106" i="9"/>
  <c r="C106" i="9"/>
  <c r="B106" i="9"/>
  <c r="F105" i="9"/>
  <c r="D105" i="9"/>
  <c r="C105" i="9"/>
  <c r="B105" i="9"/>
  <c r="F104" i="9"/>
  <c r="D104" i="9"/>
  <c r="C104" i="9"/>
  <c r="B104" i="9"/>
  <c r="F103" i="9"/>
  <c r="D103" i="9"/>
  <c r="C103" i="9"/>
  <c r="B103" i="9"/>
  <c r="F102" i="9"/>
  <c r="D102" i="9"/>
  <c r="C102" i="9"/>
  <c r="B102" i="9"/>
  <c r="F101" i="9"/>
  <c r="D101" i="9"/>
  <c r="B101" i="9"/>
  <c r="C101" i="9" s="1"/>
  <c r="F100" i="9"/>
  <c r="D100" i="9"/>
  <c r="C100" i="9"/>
  <c r="B100" i="9"/>
  <c r="E99" i="9"/>
  <c r="D99" i="9"/>
  <c r="B99" i="9"/>
  <c r="F98" i="9"/>
  <c r="D98" i="9"/>
  <c r="B98" i="9"/>
  <c r="C98" i="9" s="1"/>
  <c r="C99" i="9" s="1"/>
  <c r="F97" i="9"/>
  <c r="D97" i="9"/>
  <c r="B97" i="9"/>
  <c r="C97" i="9" s="1"/>
  <c r="G96" i="9"/>
  <c r="F96" i="9"/>
  <c r="D96" i="9"/>
  <c r="B96" i="9"/>
  <c r="C96" i="9" s="1"/>
  <c r="F95" i="9"/>
  <c r="D95" i="9"/>
  <c r="C95" i="9"/>
  <c r="B95" i="9"/>
  <c r="F94" i="9"/>
  <c r="D94" i="9"/>
  <c r="B94" i="9"/>
  <c r="C94" i="9" s="1"/>
  <c r="F93" i="9"/>
  <c r="D93" i="9"/>
  <c r="C93" i="9"/>
  <c r="B93" i="9"/>
  <c r="F92" i="9"/>
  <c r="D92" i="9"/>
  <c r="B92" i="9"/>
  <c r="C92" i="9" s="1"/>
  <c r="F91" i="9"/>
  <c r="D91" i="9"/>
  <c r="B91" i="9"/>
  <c r="C91" i="9" s="1"/>
  <c r="F90" i="9"/>
  <c r="D90" i="9"/>
  <c r="C90" i="9"/>
  <c r="B90" i="9"/>
  <c r="F89" i="9"/>
  <c r="D89" i="9"/>
  <c r="C89" i="9"/>
  <c r="B89" i="9"/>
  <c r="F88" i="9"/>
  <c r="D88" i="9"/>
  <c r="C88" i="9"/>
  <c r="B88" i="9"/>
  <c r="F87" i="9"/>
  <c r="D87" i="9"/>
  <c r="B87" i="9"/>
  <c r="C87" i="9" s="1"/>
  <c r="F86" i="9"/>
  <c r="D86" i="9"/>
  <c r="B86" i="9"/>
  <c r="C86" i="9" s="1"/>
  <c r="F85" i="9"/>
  <c r="D85" i="9"/>
  <c r="C85" i="9"/>
  <c r="B85" i="9"/>
  <c r="F84" i="9"/>
  <c r="D84" i="9"/>
  <c r="B84" i="9"/>
  <c r="C84" i="9" s="1"/>
  <c r="F83" i="9"/>
  <c r="D83" i="9"/>
  <c r="B83" i="9"/>
  <c r="C83" i="9" s="1"/>
  <c r="F82" i="9"/>
  <c r="D82" i="9"/>
  <c r="C82" i="9"/>
  <c r="B82" i="9"/>
  <c r="F81" i="9"/>
  <c r="D81" i="9"/>
  <c r="B81" i="9"/>
  <c r="C81" i="9" s="1"/>
  <c r="E80" i="9"/>
  <c r="B80" i="9"/>
  <c r="F79" i="9"/>
  <c r="D79" i="9"/>
  <c r="D80" i="9" s="1"/>
  <c r="B79" i="9"/>
  <c r="C79" i="9" s="1"/>
  <c r="C80" i="9" s="1"/>
  <c r="F78" i="9"/>
  <c r="D78" i="9"/>
  <c r="B78" i="9"/>
  <c r="C78" i="9" s="1"/>
  <c r="F77" i="9"/>
  <c r="D77" i="9"/>
  <c r="C77" i="9"/>
  <c r="B77" i="9"/>
  <c r="F76" i="9"/>
  <c r="D76" i="9"/>
  <c r="B76" i="9"/>
  <c r="C76" i="9" s="1"/>
  <c r="F75" i="9"/>
  <c r="D75" i="9"/>
  <c r="C75" i="9"/>
  <c r="B75" i="9"/>
  <c r="F74" i="9"/>
  <c r="D74" i="9"/>
  <c r="B74" i="9"/>
  <c r="C74" i="9" s="1"/>
  <c r="F73" i="9"/>
  <c r="D73" i="9"/>
  <c r="C73" i="9"/>
  <c r="B73" i="9"/>
  <c r="F72" i="9"/>
  <c r="D72" i="9"/>
  <c r="C72" i="9"/>
  <c r="B72" i="9"/>
  <c r="F71" i="9"/>
  <c r="D71" i="9"/>
  <c r="C71" i="9"/>
  <c r="B71" i="9"/>
  <c r="F70" i="9"/>
  <c r="D70" i="9"/>
  <c r="B70" i="9"/>
  <c r="C70" i="9" s="1"/>
  <c r="F69" i="9"/>
  <c r="D69" i="9"/>
  <c r="B69" i="9"/>
  <c r="C69" i="9" s="1"/>
  <c r="F68" i="9"/>
  <c r="D68" i="9"/>
  <c r="B68" i="9"/>
  <c r="C68" i="9" s="1"/>
  <c r="F67" i="9"/>
  <c r="D67" i="9"/>
  <c r="B67" i="9"/>
  <c r="C67" i="9" s="1"/>
  <c r="F66" i="9"/>
  <c r="D66" i="9"/>
  <c r="C66" i="9"/>
  <c r="B66" i="9"/>
  <c r="F65" i="9"/>
  <c r="D65" i="9"/>
  <c r="B65" i="9"/>
  <c r="C65" i="9" s="1"/>
  <c r="F64" i="9"/>
  <c r="D64" i="9"/>
  <c r="C64" i="9"/>
  <c r="B64" i="9"/>
  <c r="G63" i="9"/>
  <c r="F63" i="9"/>
  <c r="D63" i="9"/>
  <c r="C63" i="9"/>
  <c r="B63" i="9"/>
  <c r="F62" i="9"/>
  <c r="D62" i="9"/>
  <c r="C62" i="9"/>
  <c r="B62" i="9"/>
  <c r="E61" i="9"/>
  <c r="C61" i="9"/>
  <c r="B61" i="9"/>
  <c r="F60" i="9"/>
  <c r="D60" i="9"/>
  <c r="D61" i="9" s="1"/>
  <c r="B60" i="9"/>
  <c r="C60" i="9" s="1"/>
  <c r="F59" i="9"/>
  <c r="D59" i="9"/>
  <c r="B59" i="9"/>
  <c r="C59" i="9" s="1"/>
  <c r="F58" i="9"/>
  <c r="D58" i="9"/>
  <c r="B58" i="9"/>
  <c r="C58" i="9" s="1"/>
  <c r="F57" i="9"/>
  <c r="D57" i="9"/>
  <c r="B57" i="9"/>
  <c r="C57" i="9" s="1"/>
  <c r="F56" i="9"/>
  <c r="D56" i="9"/>
  <c r="C56" i="9"/>
  <c r="B56" i="9"/>
  <c r="F55" i="9"/>
  <c r="D55" i="9"/>
  <c r="C55" i="9"/>
  <c r="B55" i="9"/>
  <c r="F54" i="9"/>
  <c r="D54" i="9"/>
  <c r="C54" i="9"/>
  <c r="B54" i="9"/>
  <c r="F53" i="9"/>
  <c r="D53" i="9"/>
  <c r="B53" i="9"/>
  <c r="C53" i="9" s="1"/>
  <c r="F52" i="9"/>
  <c r="D52" i="9"/>
  <c r="C52" i="9"/>
  <c r="B52" i="9"/>
  <c r="F51" i="9"/>
  <c r="D51" i="9"/>
  <c r="C51" i="9"/>
  <c r="B51" i="9"/>
  <c r="F50" i="9"/>
  <c r="D50" i="9"/>
  <c r="B50" i="9"/>
  <c r="C50" i="9" s="1"/>
  <c r="F49" i="9"/>
  <c r="D49" i="9"/>
  <c r="C49" i="9"/>
  <c r="B49" i="9"/>
  <c r="F48" i="9"/>
  <c r="D48" i="9"/>
  <c r="B48" i="9"/>
  <c r="C48" i="9" s="1"/>
  <c r="F47" i="9"/>
  <c r="D47" i="9"/>
  <c r="B47" i="9"/>
  <c r="C47" i="9" s="1"/>
  <c r="F46" i="9"/>
  <c r="D46" i="9"/>
  <c r="B46" i="9"/>
  <c r="C46" i="9" s="1"/>
  <c r="F45" i="9"/>
  <c r="D45" i="9"/>
  <c r="C45" i="9"/>
  <c r="B45" i="9"/>
  <c r="G44" i="9"/>
  <c r="F44" i="9"/>
  <c r="D44" i="9"/>
  <c r="C44" i="9"/>
  <c r="B44" i="9"/>
  <c r="F43" i="9"/>
  <c r="D43" i="9"/>
  <c r="C43" i="9"/>
  <c r="B43" i="9"/>
  <c r="E42" i="9"/>
  <c r="C42" i="9"/>
  <c r="F41" i="9"/>
  <c r="D41" i="9"/>
  <c r="D42" i="9" s="1"/>
  <c r="B41" i="9"/>
  <c r="C41" i="9" s="1"/>
  <c r="F40" i="9"/>
  <c r="D40" i="9"/>
  <c r="C40" i="9"/>
  <c r="B40" i="9"/>
  <c r="F39" i="9"/>
  <c r="D39" i="9"/>
  <c r="C39" i="9"/>
  <c r="B39" i="9"/>
  <c r="F38" i="9"/>
  <c r="D38" i="9"/>
  <c r="C38" i="9"/>
  <c r="B38" i="9"/>
  <c r="F37" i="9"/>
  <c r="D37" i="9"/>
  <c r="C37" i="9"/>
  <c r="B37" i="9"/>
  <c r="F36" i="9"/>
  <c r="D36" i="9"/>
  <c r="C36" i="9"/>
  <c r="B36" i="9"/>
  <c r="F35" i="9"/>
  <c r="D35" i="9"/>
  <c r="C35" i="9"/>
  <c r="B35" i="9"/>
  <c r="F34" i="9"/>
  <c r="D34" i="9"/>
  <c r="C34" i="9"/>
  <c r="B34" i="9"/>
  <c r="F33" i="9"/>
  <c r="D33" i="9"/>
  <c r="B33" i="9"/>
  <c r="C33" i="9" s="1"/>
  <c r="F32" i="9"/>
  <c r="D32" i="9"/>
  <c r="C32" i="9"/>
  <c r="B32" i="9"/>
  <c r="F31" i="9"/>
  <c r="D31" i="9"/>
  <c r="C31" i="9"/>
  <c r="B31" i="9"/>
  <c r="F30" i="9"/>
  <c r="D30" i="9"/>
  <c r="C30" i="9"/>
  <c r="B30" i="9"/>
  <c r="G29" i="9"/>
  <c r="F29" i="9"/>
  <c r="D29" i="9"/>
  <c r="C29" i="9"/>
  <c r="B29" i="9"/>
  <c r="G28" i="9"/>
  <c r="F28" i="9"/>
  <c r="D28" i="9"/>
  <c r="B28" i="9"/>
  <c r="C28" i="9" s="1"/>
  <c r="G27" i="9"/>
  <c r="F27" i="9"/>
  <c r="D27" i="9"/>
  <c r="C27" i="9"/>
  <c r="B27" i="9"/>
  <c r="F26" i="9"/>
  <c r="D26" i="9"/>
  <c r="C26" i="9"/>
  <c r="B26" i="9"/>
  <c r="F25" i="9"/>
  <c r="D25" i="9"/>
  <c r="C25" i="9"/>
  <c r="B25" i="9"/>
  <c r="F24" i="9"/>
  <c r="D24" i="9"/>
  <c r="B24" i="9"/>
  <c r="C24" i="9" s="1"/>
  <c r="E23" i="9"/>
  <c r="B23" i="9"/>
  <c r="F22" i="9"/>
  <c r="D22" i="9"/>
  <c r="D23" i="9" s="1"/>
  <c r="B22" i="9"/>
  <c r="C22" i="9" s="1"/>
  <c r="C23" i="9" s="1"/>
  <c r="F21" i="9"/>
  <c r="D21" i="9"/>
  <c r="C21" i="9"/>
  <c r="B21" i="9"/>
  <c r="F20" i="9"/>
  <c r="D20" i="9"/>
  <c r="C20" i="9"/>
  <c r="B20" i="9"/>
  <c r="F19" i="9"/>
  <c r="D19" i="9"/>
  <c r="C19" i="9"/>
  <c r="B19" i="9"/>
  <c r="F18" i="9"/>
  <c r="D18" i="9"/>
  <c r="C18" i="9"/>
  <c r="B18" i="9"/>
  <c r="F17" i="9"/>
  <c r="D17" i="9"/>
  <c r="C17" i="9"/>
  <c r="B17" i="9"/>
  <c r="F16" i="9"/>
  <c r="D16" i="9"/>
  <c r="B16" i="9"/>
  <c r="C16" i="9" s="1"/>
  <c r="F15" i="9"/>
  <c r="D15" i="9"/>
  <c r="B15" i="9"/>
  <c r="C15" i="9" s="1"/>
  <c r="F14" i="9"/>
  <c r="D14" i="9"/>
  <c r="B14" i="9"/>
  <c r="C14" i="9" s="1"/>
  <c r="F13" i="9"/>
  <c r="D13" i="9"/>
  <c r="B13" i="9"/>
  <c r="C13" i="9" s="1"/>
  <c r="F12" i="9"/>
  <c r="D12" i="9"/>
  <c r="C12" i="9"/>
  <c r="B12" i="9"/>
  <c r="F11" i="9"/>
  <c r="D11" i="9"/>
  <c r="B11" i="9"/>
  <c r="C11" i="9" s="1"/>
  <c r="F10" i="9"/>
  <c r="D10" i="9"/>
  <c r="C10" i="9"/>
  <c r="B10" i="9"/>
  <c r="F9" i="9"/>
  <c r="D9" i="9"/>
  <c r="C9" i="9"/>
  <c r="B9" i="9"/>
  <c r="G8" i="9"/>
  <c r="F8" i="9"/>
  <c r="D8" i="9"/>
  <c r="B8" i="9"/>
  <c r="C8" i="9" s="1"/>
  <c r="F7" i="9"/>
  <c r="D7" i="9"/>
  <c r="C7" i="9"/>
  <c r="B7" i="9"/>
  <c r="F6" i="9"/>
  <c r="D6" i="9"/>
  <c r="C6" i="9"/>
  <c r="B6" i="9"/>
  <c r="G5" i="9"/>
  <c r="F5" i="9"/>
  <c r="D5" i="9"/>
  <c r="C5" i="9"/>
  <c r="B5" i="9"/>
  <c r="K30" i="8"/>
  <c r="J30" i="8"/>
  <c r="K29" i="8"/>
  <c r="J29" i="8"/>
  <c r="K28" i="8"/>
  <c r="J28" i="8"/>
  <c r="K27" i="8"/>
  <c r="J27" i="8"/>
  <c r="K26" i="8"/>
  <c r="J26" i="8"/>
  <c r="K25" i="8"/>
  <c r="J25" i="8"/>
  <c r="D25" i="8"/>
  <c r="C25" i="8"/>
  <c r="B25" i="8"/>
  <c r="K24" i="8"/>
  <c r="J24" i="8"/>
  <c r="C24" i="8"/>
  <c r="B24" i="8"/>
  <c r="D24" i="8" s="1"/>
  <c r="K23" i="8"/>
  <c r="J23" i="8"/>
  <c r="D23" i="8"/>
  <c r="C23" i="8"/>
  <c r="B23" i="8"/>
  <c r="K22" i="8"/>
  <c r="J22" i="8"/>
  <c r="C22" i="8"/>
  <c r="B22" i="8"/>
  <c r="D22" i="8" s="1"/>
  <c r="K21" i="8"/>
  <c r="J21" i="8"/>
  <c r="C21" i="8"/>
  <c r="B21" i="8"/>
  <c r="K20" i="8"/>
  <c r="J20" i="8"/>
  <c r="C20" i="8"/>
  <c r="B20" i="8"/>
  <c r="K19" i="8"/>
  <c r="J19" i="8"/>
  <c r="D19" i="8"/>
  <c r="C19" i="8"/>
  <c r="B19" i="8"/>
  <c r="N18" i="8"/>
  <c r="K18" i="8"/>
  <c r="J18" i="8"/>
  <c r="C18" i="8"/>
  <c r="B18" i="8"/>
  <c r="N17" i="8"/>
  <c r="K17" i="8"/>
  <c r="J17" i="8"/>
  <c r="D17" i="8"/>
  <c r="C17" i="8"/>
  <c r="B17" i="8"/>
  <c r="N16" i="8"/>
  <c r="K16" i="8"/>
  <c r="J16" i="8"/>
  <c r="G16" i="8"/>
  <c r="C16" i="8"/>
  <c r="B16" i="8"/>
  <c r="D16" i="8" s="1"/>
  <c r="N15" i="8"/>
  <c r="K15" i="8"/>
  <c r="J15" i="8"/>
  <c r="C15" i="8"/>
  <c r="B15" i="8"/>
  <c r="N14" i="8"/>
  <c r="K14" i="8"/>
  <c r="J14" i="8"/>
  <c r="D14" i="8"/>
  <c r="C14" i="8"/>
  <c r="B14" i="8"/>
  <c r="N13" i="8"/>
  <c r="K13" i="8"/>
  <c r="J13" i="8"/>
  <c r="G13" i="8"/>
  <c r="D13" i="8"/>
  <c r="C13" i="8"/>
  <c r="B13" i="8"/>
  <c r="N12" i="8"/>
  <c r="K12" i="8"/>
  <c r="J12" i="8"/>
  <c r="D12" i="8"/>
  <c r="C12" i="8"/>
  <c r="B12" i="8"/>
  <c r="N11" i="8"/>
  <c r="K11" i="8"/>
  <c r="J11" i="8"/>
  <c r="C11" i="8"/>
  <c r="B11" i="8"/>
  <c r="N10" i="8"/>
  <c r="K10" i="8"/>
  <c r="J10" i="8"/>
  <c r="C10" i="8"/>
  <c r="B10" i="8"/>
  <c r="N9" i="8"/>
  <c r="K9" i="8"/>
  <c r="J9" i="8"/>
  <c r="C9" i="8"/>
  <c r="B9" i="8"/>
  <c r="D9" i="8" s="1"/>
  <c r="N8" i="8"/>
  <c r="K8" i="8"/>
  <c r="J8" i="8"/>
  <c r="G8" i="8"/>
  <c r="C8" i="8"/>
  <c r="B8" i="8"/>
  <c r="D8" i="8" s="1"/>
  <c r="N7" i="8"/>
  <c r="K7" i="8"/>
  <c r="J7" i="8"/>
  <c r="F24" i="8"/>
  <c r="F23" i="8"/>
  <c r="F22" i="8"/>
  <c r="F19" i="8"/>
  <c r="F18" i="8"/>
  <c r="F17" i="8"/>
  <c r="F16" i="8"/>
  <c r="F14" i="8"/>
  <c r="F13" i="8"/>
  <c r="F12" i="8"/>
  <c r="G12" i="8" s="1"/>
  <c r="F11" i="8"/>
  <c r="F10" i="8"/>
  <c r="F8" i="8"/>
  <c r="F7" i="8" a="1"/>
  <c r="F7" i="8"/>
  <c r="D7" i="8"/>
  <c r="C7" i="8"/>
  <c r="B7" i="8"/>
  <c r="G7" i="8" s="1"/>
  <c r="D1171" i="6" a="1"/>
  <c r="D1171" i="6"/>
  <c r="G212" i="9" s="1"/>
  <c r="D1170" i="6" a="1"/>
  <c r="D1170" i="6"/>
  <c r="G211" i="9" s="1"/>
  <c r="D1169" i="6" a="1"/>
  <c r="D1169" i="6" s="1"/>
  <c r="G210" i="9" s="1"/>
  <c r="D1168" i="6" a="1"/>
  <c r="D1168" i="6"/>
  <c r="G209" i="9" s="1"/>
  <c r="D1167" i="6" a="1"/>
  <c r="D1167" i="6" s="1"/>
  <c r="G208" i="9" s="1"/>
  <c r="D1166" i="6" a="1"/>
  <c r="D1166" i="6" s="1"/>
  <c r="G207" i="9" s="1"/>
  <c r="D1165" i="6" a="1"/>
  <c r="D1165" i="6"/>
  <c r="G206" i="9" s="1"/>
  <c r="D1164" i="6" a="1"/>
  <c r="D1164" i="6" s="1"/>
  <c r="G205" i="9" s="1"/>
  <c r="D1163" i="6" a="1"/>
  <c r="D1163" i="6" s="1"/>
  <c r="G204" i="9" s="1"/>
  <c r="D1162" i="6" a="1"/>
  <c r="D1162" i="6" s="1"/>
  <c r="G203" i="9" s="1"/>
  <c r="D1161" i="6" a="1"/>
  <c r="D1161" i="6"/>
  <c r="G202" i="9" s="1"/>
  <c r="D1160" i="6" a="1"/>
  <c r="D1160" i="6"/>
  <c r="G201" i="9" s="1"/>
  <c r="D1159" i="6" a="1"/>
  <c r="D1159" i="6"/>
  <c r="G200" i="9" s="1"/>
  <c r="D1158" i="6" a="1"/>
  <c r="D1158" i="6"/>
  <c r="G199" i="9" s="1"/>
  <c r="D1157" i="6" a="1"/>
  <c r="D1157" i="6" s="1"/>
  <c r="G198" i="9" s="1"/>
  <c r="D1156" i="6" a="1"/>
  <c r="D1156" i="6"/>
  <c r="G197" i="9" s="1"/>
  <c r="D1155" i="6" a="1"/>
  <c r="D1155" i="6"/>
  <c r="G196" i="9" s="1"/>
  <c r="D1154" i="6" a="1"/>
  <c r="D1154" i="6" s="1"/>
  <c r="G195" i="9" s="1"/>
  <c r="D1153" i="6" a="1"/>
  <c r="D1153" i="6"/>
  <c r="D1152" i="6" a="1"/>
  <c r="D1152" i="6" s="1"/>
  <c r="D1151" i="6" a="1"/>
  <c r="D1151" i="6" s="1"/>
  <c r="D1150" i="6" a="1"/>
  <c r="D1150" i="6"/>
  <c r="D1149" i="6" a="1"/>
  <c r="D1149" i="6" s="1"/>
  <c r="D1148" i="6" a="1"/>
  <c r="D1148" i="6"/>
  <c r="D1147" i="6" a="1"/>
  <c r="D1147" i="6"/>
  <c r="D1146" i="6" a="1"/>
  <c r="D1146" i="6"/>
  <c r="D1145" i="6" a="1"/>
  <c r="D1145" i="6" s="1"/>
  <c r="D1144" i="6" a="1"/>
  <c r="D1144" i="6" s="1"/>
  <c r="D1143" i="6" a="1"/>
  <c r="D1143" i="6"/>
  <c r="D1142" i="6" a="1"/>
  <c r="D1142" i="6"/>
  <c r="D1141" i="6" a="1"/>
  <c r="D1141" i="6"/>
  <c r="D1140" i="6" a="1"/>
  <c r="D1140" i="6" s="1"/>
  <c r="D1139" i="6" a="1"/>
  <c r="D1139" i="6" s="1"/>
  <c r="D1138" i="6" a="1"/>
  <c r="D1138" i="6"/>
  <c r="D1137" i="6" a="1"/>
  <c r="D1137" i="6"/>
  <c r="D1136" i="6" a="1"/>
  <c r="D1136" i="6" s="1"/>
  <c r="D1135" i="6" a="1"/>
  <c r="D1135" i="6"/>
  <c r="G193" i="9" s="1"/>
  <c r="D1134" i="6" a="1"/>
  <c r="D1134" i="6"/>
  <c r="G192" i="9" s="1"/>
  <c r="D1133" i="6" a="1"/>
  <c r="D1133" i="6" s="1"/>
  <c r="G191" i="9" s="1"/>
  <c r="D1132" i="6" a="1"/>
  <c r="D1132" i="6" s="1"/>
  <c r="G190" i="9" s="1"/>
  <c r="D1131" i="6" a="1"/>
  <c r="D1131" i="6" s="1"/>
  <c r="G189" i="9" s="1"/>
  <c r="D1130" i="6" a="1"/>
  <c r="D1130" i="6"/>
  <c r="G188" i="9" s="1"/>
  <c r="D1129" i="6" a="1"/>
  <c r="D1129" i="6"/>
  <c r="G187" i="9" s="1"/>
  <c r="D1128" i="6" a="1"/>
  <c r="D1128" i="6" s="1"/>
  <c r="G186" i="9" s="1"/>
  <c r="D1127" i="6" a="1"/>
  <c r="D1127" i="6" s="1"/>
  <c r="G185" i="9" s="1"/>
  <c r="D1126" i="6" a="1"/>
  <c r="D1126" i="6"/>
  <c r="G184" i="9" s="1"/>
  <c r="D1125" i="6" a="1"/>
  <c r="D1125" i="6"/>
  <c r="G183" i="9" s="1"/>
  <c r="D1124" i="6" a="1"/>
  <c r="D1124" i="6"/>
  <c r="G182" i="9" s="1"/>
  <c r="D1123" i="6" a="1"/>
  <c r="D1123" i="6"/>
  <c r="G181" i="9" s="1"/>
  <c r="D1122" i="6" a="1"/>
  <c r="D1122" i="6"/>
  <c r="G180" i="9" s="1"/>
  <c r="D1121" i="6" a="1"/>
  <c r="D1121" i="6" s="1"/>
  <c r="G179" i="9" s="1"/>
  <c r="D1120" i="6" a="1"/>
  <c r="D1120" i="6" s="1"/>
  <c r="G178" i="9" s="1"/>
  <c r="D1119" i="6" a="1"/>
  <c r="D1119" i="6" s="1"/>
  <c r="G177" i="9" s="1"/>
  <c r="D1118" i="6" a="1"/>
  <c r="D1118" i="6" s="1"/>
  <c r="G176" i="9" s="1"/>
  <c r="D1117" i="6" a="1"/>
  <c r="D1117" i="6"/>
  <c r="G174" i="9" s="1"/>
  <c r="D1116" i="6" a="1"/>
  <c r="D1116" i="6"/>
  <c r="D1115" i="6" a="1"/>
  <c r="D1115" i="6" s="1"/>
  <c r="G172" i="9" s="1"/>
  <c r="D1114" i="6" a="1"/>
  <c r="D1114" i="6"/>
  <c r="G171" i="9" s="1"/>
  <c r="D1113" i="6" a="1"/>
  <c r="D1113" i="6"/>
  <c r="G170" i="9" s="1"/>
  <c r="D1112" i="6" a="1"/>
  <c r="D1112" i="6"/>
  <c r="G169" i="9" s="1"/>
  <c r="D1111" i="6" a="1"/>
  <c r="D1111" i="6"/>
  <c r="G168" i="9" s="1"/>
  <c r="D1110" i="6" a="1"/>
  <c r="D1110" i="6" s="1"/>
  <c r="G167" i="9" s="1"/>
  <c r="D1109" i="6" a="1"/>
  <c r="D1109" i="6" s="1"/>
  <c r="G166" i="9" s="1"/>
  <c r="D1108" i="6" a="1"/>
  <c r="D1108" i="6" s="1"/>
  <c r="G165" i="9" s="1"/>
  <c r="D1107" i="6" a="1"/>
  <c r="D1107" i="6" s="1"/>
  <c r="G164" i="9" s="1"/>
  <c r="D1106" i="6" a="1"/>
  <c r="D1106" i="6" s="1"/>
  <c r="G163" i="9" s="1"/>
  <c r="D1105" i="6" a="1"/>
  <c r="D1105" i="6"/>
  <c r="G162" i="9" s="1"/>
  <c r="D1104" i="6" a="1"/>
  <c r="D1104" i="6"/>
  <c r="G161" i="9" s="1"/>
  <c r="D1103" i="6" a="1"/>
  <c r="D1103" i="6" s="1"/>
  <c r="D1102" i="6" a="1"/>
  <c r="D1102" i="6"/>
  <c r="G159" i="9" s="1"/>
  <c r="D1101" i="6" a="1"/>
  <c r="D1101" i="6"/>
  <c r="G158" i="9" s="1"/>
  <c r="D1100" i="6" a="1"/>
  <c r="D1100" i="6"/>
  <c r="G157" i="9" s="1"/>
  <c r="D1099" i="6" a="1"/>
  <c r="D1099" i="6"/>
  <c r="G155" i="9" s="1"/>
  <c r="D1098" i="6" a="1"/>
  <c r="D1098" i="6"/>
  <c r="G154" i="9" s="1"/>
  <c r="D1097" i="6" a="1"/>
  <c r="D1097" i="6" s="1"/>
  <c r="G153" i="9" s="1"/>
  <c r="D1096" i="6" a="1"/>
  <c r="D1096" i="6"/>
  <c r="G152" i="9" s="1"/>
  <c r="D1095" i="6" a="1"/>
  <c r="D1095" i="6" s="1"/>
  <c r="G151" i="9" s="1"/>
  <c r="D1094" i="6" a="1"/>
  <c r="D1094" i="6" s="1"/>
  <c r="G150" i="9" s="1"/>
  <c r="D1093" i="6" a="1"/>
  <c r="D1093" i="6"/>
  <c r="G149" i="9" s="1"/>
  <c r="D1092" i="6" a="1"/>
  <c r="D1092" i="6" s="1"/>
  <c r="G148" i="9" s="1"/>
  <c r="D1091" i="6" a="1"/>
  <c r="D1091" i="6" s="1"/>
  <c r="G147" i="9" s="1"/>
  <c r="D1090" i="6" a="1"/>
  <c r="D1090" i="6" s="1"/>
  <c r="G146" i="9" s="1"/>
  <c r="D1089" i="6" a="1"/>
  <c r="D1089" i="6"/>
  <c r="G145" i="9" s="1"/>
  <c r="D1088" i="6" a="1"/>
  <c r="D1088" i="6"/>
  <c r="G144" i="9" s="1"/>
  <c r="D1087" i="6" a="1"/>
  <c r="D1087" i="6"/>
  <c r="G143" i="9" s="1"/>
  <c r="D1086" i="6" a="1"/>
  <c r="D1086" i="6"/>
  <c r="G142" i="9" s="1"/>
  <c r="D1085" i="6" a="1"/>
  <c r="D1085" i="6" s="1"/>
  <c r="G141" i="9" s="1"/>
  <c r="D1084" i="6" a="1"/>
  <c r="D1084" i="6"/>
  <c r="G140" i="9" s="1"/>
  <c r="D1083" i="6" a="1"/>
  <c r="D1083" i="6"/>
  <c r="G139" i="9" s="1"/>
  <c r="D1082" i="6" a="1"/>
  <c r="D1082" i="6" s="1"/>
  <c r="G138" i="9" s="1"/>
  <c r="D1081" i="6" a="1"/>
  <c r="D1081" i="6"/>
  <c r="G136" i="9" s="1"/>
  <c r="D1080" i="6" a="1"/>
  <c r="D1080" i="6" s="1"/>
  <c r="G135" i="9" s="1"/>
  <c r="D1079" i="6" a="1"/>
  <c r="D1079" i="6" s="1"/>
  <c r="G134" i="9" s="1"/>
  <c r="D1078" i="6" a="1"/>
  <c r="D1078" i="6"/>
  <c r="G133" i="9" s="1"/>
  <c r="D1077" i="6" a="1"/>
  <c r="D1077" i="6" s="1"/>
  <c r="G132" i="9" s="1"/>
  <c r="D1076" i="6" a="1"/>
  <c r="D1076" i="6"/>
  <c r="G131" i="9" s="1"/>
  <c r="D1075" i="6" a="1"/>
  <c r="D1075" i="6"/>
  <c r="G130" i="9" s="1"/>
  <c r="D1074" i="6" a="1"/>
  <c r="D1074" i="6"/>
  <c r="G129" i="9" s="1"/>
  <c r="D1073" i="6" a="1"/>
  <c r="D1073" i="6" s="1"/>
  <c r="G128" i="9" s="1"/>
  <c r="D1072" i="6" a="1"/>
  <c r="D1072" i="6" s="1"/>
  <c r="G127" i="9" s="1"/>
  <c r="D1071" i="6" a="1"/>
  <c r="D1071" i="6"/>
  <c r="G126" i="9" s="1"/>
  <c r="D1070" i="6" a="1"/>
  <c r="D1070" i="6"/>
  <c r="G125" i="9" s="1"/>
  <c r="D1069" i="6" a="1"/>
  <c r="D1069" i="6"/>
  <c r="G124" i="9" s="1"/>
  <c r="D1068" i="6" a="1"/>
  <c r="D1068" i="6" s="1"/>
  <c r="G123" i="9" s="1"/>
  <c r="D1067" i="6" a="1"/>
  <c r="D1067" i="6" s="1"/>
  <c r="G122" i="9" s="1"/>
  <c r="D1066" i="6" a="1"/>
  <c r="D1066" i="6"/>
  <c r="G121" i="9" s="1"/>
  <c r="D1065" i="6" a="1"/>
  <c r="D1065" i="6"/>
  <c r="G120" i="9" s="1"/>
  <c r="D1064" i="6" a="1"/>
  <c r="D1064" i="6" s="1"/>
  <c r="G119" i="9" s="1"/>
  <c r="D1063" i="6" a="1"/>
  <c r="D1063" i="6"/>
  <c r="G117" i="9" s="1"/>
  <c r="D1062" i="6" a="1"/>
  <c r="D1062" i="6"/>
  <c r="G116" i="9" s="1"/>
  <c r="D1061" i="6" a="1"/>
  <c r="D1061" i="6" s="1"/>
  <c r="G115" i="9" s="1"/>
  <c r="D1060" i="6" a="1"/>
  <c r="D1060" i="6" s="1"/>
  <c r="G114" i="9" s="1"/>
  <c r="D1059" i="6" a="1"/>
  <c r="D1059" i="6" s="1"/>
  <c r="G113" i="9" s="1"/>
  <c r="D1058" i="6" a="1"/>
  <c r="D1058" i="6"/>
  <c r="G112" i="9" s="1"/>
  <c r="D1057" i="6" a="1"/>
  <c r="D1057" i="6"/>
  <c r="G111" i="9" s="1"/>
  <c r="D1056" i="6" a="1"/>
  <c r="D1056" i="6" s="1"/>
  <c r="G110" i="9" s="1"/>
  <c r="D1055" i="6" a="1"/>
  <c r="D1055" i="6" s="1"/>
  <c r="G109" i="9" s="1"/>
  <c r="D1054" i="6" a="1"/>
  <c r="D1054" i="6"/>
  <c r="G108" i="9" s="1"/>
  <c r="D1053" i="6" a="1"/>
  <c r="D1053" i="6"/>
  <c r="G107" i="9" s="1"/>
  <c r="D1052" i="6" a="1"/>
  <c r="D1052" i="6"/>
  <c r="G106" i="9" s="1"/>
  <c r="D1051" i="6" a="1"/>
  <c r="D1051" i="6"/>
  <c r="G105" i="9" s="1"/>
  <c r="D1050" i="6" a="1"/>
  <c r="D1050" i="6"/>
  <c r="G104" i="9" s="1"/>
  <c r="D1049" i="6" a="1"/>
  <c r="D1049" i="6" s="1"/>
  <c r="G103" i="9" s="1"/>
  <c r="D1048" i="6" a="1"/>
  <c r="D1048" i="6" s="1"/>
  <c r="G102" i="9" s="1"/>
  <c r="D1047" i="6" a="1"/>
  <c r="D1047" i="6" s="1"/>
  <c r="G101" i="9" s="1"/>
  <c r="D1046" i="6" a="1"/>
  <c r="D1046" i="6" s="1"/>
  <c r="G100" i="9" s="1"/>
  <c r="D1045" i="6" a="1"/>
  <c r="D1045" i="6"/>
  <c r="G98" i="9" s="1"/>
  <c r="D1044" i="6" a="1"/>
  <c r="D1044" i="6"/>
  <c r="G97" i="9" s="1"/>
  <c r="D1043" i="6" a="1"/>
  <c r="D1043" i="6" s="1"/>
  <c r="D1042" i="6" a="1"/>
  <c r="D1042" i="6"/>
  <c r="G95" i="9" s="1"/>
  <c r="D1041" i="6" a="1"/>
  <c r="D1041" i="6"/>
  <c r="G94" i="9" s="1"/>
  <c r="D1040" i="6" a="1"/>
  <c r="D1040" i="6"/>
  <c r="G93" i="9" s="1"/>
  <c r="D1039" i="6" a="1"/>
  <c r="D1039" i="6"/>
  <c r="G92" i="9" s="1"/>
  <c r="D1038" i="6" a="1"/>
  <c r="D1038" i="6" s="1"/>
  <c r="G91" i="9" s="1"/>
  <c r="D1037" i="6" a="1"/>
  <c r="D1037" i="6" s="1"/>
  <c r="G90" i="9" s="1"/>
  <c r="D1036" i="6" a="1"/>
  <c r="D1036" i="6" s="1"/>
  <c r="G89" i="9" s="1"/>
  <c r="D1035" i="6" a="1"/>
  <c r="D1035" i="6" s="1"/>
  <c r="G88" i="9" s="1"/>
  <c r="D1034" i="6" a="1"/>
  <c r="D1034" i="6" s="1"/>
  <c r="G87" i="9" s="1"/>
  <c r="D1033" i="6" a="1"/>
  <c r="D1033" i="6"/>
  <c r="G86" i="9" s="1"/>
  <c r="D1032" i="6" a="1"/>
  <c r="D1032" i="6"/>
  <c r="G85" i="9" s="1"/>
  <c r="D1031" i="6" a="1"/>
  <c r="D1031" i="6" s="1"/>
  <c r="G84" i="9" s="1"/>
  <c r="D1030" i="6" a="1"/>
  <c r="D1030" i="6"/>
  <c r="G83" i="9" s="1"/>
  <c r="D1029" i="6" a="1"/>
  <c r="D1029" i="6"/>
  <c r="G82" i="9" s="1"/>
  <c r="D1028" i="6" a="1"/>
  <c r="D1028" i="6"/>
  <c r="G81" i="9" s="1"/>
  <c r="D1027" i="6" a="1"/>
  <c r="D1027" i="6"/>
  <c r="G79" i="9" s="1"/>
  <c r="D1026" i="6" a="1"/>
  <c r="D1026" i="6"/>
  <c r="G78" i="9" s="1"/>
  <c r="D1025" i="6" a="1"/>
  <c r="D1025" i="6" s="1"/>
  <c r="G77" i="9" s="1"/>
  <c r="D1024" i="6" a="1"/>
  <c r="D1024" i="6"/>
  <c r="G76" i="9" s="1"/>
  <c r="D1023" i="6" a="1"/>
  <c r="D1023" i="6" s="1"/>
  <c r="G75" i="9" s="1"/>
  <c r="D1022" i="6" a="1"/>
  <c r="D1022" i="6" s="1"/>
  <c r="G74" i="9" s="1"/>
  <c r="D1021" i="6" a="1"/>
  <c r="D1021" i="6"/>
  <c r="G73" i="9" s="1"/>
  <c r="D1020" i="6" a="1"/>
  <c r="D1020" i="6" s="1"/>
  <c r="G72" i="9" s="1"/>
  <c r="D1019" i="6" a="1"/>
  <c r="D1019" i="6" s="1"/>
  <c r="G71" i="9" s="1"/>
  <c r="D1018" i="6" a="1"/>
  <c r="D1018" i="6" s="1"/>
  <c r="G70" i="9" s="1"/>
  <c r="D1017" i="6" a="1"/>
  <c r="D1017" i="6"/>
  <c r="G69" i="9" s="1"/>
  <c r="D1016" i="6" a="1"/>
  <c r="D1016" i="6"/>
  <c r="G68" i="9" s="1"/>
  <c r="D1015" i="6" a="1"/>
  <c r="D1015" i="6"/>
  <c r="G67" i="9" s="1"/>
  <c r="D1014" i="6" a="1"/>
  <c r="D1014" i="6"/>
  <c r="G66" i="9" s="1"/>
  <c r="D1013" i="6" a="1"/>
  <c r="D1013" i="6" s="1"/>
  <c r="G65" i="9" s="1"/>
  <c r="D1012" i="6" a="1"/>
  <c r="D1012" i="6"/>
  <c r="G64" i="9" s="1"/>
  <c r="D1011" i="6" a="1"/>
  <c r="D1011" i="6"/>
  <c r="D1010" i="6" a="1"/>
  <c r="D1010" i="6" s="1"/>
  <c r="G62" i="9" s="1"/>
  <c r="D1009" i="6" a="1"/>
  <c r="D1009" i="6"/>
  <c r="G60" i="9" s="1"/>
  <c r="D1008" i="6" a="1"/>
  <c r="D1008" i="6" s="1"/>
  <c r="G59" i="9" s="1"/>
  <c r="D1007" i="6" a="1"/>
  <c r="D1007" i="6" s="1"/>
  <c r="G58" i="9" s="1"/>
  <c r="D1006" i="6" a="1"/>
  <c r="D1006" i="6"/>
  <c r="G57" i="9" s="1"/>
  <c r="D1005" i="6" a="1"/>
  <c r="D1005" i="6" s="1"/>
  <c r="G56" i="9" s="1"/>
  <c r="D1004" i="6" a="1"/>
  <c r="D1004" i="6"/>
  <c r="G55" i="9" s="1"/>
  <c r="D1003" i="6" a="1"/>
  <c r="D1003" i="6"/>
  <c r="G54" i="9" s="1"/>
  <c r="D1002" i="6" a="1"/>
  <c r="D1002" i="6"/>
  <c r="G53" i="9" s="1"/>
  <c r="D1001" i="6" a="1"/>
  <c r="D1001" i="6" s="1"/>
  <c r="G52" i="9" s="1"/>
  <c r="D1000" i="6" a="1"/>
  <c r="D1000" i="6" s="1"/>
  <c r="G51" i="9" s="1"/>
  <c r="D999" i="6" a="1"/>
  <c r="D999" i="6"/>
  <c r="G50" i="9" s="1"/>
  <c r="D998" i="6" a="1"/>
  <c r="D998" i="6"/>
  <c r="G49" i="9" s="1"/>
  <c r="D997" i="6" a="1"/>
  <c r="D997" i="6"/>
  <c r="G48" i="9" s="1"/>
  <c r="D996" i="6" a="1"/>
  <c r="D996" i="6" s="1"/>
  <c r="G47" i="9" s="1"/>
  <c r="D995" i="6" a="1"/>
  <c r="D995" i="6" s="1"/>
  <c r="G46" i="9" s="1"/>
  <c r="D994" i="6" a="1"/>
  <c r="D994" i="6"/>
  <c r="G45" i="9" s="1"/>
  <c r="D993" i="6" a="1"/>
  <c r="D993" i="6"/>
  <c r="D992" i="6" a="1"/>
  <c r="D992" i="6" s="1"/>
  <c r="G43" i="9" s="1"/>
  <c r="D991" i="6" a="1"/>
  <c r="D991" i="6"/>
  <c r="G41" i="9" s="1"/>
  <c r="D990" i="6" a="1"/>
  <c r="D990" i="6"/>
  <c r="G40" i="9" s="1"/>
  <c r="D989" i="6" a="1"/>
  <c r="D989" i="6" s="1"/>
  <c r="G39" i="9" s="1"/>
  <c r="D988" i="6" a="1"/>
  <c r="D988" i="6" s="1"/>
  <c r="G38" i="9" s="1"/>
  <c r="D987" i="6" a="1"/>
  <c r="D987" i="6" s="1"/>
  <c r="G37" i="9" s="1"/>
  <c r="D986" i="6" a="1"/>
  <c r="D986" i="6"/>
  <c r="G36" i="9" s="1"/>
  <c r="D985" i="6" a="1"/>
  <c r="D985" i="6"/>
  <c r="G35" i="9" s="1"/>
  <c r="D984" i="6" a="1"/>
  <c r="D984" i="6" s="1"/>
  <c r="G34" i="9" s="1"/>
  <c r="D983" i="6" a="1"/>
  <c r="D983" i="6" s="1"/>
  <c r="G33" i="9" s="1"/>
  <c r="D982" i="6" a="1"/>
  <c r="D982" i="6"/>
  <c r="G32" i="9" s="1"/>
  <c r="D981" i="6" a="1"/>
  <c r="D981" i="6"/>
  <c r="G31" i="9" s="1"/>
  <c r="D980" i="6" a="1"/>
  <c r="D980" i="6"/>
  <c r="G30" i="9" s="1"/>
  <c r="D979" i="6" a="1"/>
  <c r="D979" i="6"/>
  <c r="D978" i="6" a="1"/>
  <c r="D978" i="6"/>
  <c r="D977" i="6" a="1"/>
  <c r="D977" i="6" s="1"/>
  <c r="D976" i="6" a="1"/>
  <c r="D976" i="6" s="1"/>
  <c r="G26" i="9" s="1"/>
  <c r="D975" i="6" a="1"/>
  <c r="D975" i="6" s="1"/>
  <c r="G25" i="9" s="1"/>
  <c r="D974" i="6" a="1"/>
  <c r="D974" i="6" s="1"/>
  <c r="G24" i="9" s="1"/>
  <c r="D973" i="6" a="1"/>
  <c r="D973" i="6"/>
  <c r="G22" i="9" s="1"/>
  <c r="D972" i="6" a="1"/>
  <c r="D972" i="6"/>
  <c r="G21" i="9" s="1"/>
  <c r="D971" i="6" a="1"/>
  <c r="D971" i="6" s="1"/>
  <c r="G20" i="9" s="1"/>
  <c r="D970" i="6" a="1"/>
  <c r="D970" i="6"/>
  <c r="G19" i="9" s="1"/>
  <c r="D969" i="6" a="1"/>
  <c r="D969" i="6"/>
  <c r="G18" i="9" s="1"/>
  <c r="D968" i="6" a="1"/>
  <c r="D968" i="6"/>
  <c r="G17" i="9" s="1"/>
  <c r="D967" i="6" a="1"/>
  <c r="D967" i="6"/>
  <c r="G16" i="9" s="1"/>
  <c r="D966" i="6" a="1"/>
  <c r="D966" i="6" s="1"/>
  <c r="G15" i="9" s="1"/>
  <c r="D965" i="6" a="1"/>
  <c r="D965" i="6" s="1"/>
  <c r="G14" i="9" s="1"/>
  <c r="D964" i="6" a="1"/>
  <c r="D964" i="6" s="1"/>
  <c r="G13" i="9" s="1"/>
  <c r="D963" i="6" a="1"/>
  <c r="D963" i="6" s="1"/>
  <c r="G12" i="9" s="1"/>
  <c r="D962" i="6" a="1"/>
  <c r="D962" i="6" s="1"/>
  <c r="G11" i="9" s="1"/>
  <c r="D961" i="6" a="1"/>
  <c r="D961" i="6" s="1"/>
  <c r="G10" i="9" s="1"/>
  <c r="D960" i="6" a="1"/>
  <c r="D960" i="6"/>
  <c r="G9" i="9" s="1"/>
  <c r="D959" i="6" a="1"/>
  <c r="D959" i="6" s="1"/>
  <c r="D958" i="6" a="1"/>
  <c r="D958" i="6"/>
  <c r="G7" i="9" s="1"/>
  <c r="D957" i="6" a="1"/>
  <c r="D957" i="6"/>
  <c r="G6" i="9" s="1"/>
  <c r="D956" i="6" a="1"/>
  <c r="D956" i="6"/>
  <c r="D955" i="6" a="1"/>
  <c r="D955" i="6"/>
  <c r="D954" i="6" a="1"/>
  <c r="D954" i="6"/>
  <c r="D953" i="6" a="1"/>
  <c r="D953" i="6" s="1"/>
  <c r="D952" i="6" a="1"/>
  <c r="D952" i="6"/>
  <c r="D951" i="6" a="1"/>
  <c r="D951" i="6" s="1"/>
  <c r="D950" i="6" a="1"/>
  <c r="D950" i="6" s="1"/>
  <c r="D949" i="6" a="1"/>
  <c r="D949" i="6" s="1"/>
  <c r="D948" i="6" a="1"/>
  <c r="D948" i="6" s="1"/>
  <c r="G358" i="10" s="1"/>
  <c r="D947" i="6" a="1"/>
  <c r="D947" i="6" s="1"/>
  <c r="G357" i="10" s="1"/>
  <c r="D946" i="6" a="1"/>
  <c r="D946" i="6" s="1"/>
  <c r="D945" i="6" a="1"/>
  <c r="D945" i="6"/>
  <c r="D944" i="6" a="1"/>
  <c r="D944" i="6"/>
  <c r="D943" i="6" a="1"/>
  <c r="D943" i="6"/>
  <c r="G353" i="10" s="1"/>
  <c r="D942" i="6" a="1"/>
  <c r="D942" i="6"/>
  <c r="G352" i="10" s="1"/>
  <c r="D941" i="6" a="1"/>
  <c r="D941" i="6" s="1"/>
  <c r="G351" i="10" s="1"/>
  <c r="D940" i="6" a="1"/>
  <c r="D940" i="6"/>
  <c r="G350" i="10" s="1"/>
  <c r="D939" i="6" a="1"/>
  <c r="D939" i="6"/>
  <c r="G349" i="10" s="1"/>
  <c r="D938" i="6" a="1"/>
  <c r="D938" i="6" s="1"/>
  <c r="D937" i="6" a="1"/>
  <c r="D937" i="6" s="1"/>
  <c r="D936" i="6" a="1"/>
  <c r="D936" i="6" s="1"/>
  <c r="D935" i="6" a="1"/>
  <c r="D935" i="6" s="1"/>
  <c r="D934" i="6" a="1"/>
  <c r="D934" i="6" s="1"/>
  <c r="G344" i="10" s="1"/>
  <c r="D933" i="6" a="1"/>
  <c r="D933" i="6" s="1"/>
  <c r="D932" i="6" a="1"/>
  <c r="D932" i="6"/>
  <c r="D931" i="6" a="1"/>
  <c r="D931" i="6"/>
  <c r="D930" i="6" a="1"/>
  <c r="D930" i="6"/>
  <c r="D929" i="6" a="1"/>
  <c r="D929" i="6" s="1"/>
  <c r="G339" i="10" s="1"/>
  <c r="D928" i="6" a="1"/>
  <c r="D928" i="6" s="1"/>
  <c r="G338" i="10" s="1"/>
  <c r="D927" i="6" a="1"/>
  <c r="D927" i="6"/>
  <c r="D926" i="6" a="1"/>
  <c r="D926" i="6"/>
  <c r="D925" i="6" a="1"/>
  <c r="D925" i="6" s="1"/>
  <c r="D924" i="6" a="1"/>
  <c r="D924" i="6" s="1"/>
  <c r="D923" i="6" a="1"/>
  <c r="D923" i="6" s="1"/>
  <c r="D922" i="6" a="1"/>
  <c r="D922" i="6"/>
  <c r="G332" i="10" s="1"/>
  <c r="D921" i="6" a="1"/>
  <c r="D921" i="6" s="1"/>
  <c r="D920" i="6" a="1"/>
  <c r="D920" i="6" s="1"/>
  <c r="D919" i="6" a="1"/>
  <c r="D919" i="6"/>
  <c r="G329" i="10" s="1"/>
  <c r="D918" i="6" a="1"/>
  <c r="D918" i="6"/>
  <c r="G328" i="10" s="1"/>
  <c r="D917" i="6" a="1"/>
  <c r="D917" i="6" s="1"/>
  <c r="D916" i="6" a="1"/>
  <c r="D916" i="6" s="1"/>
  <c r="D915" i="6" a="1"/>
  <c r="D915" i="6" s="1"/>
  <c r="D914" i="6" a="1"/>
  <c r="D914" i="6"/>
  <c r="D913" i="6" a="1"/>
  <c r="D913" i="6"/>
  <c r="D912" i="6" a="1"/>
  <c r="D912" i="6" s="1"/>
  <c r="D911" i="6" a="1"/>
  <c r="D911" i="6" s="1"/>
  <c r="D910" i="6" a="1"/>
  <c r="D910" i="6"/>
  <c r="G320" i="10" s="1"/>
  <c r="D909" i="6" a="1"/>
  <c r="D909" i="6"/>
  <c r="D908" i="6" a="1"/>
  <c r="D908" i="6" s="1"/>
  <c r="G318" i="10" s="1"/>
  <c r="D907" i="6" a="1"/>
  <c r="D907" i="6" s="1"/>
  <c r="D906" i="6" a="1"/>
  <c r="D906" i="6"/>
  <c r="D905" i="6" a="1"/>
  <c r="D905" i="6" s="1"/>
  <c r="D904" i="6" a="1"/>
  <c r="D904" i="6" s="1"/>
  <c r="D903" i="6" a="1"/>
  <c r="D903" i="6" s="1"/>
  <c r="D902" i="6" a="1"/>
  <c r="D902" i="6" s="1"/>
  <c r="D901" i="6" a="1"/>
  <c r="D901" i="6"/>
  <c r="D900" i="6" a="1"/>
  <c r="D900" i="6"/>
  <c r="D899" i="6" a="1"/>
  <c r="D899" i="6" s="1"/>
  <c r="D898" i="6" a="1"/>
  <c r="D898" i="6"/>
  <c r="G308" i="10" s="1"/>
  <c r="D897" i="6" a="1"/>
  <c r="D897" i="6"/>
  <c r="D896" i="6" a="1"/>
  <c r="D896" i="6"/>
  <c r="D895" i="6" a="1"/>
  <c r="D895" i="6" s="1"/>
  <c r="G305" i="10" s="1"/>
  <c r="D894" i="6" a="1"/>
  <c r="D894" i="6" s="1"/>
  <c r="G304" i="10" s="1"/>
  <c r="D893" i="6" a="1"/>
  <c r="D893" i="6" s="1"/>
  <c r="G303" i="10" s="1"/>
  <c r="D892" i="6" a="1"/>
  <c r="D892" i="6" s="1"/>
  <c r="D891" i="6" a="1"/>
  <c r="D891" i="6" s="1"/>
  <c r="D890" i="6" a="1"/>
  <c r="D890" i="6" s="1"/>
  <c r="D889" i="6" a="1"/>
  <c r="D889" i="6" s="1"/>
  <c r="D888" i="6" a="1"/>
  <c r="D888" i="6"/>
  <c r="D887" i="6" a="1"/>
  <c r="D887" i="6" s="1"/>
  <c r="D886" i="6" a="1"/>
  <c r="D886" i="6"/>
  <c r="D885" i="6" a="1"/>
  <c r="D885" i="6"/>
  <c r="D884" i="6" a="1"/>
  <c r="D884" i="6"/>
  <c r="G294" i="10" s="1"/>
  <c r="D883" i="6" a="1"/>
  <c r="D883" i="6"/>
  <c r="D882" i="6" a="1"/>
  <c r="D882" i="6" s="1"/>
  <c r="D881" i="6" a="1"/>
  <c r="D881" i="6" s="1"/>
  <c r="D880" i="6" a="1"/>
  <c r="D880" i="6"/>
  <c r="G290" i="10" s="1"/>
  <c r="D879" i="6" a="1"/>
  <c r="D879" i="6" s="1"/>
  <c r="D878" i="6" a="1"/>
  <c r="D878" i="6" s="1"/>
  <c r="D877" i="6" a="1"/>
  <c r="D877" i="6" s="1"/>
  <c r="D876" i="6" a="1"/>
  <c r="D876" i="6" s="1"/>
  <c r="D875" i="6" a="1"/>
  <c r="D875" i="6" s="1"/>
  <c r="D874" i="6" a="1"/>
  <c r="D874" i="6" s="1"/>
  <c r="D873" i="6" a="1"/>
  <c r="D873" i="6"/>
  <c r="G283" i="10" s="1"/>
  <c r="D872" i="6" a="1"/>
  <c r="D872" i="6"/>
  <c r="D871" i="6" a="1"/>
  <c r="D871" i="6"/>
  <c r="G281" i="10" s="1"/>
  <c r="D870" i="6" a="1"/>
  <c r="D870" i="6"/>
  <c r="G280" i="10" s="1"/>
  <c r="D869" i="6" a="1"/>
  <c r="D869" i="6" s="1"/>
  <c r="D868" i="6" a="1"/>
  <c r="D868" i="6"/>
  <c r="G278" i="10" s="1"/>
  <c r="D867" i="6" a="1"/>
  <c r="D867" i="6"/>
  <c r="D866" i="6" a="1"/>
  <c r="D866" i="6" s="1"/>
  <c r="D865" i="6" a="1"/>
  <c r="D865" i="6" s="1"/>
  <c r="G275" i="10" s="1"/>
  <c r="D864" i="6" a="1"/>
  <c r="D864" i="6" s="1"/>
  <c r="D863" i="6" a="1"/>
  <c r="D863" i="6" s="1"/>
  <c r="D862" i="6" a="1"/>
  <c r="D862" i="6" s="1"/>
  <c r="D861" i="6" a="1"/>
  <c r="D861" i="6" s="1"/>
  <c r="G271" i="10" s="1"/>
  <c r="D860" i="6" a="1"/>
  <c r="D860" i="6"/>
  <c r="D859" i="6" a="1"/>
  <c r="D859" i="6"/>
  <c r="G269" i="10" s="1"/>
  <c r="D858" i="6" a="1"/>
  <c r="D858" i="6"/>
  <c r="D857" i="6" a="1"/>
  <c r="D857" i="6" s="1"/>
  <c r="D856" i="6" a="1"/>
  <c r="D856" i="6" s="1"/>
  <c r="G266" i="10" s="1"/>
  <c r="D855" i="6" a="1"/>
  <c r="D855" i="6" s="1"/>
  <c r="D854" i="6" a="1"/>
  <c r="D854" i="6"/>
  <c r="D853" i="6" a="1"/>
  <c r="D853" i="6" s="1"/>
  <c r="D852" i="6" a="1"/>
  <c r="D852" i="6" s="1"/>
  <c r="D851" i="6" a="1"/>
  <c r="D851" i="6" s="1"/>
  <c r="D850" i="6" a="1"/>
  <c r="D850" i="6"/>
  <c r="D849" i="6" a="1"/>
  <c r="D849" i="6" s="1"/>
  <c r="D848" i="6" a="1"/>
  <c r="D848" i="6" s="1"/>
  <c r="D847" i="6" a="1"/>
  <c r="D847" i="6"/>
  <c r="D846" i="6" a="1"/>
  <c r="D846" i="6"/>
  <c r="D845" i="6" a="1"/>
  <c r="D845" i="6" s="1"/>
  <c r="D844" i="6" a="1"/>
  <c r="D844" i="6" s="1"/>
  <c r="G254" i="10" s="1"/>
  <c r="D843" i="6" a="1"/>
  <c r="D843" i="6" s="1"/>
  <c r="D842" i="6" a="1"/>
  <c r="D842" i="6"/>
  <c r="D841" i="6" a="1"/>
  <c r="D841" i="6"/>
  <c r="G251" i="10" s="1"/>
  <c r="D840" i="6" a="1"/>
  <c r="D840" i="6" s="1"/>
  <c r="G250" i="10" s="1"/>
  <c r="D839" i="6" a="1"/>
  <c r="D839" i="6" s="1"/>
  <c r="D838" i="6" a="1"/>
  <c r="D838" i="6"/>
  <c r="D837" i="6" a="1"/>
  <c r="D837" i="6"/>
  <c r="D836" i="6" a="1"/>
  <c r="D836" i="6" s="1"/>
  <c r="D835" i="6" a="1"/>
  <c r="D835" i="6" s="1"/>
  <c r="G245" i="10" s="1"/>
  <c r="D834" i="6" a="1"/>
  <c r="D834" i="6"/>
  <c r="D833" i="6" a="1"/>
  <c r="D833" i="6" s="1"/>
  <c r="D832" i="6" a="1"/>
  <c r="D832" i="6" s="1"/>
  <c r="G242" i="10" s="1"/>
  <c r="D831" i="6" a="1"/>
  <c r="D831" i="6" s="1"/>
  <c r="D830" i="6" a="1"/>
  <c r="D830" i="6"/>
  <c r="D829" i="6" a="1"/>
  <c r="D829" i="6"/>
  <c r="G239" i="10" s="1"/>
  <c r="D828" i="6" a="1"/>
  <c r="D828" i="6"/>
  <c r="D827" i="6" a="1"/>
  <c r="D827" i="6" s="1"/>
  <c r="D826" i="6" a="1"/>
  <c r="D826" i="6"/>
  <c r="D825" i="6" a="1"/>
  <c r="D825" i="6"/>
  <c r="D824" i="6" a="1"/>
  <c r="D824" i="6"/>
  <c r="G234" i="10" s="1"/>
  <c r="D823" i="6" a="1"/>
  <c r="D823" i="6" s="1"/>
  <c r="G233" i="10" s="1"/>
  <c r="D822" i="6" a="1"/>
  <c r="D822" i="6" s="1"/>
  <c r="D821" i="6" a="1"/>
  <c r="D821" i="6" s="1"/>
  <c r="G231" i="10" s="1"/>
  <c r="D820" i="6" a="1"/>
  <c r="D820" i="6" s="1"/>
  <c r="D819" i="6" a="1"/>
  <c r="D819" i="6" s="1"/>
  <c r="G229" i="10" s="1"/>
  <c r="D818" i="6" a="1"/>
  <c r="D818" i="6" s="1"/>
  <c r="D817" i="6" a="1"/>
  <c r="D817" i="6" s="1"/>
  <c r="D816" i="6" a="1"/>
  <c r="D816" i="6" s="1"/>
  <c r="D815" i="6" a="1"/>
  <c r="D815" i="6" s="1"/>
  <c r="D814" i="6" a="1"/>
  <c r="D814" i="6"/>
  <c r="G224" i="10" s="1"/>
  <c r="D813" i="6" a="1"/>
  <c r="D813" i="6"/>
  <c r="G223" i="10" s="1"/>
  <c r="D812" i="6" a="1"/>
  <c r="D812" i="6"/>
  <c r="D811" i="6" a="1"/>
  <c r="D811" i="6"/>
  <c r="G221" i="10" s="1"/>
  <c r="D810" i="6" a="1"/>
  <c r="D810" i="6"/>
  <c r="D809" i="6" a="1"/>
  <c r="D809" i="6" s="1"/>
  <c r="G219" i="10" s="1"/>
  <c r="D808" i="6" a="1"/>
  <c r="D808" i="6"/>
  <c r="G218" i="10" s="1"/>
  <c r="D807" i="6" a="1"/>
  <c r="D807" i="6" s="1"/>
  <c r="D806" i="6" a="1"/>
  <c r="D806" i="6" s="1"/>
  <c r="G216" i="10" s="1"/>
  <c r="D805" i="6" a="1"/>
  <c r="D805" i="6" s="1"/>
  <c r="D804" i="6" a="1"/>
  <c r="D804" i="6"/>
  <c r="G214" i="10" s="1"/>
  <c r="D803" i="6" a="1"/>
  <c r="D803" i="6" s="1"/>
  <c r="D802" i="6" a="1"/>
  <c r="D802" i="6" s="1"/>
  <c r="D801" i="6" a="1"/>
  <c r="D801" i="6"/>
  <c r="D800" i="6" a="1"/>
  <c r="D800" i="6"/>
  <c r="D799" i="6" a="1"/>
  <c r="D799" i="6"/>
  <c r="D798" i="6" a="1"/>
  <c r="D798" i="6"/>
  <c r="D797" i="6" a="1"/>
  <c r="D797" i="6" s="1"/>
  <c r="G207" i="10" s="1"/>
  <c r="D796" i="6" a="1"/>
  <c r="D796" i="6"/>
  <c r="G206" i="10" s="1"/>
  <c r="D795" i="6" a="1"/>
  <c r="D795" i="6"/>
  <c r="D794" i="6" a="1"/>
  <c r="D794" i="6" s="1"/>
  <c r="D793" i="6" a="1"/>
  <c r="D793" i="6" s="1"/>
  <c r="D792" i="6" a="1"/>
  <c r="D792" i="6" s="1"/>
  <c r="G202" i="10" s="1"/>
  <c r="D791" i="6" a="1"/>
  <c r="D791" i="6" s="1"/>
  <c r="D790" i="6" a="1"/>
  <c r="D790" i="6"/>
  <c r="D789" i="6" a="1"/>
  <c r="D789" i="6" s="1"/>
  <c r="G199" i="10" s="1"/>
  <c r="D788" i="6" a="1"/>
  <c r="D788" i="6"/>
  <c r="D787" i="6" a="1"/>
  <c r="D787" i="6"/>
  <c r="D786" i="6" a="1"/>
  <c r="D786" i="6"/>
  <c r="D785" i="6" a="1"/>
  <c r="D785" i="6" s="1"/>
  <c r="D784" i="6" a="1"/>
  <c r="D784" i="6"/>
  <c r="G194" i="10" s="1"/>
  <c r="D783" i="6" a="1"/>
  <c r="D783" i="6"/>
  <c r="D782" i="6" a="1"/>
  <c r="D782" i="6"/>
  <c r="D781" i="6" a="1"/>
  <c r="D781" i="6" s="1"/>
  <c r="D780" i="6" a="1"/>
  <c r="D780" i="6" s="1"/>
  <c r="D779" i="6" a="1"/>
  <c r="D779" i="6" s="1"/>
  <c r="D778" i="6" a="1"/>
  <c r="D778" i="6"/>
  <c r="G188" i="10" s="1"/>
  <c r="D777" i="6" a="1"/>
  <c r="D777" i="6"/>
  <c r="D776" i="6" a="1"/>
  <c r="D776" i="6" s="1"/>
  <c r="D775" i="6" a="1"/>
  <c r="D775" i="6"/>
  <c r="G185" i="10" s="1"/>
  <c r="D774" i="6" a="1"/>
  <c r="D774" i="6"/>
  <c r="G184" i="10" s="1"/>
  <c r="D773" i="6" a="1"/>
  <c r="D773" i="6" s="1"/>
  <c r="D772" i="6" a="1"/>
  <c r="D772" i="6" s="1"/>
  <c r="G182" i="10" s="1"/>
  <c r="D771" i="6" a="1"/>
  <c r="D771" i="6" s="1"/>
  <c r="D770" i="6" a="1"/>
  <c r="D770" i="6" s="1"/>
  <c r="D769" i="6" a="1"/>
  <c r="D769" i="6"/>
  <c r="D768" i="6" a="1"/>
  <c r="D768" i="6" s="1"/>
  <c r="G178" i="10" s="1"/>
  <c r="D767" i="6" a="1"/>
  <c r="D767" i="6" s="1"/>
  <c r="D766" i="6" a="1"/>
  <c r="D766" i="6"/>
  <c r="D765" i="6" a="1"/>
  <c r="D765" i="6"/>
  <c r="D764" i="6" a="1"/>
  <c r="D764" i="6" s="1"/>
  <c r="D763" i="6" a="1"/>
  <c r="D763" i="6" s="1"/>
  <c r="D762" i="6" a="1"/>
  <c r="D762" i="6"/>
  <c r="G172" i="10" s="1"/>
  <c r="D761" i="6" a="1"/>
  <c r="D761" i="6" s="1"/>
  <c r="D760" i="6" a="1"/>
  <c r="D760" i="6" s="1"/>
  <c r="G170" i="10" s="1"/>
  <c r="D759" i="6" a="1"/>
  <c r="D759" i="6" s="1"/>
  <c r="D758" i="6" a="1"/>
  <c r="D758" i="6" s="1"/>
  <c r="G168" i="10" s="1"/>
  <c r="D757" i="6" a="1"/>
  <c r="D757" i="6"/>
  <c r="D756" i="6" a="1"/>
  <c r="D756" i="6"/>
  <c r="D755" i="6" a="1"/>
  <c r="D755" i="6" s="1"/>
  <c r="D754" i="6" a="1"/>
  <c r="D754" i="6"/>
  <c r="D753" i="6" a="1"/>
  <c r="D753" i="6"/>
  <c r="G163" i="10" s="1"/>
  <c r="D752" i="6" a="1"/>
  <c r="D752" i="6"/>
  <c r="D751" i="6" a="1"/>
  <c r="D751" i="6"/>
  <c r="D750" i="6" a="1"/>
  <c r="D750" i="6" s="1"/>
  <c r="D749" i="6" a="1"/>
  <c r="D749" i="6" s="1"/>
  <c r="D748" i="6" a="1"/>
  <c r="D748" i="6" s="1"/>
  <c r="G158" i="10" s="1"/>
  <c r="D747" i="6" a="1"/>
  <c r="D747" i="6" s="1"/>
  <c r="D746" i="6" a="1"/>
  <c r="D746" i="6" s="1"/>
  <c r="D745" i="6" a="1"/>
  <c r="D745" i="6"/>
  <c r="G155" i="10" s="1"/>
  <c r="D744" i="6" a="1"/>
  <c r="D744" i="6"/>
  <c r="G154" i="10" s="1"/>
  <c r="D743" i="6" a="1"/>
  <c r="D743" i="6" s="1"/>
  <c r="D742" i="6" a="1"/>
  <c r="D742" i="6"/>
  <c r="D741" i="6" a="1"/>
  <c r="D741" i="6"/>
  <c r="G151" i="10" s="1"/>
  <c r="D740" i="6" a="1"/>
  <c r="D740" i="6"/>
  <c r="D739" i="6" a="1"/>
  <c r="D739" i="6"/>
  <c r="D738" i="6" a="1"/>
  <c r="D738" i="6" s="1"/>
  <c r="D737" i="6" a="1"/>
  <c r="D737" i="6" s="1"/>
  <c r="D736" i="6" a="1"/>
  <c r="D736" i="6"/>
  <c r="G146" i="10" s="1"/>
  <c r="D735" i="6" a="1"/>
  <c r="D735" i="6" s="1"/>
  <c r="D734" i="6" a="1"/>
  <c r="D734" i="6" s="1"/>
  <c r="G144" i="10" s="1"/>
  <c r="D733" i="6" a="1"/>
  <c r="D733" i="6" s="1"/>
  <c r="D732" i="6" a="1"/>
  <c r="D732" i="6"/>
  <c r="D731" i="6" a="1"/>
  <c r="D731" i="6" s="1"/>
  <c r="D730" i="6" a="1"/>
  <c r="D730" i="6" s="1"/>
  <c r="D729" i="6" a="1"/>
  <c r="D729" i="6" s="1"/>
  <c r="D728" i="6" a="1"/>
  <c r="D728" i="6"/>
  <c r="D727" i="6" a="1"/>
  <c r="D727" i="6"/>
  <c r="G137" i="10" s="1"/>
  <c r="D726" i="6" a="1"/>
  <c r="D726" i="6"/>
  <c r="D725" i="6" a="1"/>
  <c r="D725" i="6" s="1"/>
  <c r="G135" i="10" s="1"/>
  <c r="D724" i="6" a="1"/>
  <c r="D724" i="6" s="1"/>
  <c r="D723" i="6" a="1"/>
  <c r="D723" i="6"/>
  <c r="D722" i="6" a="1"/>
  <c r="D722" i="6" s="1"/>
  <c r="D721" i="6" a="1"/>
  <c r="D721" i="6" s="1"/>
  <c r="D720" i="6" a="1"/>
  <c r="D720" i="6" s="1"/>
  <c r="G130" i="10" s="1"/>
  <c r="D719" i="6" a="1"/>
  <c r="D719" i="6" s="1"/>
  <c r="D718" i="6" a="1"/>
  <c r="D718" i="6" s="1"/>
  <c r="D717" i="6" a="1"/>
  <c r="D717" i="6" s="1"/>
  <c r="G127" i="10" s="1"/>
  <c r="D716" i="6" a="1"/>
  <c r="D716" i="6" s="1"/>
  <c r="G126" i="10" s="1"/>
  <c r="D715" i="6" a="1"/>
  <c r="D715" i="6"/>
  <c r="G125" i="10" s="1"/>
  <c r="D714" i="6" a="1"/>
  <c r="D714" i="6"/>
  <c r="D713" i="6" a="1"/>
  <c r="D713" i="6" s="1"/>
  <c r="D712" i="6" a="1"/>
  <c r="D712" i="6"/>
  <c r="D711" i="6" a="1"/>
  <c r="D711" i="6" s="1"/>
  <c r="D710" i="6" a="1"/>
  <c r="D710" i="6"/>
  <c r="D709" i="6" a="1"/>
  <c r="D709" i="6" s="1"/>
  <c r="G119" i="10" s="1"/>
  <c r="D708" i="6" a="1"/>
  <c r="D708" i="6"/>
  <c r="D707" i="6" a="1"/>
  <c r="D707" i="6" s="1"/>
  <c r="D706" i="6" a="1"/>
  <c r="D706" i="6"/>
  <c r="D705" i="6" a="1"/>
  <c r="D705" i="6"/>
  <c r="D704" i="6" a="1"/>
  <c r="D704" i="6" s="1"/>
  <c r="D703" i="6" a="1"/>
  <c r="D703" i="6" s="1"/>
  <c r="G113" i="10" s="1"/>
  <c r="D702" i="6" a="1"/>
  <c r="D702" i="6"/>
  <c r="D701" i="6" a="1"/>
  <c r="D701" i="6" s="1"/>
  <c r="G111" i="10" s="1"/>
  <c r="D700" i="6" a="1"/>
  <c r="D700" i="6" s="1"/>
  <c r="G110" i="10" s="1"/>
  <c r="D699" i="6" a="1"/>
  <c r="D699" i="6"/>
  <c r="G109" i="10" s="1"/>
  <c r="D698" i="6" a="1"/>
  <c r="D698" i="6" s="1"/>
  <c r="G108" i="10" s="1"/>
  <c r="D697" i="6" a="1"/>
  <c r="D697" i="6"/>
  <c r="D696" i="6" a="1"/>
  <c r="D696" i="6" s="1"/>
  <c r="D695" i="6" a="1"/>
  <c r="D695" i="6" s="1"/>
  <c r="D694" i="6" a="1"/>
  <c r="D694" i="6" s="1"/>
  <c r="D693" i="6" a="1"/>
  <c r="D693" i="6"/>
  <c r="D692" i="6" a="1"/>
  <c r="D692" i="6"/>
  <c r="D691" i="6" a="1"/>
  <c r="D691" i="6" s="1"/>
  <c r="G101" i="10" s="1"/>
  <c r="D690" i="6" a="1"/>
  <c r="D690" i="6"/>
  <c r="D689" i="6" a="1"/>
  <c r="D689" i="6" s="1"/>
  <c r="D688" i="6" a="1"/>
  <c r="D688" i="6" s="1"/>
  <c r="D687" i="6" a="1"/>
  <c r="D687" i="6" s="1"/>
  <c r="G97" i="10" s="1"/>
  <c r="D686" i="6" a="1"/>
  <c r="D686" i="6"/>
  <c r="G96" i="10" s="1"/>
  <c r="D685" i="6" a="1"/>
  <c r="D685" i="6"/>
  <c r="G95" i="10" s="1"/>
  <c r="D684" i="6" a="1"/>
  <c r="D684" i="6"/>
  <c r="D683" i="6" a="1"/>
  <c r="D683" i="6" s="1"/>
  <c r="D682" i="6" a="1"/>
  <c r="D682" i="6"/>
  <c r="D681" i="6" a="1"/>
  <c r="D681" i="6"/>
  <c r="D680" i="6" a="1"/>
  <c r="D680" i="6"/>
  <c r="G90" i="10" s="1"/>
  <c r="D679" i="6" a="1"/>
  <c r="D679" i="6" s="1"/>
  <c r="G89" i="10" s="1"/>
  <c r="D678" i="6" a="1"/>
  <c r="D678" i="6" s="1"/>
  <c r="D677" i="6" a="1"/>
  <c r="D677" i="6" s="1"/>
  <c r="D676" i="6" a="1"/>
  <c r="D676" i="6" s="1"/>
  <c r="G86" i="10" s="1"/>
  <c r="D675" i="6" a="1"/>
  <c r="D675" i="6"/>
  <c r="G85" i="10" s="1"/>
  <c r="D674" i="6" a="1"/>
  <c r="D674" i="6" s="1"/>
  <c r="D673" i="6" a="1"/>
  <c r="D673" i="6" s="1"/>
  <c r="D672" i="6" a="1"/>
  <c r="D672" i="6"/>
  <c r="D671" i="6" a="1"/>
  <c r="D671" i="6" s="1"/>
  <c r="D670" i="6" a="1"/>
  <c r="D670" i="6" s="1"/>
  <c r="D669" i="6" a="1"/>
  <c r="D669" i="6"/>
  <c r="D668" i="6" a="1"/>
  <c r="D668" i="6" s="1"/>
  <c r="G78" i="10" s="1"/>
  <c r="D667" i="6" a="1"/>
  <c r="D667" i="6"/>
  <c r="D666" i="6" a="1"/>
  <c r="D666" i="6"/>
  <c r="D665" i="6" a="1"/>
  <c r="D665" i="6" s="1"/>
  <c r="D664" i="6" a="1"/>
  <c r="D664" i="6"/>
  <c r="D663" i="6" a="1"/>
  <c r="D663" i="6" s="1"/>
  <c r="D662" i="6" a="1"/>
  <c r="D662" i="6"/>
  <c r="G72" i="10" s="1"/>
  <c r="D661" i="6" a="1"/>
  <c r="D661" i="6" s="1"/>
  <c r="G71" i="10" s="1"/>
  <c r="D660" i="6" a="1"/>
  <c r="D660" i="6"/>
  <c r="D659" i="6" a="1"/>
  <c r="D659" i="6" s="1"/>
  <c r="D658" i="6" a="1"/>
  <c r="D658" i="6" s="1"/>
  <c r="G68" i="10" s="1"/>
  <c r="D657" i="6" a="1"/>
  <c r="D657" i="6" s="1"/>
  <c r="D656" i="6" a="1"/>
  <c r="D656" i="6"/>
  <c r="D655" i="6" a="1"/>
  <c r="D655" i="6"/>
  <c r="G65" i="10" s="1"/>
  <c r="D654" i="6" a="1"/>
  <c r="D654" i="6" s="1"/>
  <c r="G64" i="10" s="1"/>
  <c r="D653" i="6" a="1"/>
  <c r="D653" i="6" s="1"/>
  <c r="G63" i="10" s="1"/>
  <c r="D652" i="6" a="1"/>
  <c r="D652" i="6" s="1"/>
  <c r="G62" i="10" s="1"/>
  <c r="D651" i="6" a="1"/>
  <c r="D651" i="6"/>
  <c r="D650" i="6" a="1"/>
  <c r="D650" i="6" s="1"/>
  <c r="G60" i="10" s="1"/>
  <c r="D649" i="6" a="1"/>
  <c r="D649" i="6" s="1"/>
  <c r="D648" i="6" a="1"/>
  <c r="D648" i="6"/>
  <c r="G58" i="10" s="1"/>
  <c r="D647" i="6" a="1"/>
  <c r="D647" i="6" s="1"/>
  <c r="D646" i="6" a="1"/>
  <c r="D646" i="6" s="1"/>
  <c r="D645" i="6" a="1"/>
  <c r="D645" i="6" s="1"/>
  <c r="G55" i="10" s="1"/>
  <c r="D644" i="6" a="1"/>
  <c r="D644" i="6"/>
  <c r="G54" i="10" s="1"/>
  <c r="D643" i="6" a="1"/>
  <c r="D643" i="6"/>
  <c r="G53" i="10" s="1"/>
  <c r="D642" i="6" a="1"/>
  <c r="D642" i="6" s="1"/>
  <c r="G52" i="10" s="1"/>
  <c r="D641" i="6" a="1"/>
  <c r="D641" i="6" s="1"/>
  <c r="D640" i="6" a="1"/>
  <c r="D640" i="6"/>
  <c r="D639" i="6" a="1"/>
  <c r="D639" i="6" s="1"/>
  <c r="D638" i="6" a="1"/>
  <c r="D638" i="6"/>
  <c r="G48" i="10" s="1"/>
  <c r="D637" i="6" a="1"/>
  <c r="D637" i="6" s="1"/>
  <c r="G47" i="10" s="1"/>
  <c r="D636" i="6" a="1"/>
  <c r="D636" i="6" s="1"/>
  <c r="D635" i="6" a="1"/>
  <c r="D635" i="6" s="1"/>
  <c r="D634" i="6" a="1"/>
  <c r="D634" i="6"/>
  <c r="D633" i="6" a="1"/>
  <c r="D633" i="6"/>
  <c r="D632" i="6" a="1"/>
  <c r="D632" i="6" s="1"/>
  <c r="D631" i="6" a="1"/>
  <c r="D631" i="6"/>
  <c r="G41" i="10" s="1"/>
  <c r="D630" i="6" a="1"/>
  <c r="D630" i="6"/>
  <c r="D629" i="6" a="1"/>
  <c r="D629" i="6" s="1"/>
  <c r="D628" i="6" a="1"/>
  <c r="D628" i="6"/>
  <c r="D627" i="6" a="1"/>
  <c r="D627" i="6" s="1"/>
  <c r="D626" i="6" a="1"/>
  <c r="D626" i="6"/>
  <c r="D625" i="6" a="1"/>
  <c r="D625" i="6"/>
  <c r="D624" i="6" a="1"/>
  <c r="D624" i="6" s="1"/>
  <c r="D623" i="6" a="1"/>
  <c r="D623" i="6" s="1"/>
  <c r="D622" i="6" a="1"/>
  <c r="D622" i="6"/>
  <c r="D621" i="6" a="1"/>
  <c r="D621" i="6"/>
  <c r="D620" i="6" a="1"/>
  <c r="D620" i="6" s="1"/>
  <c r="G30" i="10" s="1"/>
  <c r="D619" i="6" a="1"/>
  <c r="D619" i="6" s="1"/>
  <c r="D618" i="6" a="1"/>
  <c r="D618" i="6" s="1"/>
  <c r="G28" i="10" s="1"/>
  <c r="D617" i="6" a="1"/>
  <c r="D617" i="6" s="1"/>
  <c r="D616" i="6" a="1"/>
  <c r="D616" i="6" s="1"/>
  <c r="D615" i="6" a="1"/>
  <c r="D615" i="6"/>
  <c r="D614" i="6" a="1"/>
  <c r="D614" i="6"/>
  <c r="G24" i="10" s="1"/>
  <c r="D613" i="6" a="1"/>
  <c r="D613" i="6" s="1"/>
  <c r="D612" i="6" a="1"/>
  <c r="D612" i="6"/>
  <c r="D611" i="6" a="1"/>
  <c r="D611" i="6" s="1"/>
  <c r="D610" i="6" a="1"/>
  <c r="D610" i="6"/>
  <c r="G20" i="10" s="1"/>
  <c r="D609" i="6" a="1"/>
  <c r="D609" i="6"/>
  <c r="D608" i="6" a="1"/>
  <c r="D608" i="6" s="1"/>
  <c r="D607" i="6" a="1"/>
  <c r="D607" i="6" s="1"/>
  <c r="G17" i="10" s="1"/>
  <c r="D606" i="6" a="1"/>
  <c r="D606" i="6" s="1"/>
  <c r="D605" i="6" a="1"/>
  <c r="D605" i="6" s="1"/>
  <c r="D604" i="6" a="1"/>
  <c r="D604" i="6" s="1"/>
  <c r="G14" i="10" s="1"/>
  <c r="D603" i="6" a="1"/>
  <c r="D603" i="6" s="1"/>
  <c r="G13" i="10" s="1"/>
  <c r="D602" i="6" a="1"/>
  <c r="D602" i="6" s="1"/>
  <c r="D601" i="6" a="1"/>
  <c r="D601" i="6"/>
  <c r="D600" i="6" a="1"/>
  <c r="D600" i="6"/>
  <c r="D599" i="6" a="1"/>
  <c r="D599" i="6" s="1"/>
  <c r="D598" i="6" a="1"/>
  <c r="D598" i="6"/>
  <c r="D597" i="6" a="1"/>
  <c r="D597" i="6"/>
  <c r="D596" i="6" a="1"/>
  <c r="D596" i="6"/>
  <c r="G6" i="10" s="1"/>
  <c r="D595" i="6" a="1"/>
  <c r="D595" i="6"/>
  <c r="D594" i="6" a="1"/>
  <c r="D594" i="6" s="1"/>
  <c r="D593" i="6" a="1"/>
  <c r="D593" i="6" s="1"/>
  <c r="D592" i="6" a="1"/>
  <c r="D592" i="6"/>
  <c r="D591" i="6" a="1"/>
  <c r="D591" i="6" s="1"/>
  <c r="D590" i="6" a="1"/>
  <c r="D590" i="6" s="1"/>
  <c r="G18" i="13" s="1"/>
  <c r="D589" i="6" a="1"/>
  <c r="D589" i="6"/>
  <c r="D588" i="6" a="1"/>
  <c r="D588" i="6"/>
  <c r="D587" i="6" a="1"/>
  <c r="D587" i="6" s="1"/>
  <c r="G15" i="13" s="1"/>
  <c r="D586" i="6" a="1"/>
  <c r="D586" i="6" s="1"/>
  <c r="D585" i="6" a="1"/>
  <c r="D585" i="6" s="1"/>
  <c r="D584" i="6" a="1"/>
  <c r="D584" i="6"/>
  <c r="G12" i="13" s="1"/>
  <c r="D583" i="6" a="1"/>
  <c r="D583" i="6" s="1"/>
  <c r="D582" i="6" a="1"/>
  <c r="D582" i="6"/>
  <c r="D581" i="6" a="1"/>
  <c r="D581" i="6" s="1"/>
  <c r="G9" i="13" s="1"/>
  <c r="D580" i="6" a="1"/>
  <c r="D580" i="6"/>
  <c r="D579" i="6" a="1"/>
  <c r="D579" i="6"/>
  <c r="D578" i="6" a="1"/>
  <c r="D578" i="6" s="1"/>
  <c r="G6" i="13" s="1"/>
  <c r="D577" i="6" a="1"/>
  <c r="D577" i="6"/>
  <c r="G293" i="11" s="1"/>
  <c r="D576" i="6" a="1"/>
  <c r="D576" i="6" s="1"/>
  <c r="D575" i="6" a="1"/>
  <c r="D575" i="6" s="1"/>
  <c r="D574" i="6" a="1"/>
  <c r="D574" i="6" s="1"/>
  <c r="D573" i="6" a="1"/>
  <c r="D573" i="6" s="1"/>
  <c r="G289" i="11" s="1"/>
  <c r="D572" i="6" a="1"/>
  <c r="D572" i="6" s="1"/>
  <c r="G288" i="11" s="1"/>
  <c r="D571" i="6" a="1"/>
  <c r="D571" i="6"/>
  <c r="D570" i="6" a="1"/>
  <c r="D570" i="6"/>
  <c r="G286" i="11" s="1"/>
  <c r="D569" i="6" a="1"/>
  <c r="D569" i="6" s="1"/>
  <c r="G285" i="11" s="1"/>
  <c r="D568" i="6" a="1"/>
  <c r="D568" i="6" s="1"/>
  <c r="G284" i="11" s="1"/>
  <c r="D567" i="6" a="1"/>
  <c r="D567" i="6" s="1"/>
  <c r="D566" i="6" a="1"/>
  <c r="D566" i="6"/>
  <c r="G282" i="11" s="1"/>
  <c r="D565" i="6" a="1"/>
  <c r="D565" i="6" s="1"/>
  <c r="G281" i="11" s="1"/>
  <c r="D564" i="6" a="1"/>
  <c r="D564" i="6" s="1"/>
  <c r="G280" i="11" s="1"/>
  <c r="D563" i="6" a="1"/>
  <c r="D563" i="6" s="1"/>
  <c r="D562" i="6" a="1"/>
  <c r="D562" i="6"/>
  <c r="D561" i="6" a="1"/>
  <c r="D561" i="6" s="1"/>
  <c r="D560" i="6" a="1"/>
  <c r="D560" i="6" s="1"/>
  <c r="G276" i="11" s="1"/>
  <c r="D559" i="6" a="1"/>
  <c r="D559" i="6"/>
  <c r="D558" i="6" a="1"/>
  <c r="D558" i="6"/>
  <c r="D557" i="6" a="1"/>
  <c r="D557" i="6" s="1"/>
  <c r="D556" i="6" a="1"/>
  <c r="D556" i="6" s="1"/>
  <c r="D555" i="6" a="1"/>
  <c r="D555" i="6"/>
  <c r="D554" i="6" a="1"/>
  <c r="D554" i="6" s="1"/>
  <c r="D553" i="6" a="1"/>
  <c r="D553" i="6"/>
  <c r="D552" i="6" a="1"/>
  <c r="D552" i="6" s="1"/>
  <c r="D551" i="6" a="1"/>
  <c r="D551" i="6" s="1"/>
  <c r="D550" i="6" a="1"/>
  <c r="D550" i="6"/>
  <c r="D549" i="6" a="1"/>
  <c r="D549" i="6" s="1"/>
  <c r="D548" i="6" a="1"/>
  <c r="D548" i="6"/>
  <c r="D547" i="6" a="1"/>
  <c r="D547" i="6" s="1"/>
  <c r="D546" i="6" a="1"/>
  <c r="D546" i="6"/>
  <c r="D545" i="6" a="1"/>
  <c r="D545" i="6" s="1"/>
  <c r="D544" i="6" a="1"/>
  <c r="D544" i="6"/>
  <c r="D543" i="6" a="1"/>
  <c r="D543" i="6"/>
  <c r="D542" i="6" a="1"/>
  <c r="D542" i="6" s="1"/>
  <c r="D541" i="6" a="1"/>
  <c r="D541" i="6"/>
  <c r="G257" i="11" s="1"/>
  <c r="D540" i="6" a="1"/>
  <c r="D540" i="6"/>
  <c r="G256" i="11" s="1"/>
  <c r="D539" i="6" a="1"/>
  <c r="D539" i="6" s="1"/>
  <c r="D538" i="6" a="1"/>
  <c r="D538" i="6"/>
  <c r="G254" i="11" s="1"/>
  <c r="D537" i="6" a="1"/>
  <c r="D537" i="6" s="1"/>
  <c r="D536" i="6" a="1"/>
  <c r="D536" i="6" s="1"/>
  <c r="D535" i="6" a="1"/>
  <c r="D535" i="6"/>
  <c r="D534" i="6" a="1"/>
  <c r="D534" i="6" s="1"/>
  <c r="G250" i="11" s="1"/>
  <c r="D533" i="6" a="1"/>
  <c r="D533" i="6" s="1"/>
  <c r="D532" i="6" a="1"/>
  <c r="D532" i="6" s="1"/>
  <c r="D531" i="6" a="1"/>
  <c r="D531" i="6" s="1"/>
  <c r="G247" i="11" s="1"/>
  <c r="D530" i="6" a="1"/>
  <c r="D530" i="6"/>
  <c r="G246" i="11" s="1"/>
  <c r="D529" i="6" a="1"/>
  <c r="D529" i="6"/>
  <c r="D528" i="6" a="1"/>
  <c r="D528" i="6" s="1"/>
  <c r="D527" i="6" a="1"/>
  <c r="D527" i="6" s="1"/>
  <c r="D526" i="6" a="1"/>
  <c r="D526" i="6" s="1"/>
  <c r="G242" i="11" s="1"/>
  <c r="D525" i="6" a="1"/>
  <c r="D525" i="6"/>
  <c r="G241" i="11" s="1"/>
  <c r="D524" i="6" a="1"/>
  <c r="D524" i="6"/>
  <c r="D523" i="6" a="1"/>
  <c r="D523" i="6" s="1"/>
  <c r="D522" i="6" a="1"/>
  <c r="D522" i="6" s="1"/>
  <c r="D521" i="6" a="1"/>
  <c r="D521" i="6" s="1"/>
  <c r="G237" i="11" s="1"/>
  <c r="D520" i="6" a="1"/>
  <c r="D520" i="6"/>
  <c r="D519" i="6" a="1"/>
  <c r="D519" i="6" s="1"/>
  <c r="G235" i="11" s="1"/>
  <c r="D518" i="6" a="1"/>
  <c r="D518" i="6"/>
  <c r="D517" i="6" a="1"/>
  <c r="D517" i="6"/>
  <c r="D516" i="6" a="1"/>
  <c r="D516" i="6" s="1"/>
  <c r="G232" i="11" s="1"/>
  <c r="D515" i="6" a="1"/>
  <c r="D515" i="6" s="1"/>
  <c r="G231" i="11" s="1"/>
  <c r="D514" i="6" a="1"/>
  <c r="D514" i="6" s="1"/>
  <c r="G230" i="11" s="1"/>
  <c r="D513" i="6" a="1"/>
  <c r="D513" i="6"/>
  <c r="D512" i="6" a="1"/>
  <c r="D512" i="6"/>
  <c r="D511" i="6" a="1"/>
  <c r="D511" i="6"/>
  <c r="D510" i="6" a="1"/>
  <c r="D510" i="6"/>
  <c r="D509" i="6" a="1"/>
  <c r="D509" i="6" s="1"/>
  <c r="D508" i="6" a="1"/>
  <c r="D508" i="6"/>
  <c r="D507" i="6" a="1"/>
  <c r="D507" i="6"/>
  <c r="G223" i="11" s="1"/>
  <c r="D506" i="6" a="1"/>
  <c r="D506" i="6" s="1"/>
  <c r="D505" i="6" a="1"/>
  <c r="D505" i="6" s="1"/>
  <c r="D504" i="6" a="1"/>
  <c r="D504" i="6"/>
  <c r="D503" i="6" a="1"/>
  <c r="D503" i="6" s="1"/>
  <c r="D502" i="6" a="1"/>
  <c r="D502" i="6"/>
  <c r="G218" i="11" s="1"/>
  <c r="D501" i="6" a="1"/>
  <c r="D501" i="6" s="1"/>
  <c r="D500" i="6" a="1"/>
  <c r="D500" i="6" s="1"/>
  <c r="D499" i="6" a="1"/>
  <c r="D499" i="6"/>
  <c r="D498" i="6" a="1"/>
  <c r="D498" i="6" s="1"/>
  <c r="G214" i="11" s="1"/>
  <c r="D497" i="6" a="1"/>
  <c r="D497" i="6" s="1"/>
  <c r="D496" i="6" a="1"/>
  <c r="D496" i="6" s="1"/>
  <c r="D495" i="6" a="1"/>
  <c r="D495" i="6"/>
  <c r="G211" i="11" s="1"/>
  <c r="D494" i="6" a="1"/>
  <c r="D494" i="6"/>
  <c r="G210" i="11" s="1"/>
  <c r="D493" i="6" a="1"/>
  <c r="D493" i="6" s="1"/>
  <c r="D492" i="6" a="1"/>
  <c r="D492" i="6"/>
  <c r="G208" i="11" s="1"/>
  <c r="D491" i="6" a="1"/>
  <c r="D491" i="6" s="1"/>
  <c r="D490" i="6" a="1"/>
  <c r="D490" i="6" s="1"/>
  <c r="D489" i="6" a="1"/>
  <c r="D489" i="6" s="1"/>
  <c r="D488" i="6" a="1"/>
  <c r="D488" i="6" s="1"/>
  <c r="D487" i="6" a="1"/>
  <c r="D487" i="6" s="1"/>
  <c r="D486" i="6" a="1"/>
  <c r="D486" i="6"/>
  <c r="D485" i="6" a="1"/>
  <c r="D485" i="6" s="1"/>
  <c r="G201" i="11" s="1"/>
  <c r="D484" i="6" a="1"/>
  <c r="D484" i="6"/>
  <c r="D483" i="6" a="1"/>
  <c r="D483" i="6" s="1"/>
  <c r="G199" i="11" s="1"/>
  <c r="D482" i="6" a="1"/>
  <c r="D482" i="6" s="1"/>
  <c r="G198" i="11" s="1"/>
  <c r="D481" i="6" a="1"/>
  <c r="D481" i="6"/>
  <c r="G197" i="11" s="1"/>
  <c r="D480" i="6" a="1"/>
  <c r="D480" i="6" s="1"/>
  <c r="D479" i="6" a="1"/>
  <c r="D479" i="6" s="1"/>
  <c r="D478" i="6" a="1"/>
  <c r="D478" i="6"/>
  <c r="G194" i="11" s="1"/>
  <c r="D477" i="6" a="1"/>
  <c r="D477" i="6"/>
  <c r="G193" i="11" s="1"/>
  <c r="D476" i="6" a="1"/>
  <c r="D476" i="6" s="1"/>
  <c r="D475" i="6" a="1"/>
  <c r="D475" i="6" s="1"/>
  <c r="D474" i="6" a="1"/>
  <c r="D474" i="6"/>
  <c r="G190" i="11" s="1"/>
  <c r="D473" i="6" a="1"/>
  <c r="D473" i="6"/>
  <c r="D472" i="6" a="1"/>
  <c r="D472" i="6" s="1"/>
  <c r="D471" i="6" a="1"/>
  <c r="D471" i="6"/>
  <c r="G187" i="11" s="1"/>
  <c r="D470" i="6" a="1"/>
  <c r="D470" i="6" s="1"/>
  <c r="D469" i="6" a="1"/>
  <c r="D469" i="6" s="1"/>
  <c r="G185" i="11" s="1"/>
  <c r="D468" i="6" a="1"/>
  <c r="D468" i="6" s="1"/>
  <c r="D467" i="6" a="1"/>
  <c r="D467" i="6"/>
  <c r="D466" i="6" a="1"/>
  <c r="D466" i="6"/>
  <c r="G182" i="11" s="1"/>
  <c r="D465" i="6" a="1"/>
  <c r="D465" i="6"/>
  <c r="D464" i="6" a="1"/>
  <c r="D464" i="6"/>
  <c r="D463" i="6" a="1"/>
  <c r="D463" i="6" s="1"/>
  <c r="D462" i="6" a="1"/>
  <c r="D462" i="6"/>
  <c r="D461" i="6" a="1"/>
  <c r="D461" i="6"/>
  <c r="D460" i="6" a="1"/>
  <c r="D460" i="6" s="1"/>
  <c r="G176" i="11" s="1"/>
  <c r="D459" i="6" a="1"/>
  <c r="D459" i="6" s="1"/>
  <c r="D458" i="6" a="1"/>
  <c r="D458" i="6"/>
  <c r="D457" i="6" a="1"/>
  <c r="D457" i="6" s="1"/>
  <c r="D456" i="6" a="1"/>
  <c r="D456" i="6" s="1"/>
  <c r="D455" i="6" a="1"/>
  <c r="D455" i="6"/>
  <c r="D454" i="6" a="1"/>
  <c r="D454" i="6"/>
  <c r="D453" i="6" a="1"/>
  <c r="D453" i="6"/>
  <c r="D452" i="6" a="1"/>
  <c r="D452" i="6"/>
  <c r="D451" i="6" a="1"/>
  <c r="D451" i="6" s="1"/>
  <c r="D450" i="6" a="1"/>
  <c r="D450" i="6" s="1"/>
  <c r="G166" i="11" s="1"/>
  <c r="D449" i="6" a="1"/>
  <c r="D449" i="6"/>
  <c r="D448" i="6" a="1"/>
  <c r="D448" i="6"/>
  <c r="G164" i="11" s="1"/>
  <c r="D447" i="6" a="1"/>
  <c r="D447" i="6" s="1"/>
  <c r="D446" i="6" a="1"/>
  <c r="D446" i="6" s="1"/>
  <c r="D445" i="6" a="1"/>
  <c r="D445" i="6" s="1"/>
  <c r="G161" i="11" s="1"/>
  <c r="D444" i="6" a="1"/>
  <c r="D444" i="6"/>
  <c r="D443" i="6" a="1"/>
  <c r="D443" i="6"/>
  <c r="D442" i="6" a="1"/>
  <c r="D442" i="6" s="1"/>
  <c r="G158" i="11" s="1"/>
  <c r="D441" i="6" a="1"/>
  <c r="D441" i="6"/>
  <c r="D440" i="6" a="1"/>
  <c r="D440" i="6"/>
  <c r="D439" i="6" a="1"/>
  <c r="D439" i="6" s="1"/>
  <c r="D438" i="6" a="1"/>
  <c r="D438" i="6"/>
  <c r="G154" i="11" s="1"/>
  <c r="D437" i="6" a="1"/>
  <c r="D437" i="6"/>
  <c r="D436" i="6" a="1"/>
  <c r="D436" i="6"/>
  <c r="G152" i="11" s="1"/>
  <c r="D435" i="6" a="1"/>
  <c r="D435" i="6"/>
  <c r="G151" i="11" s="1"/>
  <c r="D434" i="6" a="1"/>
  <c r="D434" i="6" s="1"/>
  <c r="G150" i="11" s="1"/>
  <c r="D433" i="6" a="1"/>
  <c r="D433" i="6" s="1"/>
  <c r="G149" i="11" s="1"/>
  <c r="D432" i="6" a="1"/>
  <c r="D432" i="6"/>
  <c r="G148" i="11" s="1"/>
  <c r="D431" i="6" a="1"/>
  <c r="D431" i="6"/>
  <c r="D430" i="6" a="1"/>
  <c r="D430" i="6" s="1"/>
  <c r="D429" i="6" a="1"/>
  <c r="D429" i="6" s="1"/>
  <c r="G145" i="11" s="1"/>
  <c r="D428" i="6" a="1"/>
  <c r="D428" i="6"/>
  <c r="D427" i="6" a="1"/>
  <c r="D427" i="6" s="1"/>
  <c r="D426" i="6" a="1"/>
  <c r="D426" i="6" s="1"/>
  <c r="D425" i="6" a="1"/>
  <c r="D425" i="6"/>
  <c r="D424" i="6" a="1"/>
  <c r="D424" i="6" s="1"/>
  <c r="G140" i="11" s="1"/>
  <c r="D423" i="6" a="1"/>
  <c r="D423" i="6"/>
  <c r="D422" i="6" a="1"/>
  <c r="D422" i="6"/>
  <c r="D421" i="6" a="1"/>
  <c r="D421" i="6" s="1"/>
  <c r="G137" i="11" s="1"/>
  <c r="D420" i="6" a="1"/>
  <c r="D420" i="6"/>
  <c r="G136" i="11" s="1"/>
  <c r="D419" i="6" a="1"/>
  <c r="D419" i="6"/>
  <c r="D418" i="6" a="1"/>
  <c r="D418" i="6"/>
  <c r="D417" i="6" a="1"/>
  <c r="D417" i="6" s="1"/>
  <c r="D416" i="6" a="1"/>
  <c r="D416" i="6" s="1"/>
  <c r="D415" i="6" a="1"/>
  <c r="D415" i="6" s="1"/>
  <c r="D414" i="6" a="1"/>
  <c r="D414" i="6" s="1"/>
  <c r="D413" i="6" a="1"/>
  <c r="D413" i="6"/>
  <c r="G129" i="11" s="1"/>
  <c r="D412" i="6" a="1"/>
  <c r="D412" i="6"/>
  <c r="G128" i="11" s="1"/>
  <c r="D411" i="6" a="1"/>
  <c r="D411" i="6" s="1"/>
  <c r="G127" i="11" s="1"/>
  <c r="D410" i="6" a="1"/>
  <c r="D410" i="6"/>
  <c r="D409" i="6" a="1"/>
  <c r="D409" i="6" s="1"/>
  <c r="D408" i="6" a="1"/>
  <c r="D408" i="6"/>
  <c r="G124" i="11" s="1"/>
  <c r="D407" i="6" a="1"/>
  <c r="D407" i="6"/>
  <c r="D406" i="6" a="1"/>
  <c r="D406" i="6"/>
  <c r="D405" i="6" a="1"/>
  <c r="D405" i="6"/>
  <c r="D404" i="6" a="1"/>
  <c r="D404" i="6" s="1"/>
  <c r="D403" i="6" a="1"/>
  <c r="D403" i="6" s="1"/>
  <c r="D402" i="6" a="1"/>
  <c r="D402" i="6"/>
  <c r="D401" i="6" a="1"/>
  <c r="D401" i="6"/>
  <c r="G117" i="11" s="1"/>
  <c r="D400" i="6" a="1"/>
  <c r="D400" i="6" s="1"/>
  <c r="G116" i="11" s="1"/>
  <c r="D399" i="6" a="1"/>
  <c r="D399" i="6"/>
  <c r="D398" i="6" a="1"/>
  <c r="D398" i="6" s="1"/>
  <c r="D397" i="6" a="1"/>
  <c r="D397" i="6" s="1"/>
  <c r="D396" i="6" a="1"/>
  <c r="D396" i="6" s="1"/>
  <c r="D395" i="6" a="1"/>
  <c r="D395" i="6"/>
  <c r="G111" i="11" s="1"/>
  <c r="D394" i="6" a="1"/>
  <c r="D394" i="6"/>
  <c r="G110" i="11" s="1"/>
  <c r="D393" i="6" a="1"/>
  <c r="D393" i="6"/>
  <c r="D392" i="6" a="1"/>
  <c r="D392" i="6"/>
  <c r="D391" i="6" a="1"/>
  <c r="D391" i="6" s="1"/>
  <c r="G107" i="11" s="1"/>
  <c r="D390" i="6" a="1"/>
  <c r="D390" i="6"/>
  <c r="D389" i="6" a="1"/>
  <c r="D389" i="6"/>
  <c r="D388" i="6" a="1"/>
  <c r="D388" i="6" s="1"/>
  <c r="G104" i="11" s="1"/>
  <c r="D387" i="6" a="1"/>
  <c r="D387" i="6" s="1"/>
  <c r="D386" i="6" a="1"/>
  <c r="D386" i="6"/>
  <c r="D385" i="6" a="1"/>
  <c r="D385" i="6" s="1"/>
  <c r="G101" i="11" s="1"/>
  <c r="D384" i="6" a="1"/>
  <c r="D384" i="6" s="1"/>
  <c r="D383" i="6" a="1"/>
  <c r="D383" i="6" s="1"/>
  <c r="G99" i="11" s="1"/>
  <c r="D382" i="6" a="1"/>
  <c r="D382" i="6"/>
  <c r="G98" i="11" s="1"/>
  <c r="D381" i="6" a="1"/>
  <c r="D381" i="6"/>
  <c r="D380" i="6" a="1"/>
  <c r="D380" i="6"/>
  <c r="D379" i="6" a="1"/>
  <c r="D379" i="6" s="1"/>
  <c r="D378" i="6" a="1"/>
  <c r="D378" i="6" s="1"/>
  <c r="D377" i="6" a="1"/>
  <c r="D377" i="6"/>
  <c r="G93" i="11" s="1"/>
  <c r="D376" i="6" a="1"/>
  <c r="D376" i="6"/>
  <c r="G92" i="11" s="1"/>
  <c r="D375" i="6" a="1"/>
  <c r="D375" i="6" s="1"/>
  <c r="D374" i="6" a="1"/>
  <c r="D374" i="6" s="1"/>
  <c r="D373" i="6" a="1"/>
  <c r="D373" i="6" s="1"/>
  <c r="D372" i="6" a="1"/>
  <c r="D372" i="6"/>
  <c r="G88" i="11" s="1"/>
  <c r="D371" i="6" a="1"/>
  <c r="D371" i="6" s="1"/>
  <c r="D370" i="6" a="1"/>
  <c r="D370" i="6" s="1"/>
  <c r="G86" i="11" s="1"/>
  <c r="D369" i="6" a="1"/>
  <c r="D369" i="6"/>
  <c r="D368" i="6" a="1"/>
  <c r="D368" i="6"/>
  <c r="D367" i="6" a="1"/>
  <c r="D367" i="6" s="1"/>
  <c r="D366" i="6" a="1"/>
  <c r="D366" i="6"/>
  <c r="G82" i="11" s="1"/>
  <c r="D365" i="6" a="1"/>
  <c r="D365" i="6" s="1"/>
  <c r="D364" i="6" a="1"/>
  <c r="D364" i="6"/>
  <c r="G80" i="11" s="1"/>
  <c r="D363" i="6" a="1"/>
  <c r="D363" i="6"/>
  <c r="D362" i="6" a="1"/>
  <c r="D362" i="6" s="1"/>
  <c r="D361" i="6" a="1"/>
  <c r="D361" i="6" s="1"/>
  <c r="D360" i="6" a="1"/>
  <c r="D360" i="6"/>
  <c r="D359" i="6" a="1"/>
  <c r="D359" i="6"/>
  <c r="D358" i="6" a="1"/>
  <c r="D358" i="6" s="1"/>
  <c r="G74" i="11" s="1"/>
  <c r="D357" i="6" a="1"/>
  <c r="D357" i="6" s="1"/>
  <c r="D356" i="6" a="1"/>
  <c r="D356" i="6"/>
  <c r="D355" i="6" a="1"/>
  <c r="D355" i="6" s="1"/>
  <c r="D354" i="6" a="1"/>
  <c r="D354" i="6" s="1"/>
  <c r="D353" i="6" a="1"/>
  <c r="D353" i="6"/>
  <c r="G69" i="11" s="1"/>
  <c r="D352" i="6" a="1"/>
  <c r="D352" i="6" s="1"/>
  <c r="G68" i="11" s="1"/>
  <c r="D351" i="6" a="1"/>
  <c r="D351" i="6"/>
  <c r="G67" i="11" s="1"/>
  <c r="D350" i="6" a="1"/>
  <c r="D350" i="6"/>
  <c r="D349" i="6" a="1"/>
  <c r="D349" i="6" s="1"/>
  <c r="D348" i="6" a="1"/>
  <c r="D348" i="6" s="1"/>
  <c r="D347" i="6" a="1"/>
  <c r="D347" i="6"/>
  <c r="D346" i="6" a="1"/>
  <c r="D346" i="6" s="1"/>
  <c r="D345" i="6" a="1"/>
  <c r="D345" i="6"/>
  <c r="D344" i="6" a="1"/>
  <c r="D344" i="6"/>
  <c r="D343" i="6" a="1"/>
  <c r="D343" i="6" s="1"/>
  <c r="D342" i="6" a="1"/>
  <c r="D342" i="6" s="1"/>
  <c r="D341" i="6" a="1"/>
  <c r="D341" i="6"/>
  <c r="D340" i="6" a="1"/>
  <c r="D340" i="6" s="1"/>
  <c r="G56" i="11" s="1"/>
  <c r="D339" i="6" a="1"/>
  <c r="D339" i="6"/>
  <c r="D338" i="6" a="1"/>
  <c r="D338" i="6"/>
  <c r="D337" i="6" a="1"/>
  <c r="D337" i="6" s="1"/>
  <c r="G53" i="11" s="1"/>
  <c r="D336" i="6" a="1"/>
  <c r="D336" i="6" s="1"/>
  <c r="G52" i="11" s="1"/>
  <c r="D335" i="6" a="1"/>
  <c r="D335" i="6"/>
  <c r="D334" i="6" a="1"/>
  <c r="D334" i="6" s="1"/>
  <c r="D333" i="6" a="1"/>
  <c r="D333" i="6"/>
  <c r="D332" i="6" a="1"/>
  <c r="D332" i="6"/>
  <c r="D331" i="6" a="1"/>
  <c r="D331" i="6" s="1"/>
  <c r="D330" i="6" a="1"/>
  <c r="D330" i="6" s="1"/>
  <c r="G46" i="11" s="1"/>
  <c r="D329" i="6" a="1"/>
  <c r="D329" i="6"/>
  <c r="D328" i="6" a="1"/>
  <c r="D328" i="6" s="1"/>
  <c r="G44" i="11" s="1"/>
  <c r="D327" i="6" a="1"/>
  <c r="D327" i="6"/>
  <c r="G43" i="11" s="1"/>
  <c r="D326" i="6" a="1"/>
  <c r="D326" i="6"/>
  <c r="D325" i="6" a="1"/>
  <c r="D325" i="6" s="1"/>
  <c r="D324" i="6" a="1"/>
  <c r="D324" i="6" s="1"/>
  <c r="G40" i="11" s="1"/>
  <c r="D323" i="6" a="1"/>
  <c r="D323" i="6"/>
  <c r="D322" i="6" a="1"/>
  <c r="D322" i="6" s="1"/>
  <c r="D321" i="6" a="1"/>
  <c r="D321" i="6"/>
  <c r="D320" i="6" a="1"/>
  <c r="D320" i="6"/>
  <c r="D319" i="6" a="1"/>
  <c r="D319" i="6" s="1"/>
  <c r="G35" i="11" s="1"/>
  <c r="D318" i="6" a="1"/>
  <c r="D318" i="6" s="1"/>
  <c r="D317" i="6" a="1"/>
  <c r="D317" i="6"/>
  <c r="D316" i="6" a="1"/>
  <c r="D316" i="6" s="1"/>
  <c r="G32" i="11" s="1"/>
  <c r="D315" i="6" a="1"/>
  <c r="D315" i="6"/>
  <c r="D314" i="6" a="1"/>
  <c r="D314" i="6"/>
  <c r="D313" i="6" a="1"/>
  <c r="D313" i="6" s="1"/>
  <c r="D312" i="6" a="1"/>
  <c r="D312" i="6" s="1"/>
  <c r="D311" i="6" a="1"/>
  <c r="D311" i="6"/>
  <c r="D310" i="6" a="1"/>
  <c r="D310" i="6" s="1"/>
  <c r="D309" i="6" a="1"/>
  <c r="D309" i="6"/>
  <c r="G25" i="11" s="1"/>
  <c r="D308" i="6" a="1"/>
  <c r="D308" i="6"/>
  <c r="D307" i="6" a="1"/>
  <c r="D307" i="6" s="1"/>
  <c r="D306" i="6" a="1"/>
  <c r="D306" i="6" s="1"/>
  <c r="D305" i="6" a="1"/>
  <c r="D305" i="6"/>
  <c r="D304" i="6" a="1"/>
  <c r="D304" i="6" s="1"/>
  <c r="D303" i="6" a="1"/>
  <c r="D303" i="6"/>
  <c r="D302" i="6" a="1"/>
  <c r="D302" i="6"/>
  <c r="D301" i="6" a="1"/>
  <c r="D301" i="6" s="1"/>
  <c r="G17" i="11" s="1"/>
  <c r="D300" i="6" a="1"/>
  <c r="D300" i="6" s="1"/>
  <c r="D299" i="6" a="1"/>
  <c r="D299" i="6"/>
  <c r="D298" i="6" a="1"/>
  <c r="D298" i="6" s="1"/>
  <c r="D297" i="6" a="1"/>
  <c r="D297" i="6"/>
  <c r="D296" i="6" a="1"/>
  <c r="D296" i="6"/>
  <c r="D295" i="6" a="1"/>
  <c r="D295" i="6" s="1"/>
  <c r="D294" i="6" a="1"/>
  <c r="D294" i="6" s="1"/>
  <c r="D293" i="6" a="1"/>
  <c r="D293" i="6"/>
  <c r="D292" i="6" a="1"/>
  <c r="D292" i="6" s="1"/>
  <c r="G8" i="11" s="1"/>
  <c r="D291" i="6" a="1"/>
  <c r="D291" i="6"/>
  <c r="G7" i="11" s="1"/>
  <c r="D290" i="6" a="1"/>
  <c r="D290" i="6"/>
  <c r="D289" i="6" a="1"/>
  <c r="D289" i="6" s="1"/>
  <c r="D288" i="6" a="1"/>
  <c r="D288" i="6" s="1"/>
  <c r="G292" i="12" s="1"/>
  <c r="D287" i="6" a="1"/>
  <c r="D287" i="6"/>
  <c r="D286" i="6" a="1"/>
  <c r="D286" i="6" s="1"/>
  <c r="D285" i="6" a="1"/>
  <c r="D285" i="6"/>
  <c r="D284" i="6" a="1"/>
  <c r="D284" i="6"/>
  <c r="D283" i="6" a="1"/>
  <c r="D283" i="6" s="1"/>
  <c r="D282" i="6" a="1"/>
  <c r="D282" i="6" s="1"/>
  <c r="D281" i="6" a="1"/>
  <c r="D281" i="6"/>
  <c r="D280" i="6" a="1"/>
  <c r="D280" i="6" s="1"/>
  <c r="D279" i="6" a="1"/>
  <c r="D279" i="6"/>
  <c r="D278" i="6" a="1"/>
  <c r="D278" i="6"/>
  <c r="D277" i="6" a="1"/>
  <c r="D277" i="6" s="1"/>
  <c r="D276" i="6" a="1"/>
  <c r="D276" i="6" s="1"/>
  <c r="G280" i="12" s="1"/>
  <c r="D275" i="6" a="1"/>
  <c r="D275" i="6"/>
  <c r="G279" i="12" s="1"/>
  <c r="D274" i="6" a="1"/>
  <c r="D274" i="6" s="1"/>
  <c r="D273" i="6" a="1"/>
  <c r="D273" i="6"/>
  <c r="D272" i="6" a="1"/>
  <c r="D272" i="6"/>
  <c r="D271" i="6" a="1"/>
  <c r="D271" i="6" s="1"/>
  <c r="D270" i="6" a="1"/>
  <c r="D270" i="6" s="1"/>
  <c r="D269" i="6" a="1"/>
  <c r="D269" i="6"/>
  <c r="D268" i="6" a="1"/>
  <c r="D268" i="6" s="1"/>
  <c r="G272" i="12" s="1"/>
  <c r="D267" i="6" a="1"/>
  <c r="D267" i="6"/>
  <c r="D266" i="6" a="1"/>
  <c r="D266" i="6"/>
  <c r="D265" i="6" a="1"/>
  <c r="D265" i="6" s="1"/>
  <c r="G269" i="12" s="1"/>
  <c r="D264" i="6" a="1"/>
  <c r="D264" i="6" s="1"/>
  <c r="G268" i="12" s="1"/>
  <c r="D263" i="6" a="1"/>
  <c r="D263" i="6"/>
  <c r="G267" i="12" s="1"/>
  <c r="D262" i="6" a="1"/>
  <c r="D262" i="6" s="1"/>
  <c r="G266" i="12" s="1"/>
  <c r="D261" i="6" a="1"/>
  <c r="D261" i="6"/>
  <c r="D260" i="6" a="1"/>
  <c r="D260" i="6"/>
  <c r="D259" i="6" a="1"/>
  <c r="D259" i="6" s="1"/>
  <c r="D258" i="6" a="1"/>
  <c r="D258" i="6" s="1"/>
  <c r="D257" i="6" a="1"/>
  <c r="D257" i="6"/>
  <c r="D256" i="6" a="1"/>
  <c r="D256" i="6" s="1"/>
  <c r="G260" i="12" s="1"/>
  <c r="D255" i="6" a="1"/>
  <c r="D255" i="6"/>
  <c r="D254" i="6" a="1"/>
  <c r="D254" i="6"/>
  <c r="G258" i="12" s="1"/>
  <c r="D253" i="6" a="1"/>
  <c r="D253" i="6" s="1"/>
  <c r="G257" i="12" s="1"/>
  <c r="D252" i="6" a="1"/>
  <c r="D252" i="6" s="1"/>
  <c r="D251" i="6" a="1"/>
  <c r="D251" i="6"/>
  <c r="D250" i="6" a="1"/>
  <c r="D250" i="6" s="1"/>
  <c r="D249" i="6" a="1"/>
  <c r="D249" i="6"/>
  <c r="D248" i="6" a="1"/>
  <c r="D248" i="6"/>
  <c r="G252" i="12" s="1"/>
  <c r="D247" i="6" a="1"/>
  <c r="D247" i="6" s="1"/>
  <c r="D246" i="6" a="1"/>
  <c r="D246" i="6" s="1"/>
  <c r="G250" i="12" s="1"/>
  <c r="D245" i="6" a="1"/>
  <c r="D245" i="6"/>
  <c r="D244" i="6" a="1"/>
  <c r="D244" i="6" s="1"/>
  <c r="D243" i="6" a="1"/>
  <c r="D243" i="6"/>
  <c r="D242" i="6" a="1"/>
  <c r="D242" i="6"/>
  <c r="G246" i="12" s="1"/>
  <c r="D241" i="6" a="1"/>
  <c r="D241" i="6" s="1"/>
  <c r="D240" i="6" a="1"/>
  <c r="D240" i="6" s="1"/>
  <c r="D239" i="6" a="1"/>
  <c r="D239" i="6"/>
  <c r="D238" i="6" a="1"/>
  <c r="D238" i="6" s="1"/>
  <c r="D237" i="6" a="1"/>
  <c r="D237" i="6"/>
  <c r="D236" i="6" a="1"/>
  <c r="D236" i="6"/>
  <c r="G240" i="12" s="1"/>
  <c r="D235" i="6" a="1"/>
  <c r="D235" i="6" s="1"/>
  <c r="D234" i="6" a="1"/>
  <c r="D234" i="6" s="1"/>
  <c r="D233" i="6" a="1"/>
  <c r="D233" i="6"/>
  <c r="G237" i="12" s="1"/>
  <c r="D232" i="6" a="1"/>
  <c r="D232" i="6" s="1"/>
  <c r="D231" i="6" a="1"/>
  <c r="D231" i="6"/>
  <c r="D230" i="6" a="1"/>
  <c r="D230" i="6"/>
  <c r="D229" i="6" a="1"/>
  <c r="D229" i="6" s="1"/>
  <c r="D228" i="6" a="1"/>
  <c r="D228" i="6" s="1"/>
  <c r="G232" i="12" s="1"/>
  <c r="D227" i="6" a="1"/>
  <c r="D227" i="6"/>
  <c r="G231" i="12" s="1"/>
  <c r="D226" i="6" a="1"/>
  <c r="D226" i="6" s="1"/>
  <c r="D225" i="6" a="1"/>
  <c r="D225" i="6"/>
  <c r="D224" i="6" a="1"/>
  <c r="D224" i="6"/>
  <c r="D223" i="6" a="1"/>
  <c r="D223" i="6" s="1"/>
  <c r="D222" i="6" a="1"/>
  <c r="D222" i="6" s="1"/>
  <c r="D221" i="6" a="1"/>
  <c r="D221" i="6"/>
  <c r="D220" i="6" a="1"/>
  <c r="D220" i="6" s="1"/>
  <c r="G224" i="12" s="1"/>
  <c r="D219" i="6" a="1"/>
  <c r="D219" i="6"/>
  <c r="D218" i="6" a="1"/>
  <c r="D218" i="6"/>
  <c r="D217" i="6" a="1"/>
  <c r="D217" i="6" s="1"/>
  <c r="G221" i="12" s="1"/>
  <c r="D216" i="6" a="1"/>
  <c r="D216" i="6" s="1"/>
  <c r="G220" i="12" s="1"/>
  <c r="D215" i="6" a="1"/>
  <c r="D215" i="6"/>
  <c r="G219" i="12" s="1"/>
  <c r="D214" i="6" a="1"/>
  <c r="D214" i="6" s="1"/>
  <c r="G218" i="12" s="1"/>
  <c r="D213" i="6" a="1"/>
  <c r="D213" i="6"/>
  <c r="D212" i="6" a="1"/>
  <c r="D212" i="6"/>
  <c r="D211" i="6" a="1"/>
  <c r="D211" i="6" s="1"/>
  <c r="D210" i="6" a="1"/>
  <c r="D210" i="6" s="1"/>
  <c r="G214" i="12" s="1"/>
  <c r="D209" i="6" a="1"/>
  <c r="D209" i="6"/>
  <c r="D208" i="6" a="1"/>
  <c r="D208" i="6" s="1"/>
  <c r="D207" i="6" a="1"/>
  <c r="D207" i="6"/>
  <c r="D206" i="6" a="1"/>
  <c r="D206" i="6"/>
  <c r="G210" i="12" s="1"/>
  <c r="D205" i="6" a="1"/>
  <c r="D205" i="6" s="1"/>
  <c r="G209" i="12" s="1"/>
  <c r="D204" i="6" a="1"/>
  <c r="D204" i="6" s="1"/>
  <c r="D203" i="6" a="1"/>
  <c r="D203" i="6"/>
  <c r="G207" i="12" s="1"/>
  <c r="D202" i="6" a="1"/>
  <c r="D202" i="6" s="1"/>
  <c r="D201" i="6" a="1"/>
  <c r="D201" i="6"/>
  <c r="D200" i="6" a="1"/>
  <c r="D200" i="6"/>
  <c r="G204" i="12" s="1"/>
  <c r="D199" i="6" a="1"/>
  <c r="D199" i="6" s="1"/>
  <c r="D198" i="6" a="1"/>
  <c r="D198" i="6" s="1"/>
  <c r="D197" i="6" a="1"/>
  <c r="D197" i="6"/>
  <c r="G201" i="12" s="1"/>
  <c r="D196" i="6" a="1"/>
  <c r="D196" i="6" s="1"/>
  <c r="D195" i="6" a="1"/>
  <c r="D195" i="6"/>
  <c r="D194" i="6" a="1"/>
  <c r="D194" i="6"/>
  <c r="D193" i="6" a="1"/>
  <c r="D193" i="6" s="1"/>
  <c r="D192" i="6" a="1"/>
  <c r="D192" i="6" s="1"/>
  <c r="D191" i="6" a="1"/>
  <c r="D191" i="6"/>
  <c r="D190" i="6" a="1"/>
  <c r="D190" i="6" s="1"/>
  <c r="D189" i="6" a="1"/>
  <c r="D189" i="6"/>
  <c r="D188" i="6" a="1"/>
  <c r="D188" i="6"/>
  <c r="G192" i="12" s="1"/>
  <c r="D187" i="6" a="1"/>
  <c r="D187" i="6" s="1"/>
  <c r="D186" i="6" a="1"/>
  <c r="D186" i="6" s="1"/>
  <c r="G190" i="12" s="1"/>
  <c r="D185" i="6" a="1"/>
  <c r="D185" i="6"/>
  <c r="G189" i="12" s="1"/>
  <c r="D184" i="6" a="1"/>
  <c r="D184" i="6" s="1"/>
  <c r="D183" i="6" a="1"/>
  <c r="D183" i="6"/>
  <c r="D182" i="6" a="1"/>
  <c r="D182" i="6"/>
  <c r="D181" i="6" a="1"/>
  <c r="D181" i="6" s="1"/>
  <c r="D180" i="6" a="1"/>
  <c r="D180" i="6" s="1"/>
  <c r="G184" i="12" s="1"/>
  <c r="D179" i="6" a="1"/>
  <c r="D179" i="6"/>
  <c r="G183" i="12" s="1"/>
  <c r="D178" i="6" a="1"/>
  <c r="D178" i="6" s="1"/>
  <c r="D177" i="6" a="1"/>
  <c r="D177" i="6"/>
  <c r="D176" i="6" a="1"/>
  <c r="D176" i="6"/>
  <c r="D175" i="6" a="1"/>
  <c r="D175" i="6" s="1"/>
  <c r="D174" i="6" a="1"/>
  <c r="D174" i="6" s="1"/>
  <c r="D173" i="6" a="1"/>
  <c r="D173" i="6"/>
  <c r="G177" i="12" s="1"/>
  <c r="D172" i="6" a="1"/>
  <c r="D172" i="6" s="1"/>
  <c r="D171" i="6" a="1"/>
  <c r="D171" i="6"/>
  <c r="D170" i="6" a="1"/>
  <c r="D170" i="6"/>
  <c r="D169" i="6" a="1"/>
  <c r="D169" i="6" s="1"/>
  <c r="D168" i="6" a="1"/>
  <c r="D168" i="6" s="1"/>
  <c r="G172" i="12" s="1"/>
  <c r="D167" i="6" a="1"/>
  <c r="D167" i="6"/>
  <c r="G171" i="12" s="1"/>
  <c r="D166" i="6" a="1"/>
  <c r="D166" i="6" s="1"/>
  <c r="D165" i="6" a="1"/>
  <c r="D165" i="6"/>
  <c r="D164" i="6" a="1"/>
  <c r="D164" i="6"/>
  <c r="D163" i="6" a="1"/>
  <c r="D163" i="6" s="1"/>
  <c r="D162" i="6" a="1"/>
  <c r="D162" i="6" s="1"/>
  <c r="D161" i="6" a="1"/>
  <c r="D161" i="6"/>
  <c r="D160" i="6" a="1"/>
  <c r="D160" i="6" s="1"/>
  <c r="D159" i="6" a="1"/>
  <c r="D159" i="6"/>
  <c r="D158" i="6" a="1"/>
  <c r="D158" i="6"/>
  <c r="G162" i="12" s="1"/>
  <c r="D157" i="6" a="1"/>
  <c r="D157" i="6" s="1"/>
  <c r="G161" i="12" s="1"/>
  <c r="D156" i="6" a="1"/>
  <c r="D156" i="6" s="1"/>
  <c r="D155" i="6" a="1"/>
  <c r="D155" i="6"/>
  <c r="G159" i="12" s="1"/>
  <c r="D154" i="6" a="1"/>
  <c r="D154" i="6" s="1"/>
  <c r="D153" i="6" a="1"/>
  <c r="D153" i="6"/>
  <c r="D152" i="6" a="1"/>
  <c r="D152" i="6"/>
  <c r="G156" i="12" s="1"/>
  <c r="D151" i="6" a="1"/>
  <c r="D151" i="6" s="1"/>
  <c r="D150" i="6" a="1"/>
  <c r="D150" i="6" s="1"/>
  <c r="G154" i="12" s="1"/>
  <c r="D149" i="6" a="1"/>
  <c r="D149" i="6"/>
  <c r="D148" i="6" a="1"/>
  <c r="D148" i="6" s="1"/>
  <c r="G152" i="12" s="1"/>
  <c r="D147" i="6" a="1"/>
  <c r="D147" i="6"/>
  <c r="D146" i="6" a="1"/>
  <c r="D146" i="6"/>
  <c r="D145" i="6" a="1"/>
  <c r="D145" i="6" s="1"/>
  <c r="G149" i="12" s="1"/>
  <c r="D144" i="6" a="1"/>
  <c r="D144" i="6" s="1"/>
  <c r="G148" i="12" s="1"/>
  <c r="D143" i="6" a="1"/>
  <c r="D143" i="6"/>
  <c r="D142" i="6" a="1"/>
  <c r="D142" i="6" s="1"/>
  <c r="D141" i="6" a="1"/>
  <c r="D141" i="6"/>
  <c r="D140" i="6" a="1"/>
  <c r="D140" i="6"/>
  <c r="G144" i="12" s="1"/>
  <c r="D139" i="6" a="1"/>
  <c r="D139" i="6" s="1"/>
  <c r="D138" i="6" a="1"/>
  <c r="D138" i="6" s="1"/>
  <c r="G142" i="12" s="1"/>
  <c r="D137" i="6" a="1"/>
  <c r="D137" i="6"/>
  <c r="D136" i="6" a="1"/>
  <c r="D136" i="6" s="1"/>
  <c r="D135" i="6" a="1"/>
  <c r="D135" i="6"/>
  <c r="D134" i="6" a="1"/>
  <c r="D134" i="6"/>
  <c r="G138" i="12" s="1"/>
  <c r="D133" i="6" a="1"/>
  <c r="D133" i="6" s="1"/>
  <c r="D132" i="6" a="1"/>
  <c r="D132" i="6" s="1"/>
  <c r="D131" i="6" a="1"/>
  <c r="D131" i="6"/>
  <c r="D130" i="6" a="1"/>
  <c r="D130" i="6" s="1"/>
  <c r="G134" i="12" s="1"/>
  <c r="D129" i="6" a="1"/>
  <c r="D129" i="6"/>
  <c r="D128" i="6" a="1"/>
  <c r="D128" i="6"/>
  <c r="G132" i="12" s="1"/>
  <c r="D127" i="6" a="1"/>
  <c r="D127" i="6" s="1"/>
  <c r="D126" i="6" a="1"/>
  <c r="D126" i="6" s="1"/>
  <c r="D125" i="6" a="1"/>
  <c r="D125" i="6"/>
  <c r="G129" i="12" s="1"/>
  <c r="D124" i="6" a="1"/>
  <c r="D124" i="6" s="1"/>
  <c r="G128" i="12" s="1"/>
  <c r="D123" i="6" a="1"/>
  <c r="D123" i="6"/>
  <c r="D122" i="6" a="1"/>
  <c r="D122" i="6"/>
  <c r="D121" i="6" a="1"/>
  <c r="D121" i="6" s="1"/>
  <c r="D120" i="6" a="1"/>
  <c r="D120" i="6" s="1"/>
  <c r="G124" i="12" s="1"/>
  <c r="D119" i="6" a="1"/>
  <c r="D119" i="6"/>
  <c r="D118" i="6" a="1"/>
  <c r="D118" i="6" s="1"/>
  <c r="D117" i="6" a="1"/>
  <c r="D117" i="6"/>
  <c r="D116" i="6" a="1"/>
  <c r="D116" i="6"/>
  <c r="D115" i="6" a="1"/>
  <c r="D115" i="6" s="1"/>
  <c r="D114" i="6" a="1"/>
  <c r="D114" i="6" s="1"/>
  <c r="G118" i="12" s="1"/>
  <c r="D113" i="6" a="1"/>
  <c r="D113" i="6"/>
  <c r="G117" i="12" s="1"/>
  <c r="D112" i="6" a="1"/>
  <c r="D112" i="6" s="1"/>
  <c r="G116" i="12" s="1"/>
  <c r="D111" i="6" a="1"/>
  <c r="D111" i="6"/>
  <c r="D110" i="6" a="1"/>
  <c r="D110" i="6"/>
  <c r="G114" i="12" s="1"/>
  <c r="D109" i="6" a="1"/>
  <c r="D109" i="6" s="1"/>
  <c r="D108" i="6" a="1"/>
  <c r="D108" i="6" s="1"/>
  <c r="D107" i="6" a="1"/>
  <c r="D107" i="6"/>
  <c r="D106" i="6" a="1"/>
  <c r="D106" i="6" s="1"/>
  <c r="D105" i="6" a="1"/>
  <c r="D105" i="6"/>
  <c r="D104" i="6" a="1"/>
  <c r="D104" i="6"/>
  <c r="D103" i="6" a="1"/>
  <c r="D103" i="6" s="1"/>
  <c r="D102" i="6" a="1"/>
  <c r="D102" i="6" s="1"/>
  <c r="D101" i="6" a="1"/>
  <c r="D101" i="6"/>
  <c r="D100" i="6" a="1"/>
  <c r="D100" i="6" s="1"/>
  <c r="G104" i="12" s="1"/>
  <c r="D99" i="6" a="1"/>
  <c r="D99" i="6"/>
  <c r="D98" i="6" a="1"/>
  <c r="D98" i="6"/>
  <c r="G102" i="12" s="1"/>
  <c r="D97" i="6" a="1"/>
  <c r="D97" i="6" s="1"/>
  <c r="D96" i="6" a="1"/>
  <c r="D96" i="6" s="1"/>
  <c r="D95" i="6" a="1"/>
  <c r="D95" i="6"/>
  <c r="D94" i="6" a="1"/>
  <c r="D94" i="6" s="1"/>
  <c r="D93" i="6" a="1"/>
  <c r="D93" i="6"/>
  <c r="D92" i="6" a="1"/>
  <c r="D92" i="6"/>
  <c r="G96" i="12" s="1"/>
  <c r="D91" i="6" a="1"/>
  <c r="D91" i="6" s="1"/>
  <c r="D90" i="6" a="1"/>
  <c r="D90" i="6" s="1"/>
  <c r="G94" i="12" s="1"/>
  <c r="D89" i="6" a="1"/>
  <c r="D89" i="6"/>
  <c r="D88" i="6" a="1"/>
  <c r="D88" i="6" s="1"/>
  <c r="D87" i="6" a="1"/>
  <c r="D87" i="6"/>
  <c r="D86" i="6" a="1"/>
  <c r="D86" i="6"/>
  <c r="D85" i="6" a="1"/>
  <c r="D85" i="6" s="1"/>
  <c r="D84" i="6" a="1"/>
  <c r="D84" i="6" s="1"/>
  <c r="G88" i="12" s="1"/>
  <c r="D83" i="6" a="1"/>
  <c r="D83" i="6"/>
  <c r="G87" i="12" s="1"/>
  <c r="D82" i="6" a="1"/>
  <c r="D82" i="6" s="1"/>
  <c r="D81" i="6" a="1"/>
  <c r="D81" i="6"/>
  <c r="G85" i="12" s="1"/>
  <c r="D80" i="6" a="1"/>
  <c r="D80" i="6"/>
  <c r="G84" i="12" s="1"/>
  <c r="D79" i="6" a="1"/>
  <c r="D79" i="6" s="1"/>
  <c r="D78" i="6" a="1"/>
  <c r="D78" i="6" s="1"/>
  <c r="D77" i="6" a="1"/>
  <c r="D77" i="6"/>
  <c r="D76" i="6" a="1"/>
  <c r="D76" i="6" s="1"/>
  <c r="D75" i="6" a="1"/>
  <c r="D75" i="6"/>
  <c r="D74" i="6" a="1"/>
  <c r="D74" i="6"/>
  <c r="G78" i="12" s="1"/>
  <c r="D73" i="6" a="1"/>
  <c r="D73" i="6" s="1"/>
  <c r="G77" i="12" s="1"/>
  <c r="D72" i="6" a="1"/>
  <c r="D72" i="6" s="1"/>
  <c r="D71" i="6" a="1"/>
  <c r="D71" i="6"/>
  <c r="D70" i="6" a="1"/>
  <c r="D70" i="6" s="1"/>
  <c r="D69" i="6" a="1"/>
  <c r="D69" i="6"/>
  <c r="D68" i="6" a="1"/>
  <c r="D68" i="6"/>
  <c r="D67" i="6" a="1"/>
  <c r="D67" i="6" s="1"/>
  <c r="D66" i="6" a="1"/>
  <c r="D66" i="6" s="1"/>
  <c r="G70" i="12" s="1"/>
  <c r="D65" i="6" a="1"/>
  <c r="D65" i="6"/>
  <c r="G69" i="12" s="1"/>
  <c r="D64" i="6" a="1"/>
  <c r="D64" i="6" s="1"/>
  <c r="G68" i="12" s="1"/>
  <c r="D63" i="6" a="1"/>
  <c r="D63" i="6"/>
  <c r="D62" i="6" a="1"/>
  <c r="D62" i="6"/>
  <c r="G66" i="12" s="1"/>
  <c r="D61" i="6" a="1"/>
  <c r="D61" i="6" s="1"/>
  <c r="G65" i="12" s="1"/>
  <c r="D60" i="6" a="1"/>
  <c r="D60" i="6" s="1"/>
  <c r="G64" i="12" s="1"/>
  <c r="D59" i="6" a="1"/>
  <c r="D59" i="6"/>
  <c r="D58" i="6" a="1"/>
  <c r="D58" i="6" s="1"/>
  <c r="D57" i="6" a="1"/>
  <c r="D57" i="6"/>
  <c r="D56" i="6" a="1"/>
  <c r="D56" i="6"/>
  <c r="G60" i="12" s="1"/>
  <c r="D55" i="6" a="1"/>
  <c r="D55" i="6" s="1"/>
  <c r="D54" i="6" a="1"/>
  <c r="D54" i="6" s="1"/>
  <c r="D53" i="6" a="1"/>
  <c r="D53" i="6"/>
  <c r="G57" i="12" s="1"/>
  <c r="D52" i="6" a="1"/>
  <c r="D52" i="6" s="1"/>
  <c r="D51" i="6" a="1"/>
  <c r="D51" i="6"/>
  <c r="D50" i="6" a="1"/>
  <c r="D50" i="6"/>
  <c r="D49" i="6" a="1"/>
  <c r="D49" i="6" s="1"/>
  <c r="D48" i="6" a="1"/>
  <c r="D48" i="6" s="1"/>
  <c r="G52" i="12" s="1"/>
  <c r="D47" i="6" a="1"/>
  <c r="D47" i="6"/>
  <c r="D46" i="6" a="1"/>
  <c r="D46" i="6" s="1"/>
  <c r="D45" i="6" a="1"/>
  <c r="D45" i="6"/>
  <c r="G49" i="12" s="1"/>
  <c r="D44" i="6" a="1"/>
  <c r="D44" i="6"/>
  <c r="G48" i="12" s="1"/>
  <c r="D43" i="6" a="1"/>
  <c r="D43" i="6" s="1"/>
  <c r="D42" i="6" a="1"/>
  <c r="D42" i="6" s="1"/>
  <c r="G46" i="12" s="1"/>
  <c r="D41" i="6" a="1"/>
  <c r="D41" i="6"/>
  <c r="G45" i="12" s="1"/>
  <c r="D40" i="6" a="1"/>
  <c r="D40" i="6" s="1"/>
  <c r="D39" i="6" a="1"/>
  <c r="D39" i="6"/>
  <c r="D38" i="6" a="1"/>
  <c r="D38" i="6"/>
  <c r="G42" i="12" s="1"/>
  <c r="D37" i="6" a="1"/>
  <c r="D37" i="6" s="1"/>
  <c r="D36" i="6" a="1"/>
  <c r="D36" i="6" s="1"/>
  <c r="G40" i="12" s="1"/>
  <c r="D35" i="6" a="1"/>
  <c r="D35" i="6"/>
  <c r="G39" i="12" s="1"/>
  <c r="D34" i="6" a="1"/>
  <c r="D34" i="6" s="1"/>
  <c r="G38" i="12" s="1"/>
  <c r="D33" i="6" a="1"/>
  <c r="D33" i="6"/>
  <c r="G37" i="12" s="1"/>
  <c r="D32" i="6" a="1"/>
  <c r="D32" i="6"/>
  <c r="G36" i="12" s="1"/>
  <c r="D31" i="6" a="1"/>
  <c r="D31" i="6" s="1"/>
  <c r="D30" i="6" a="1"/>
  <c r="D30" i="6" s="1"/>
  <c r="D29" i="6" a="1"/>
  <c r="D29" i="6"/>
  <c r="D28" i="6" a="1"/>
  <c r="D28" i="6" s="1"/>
  <c r="G32" i="12" s="1"/>
  <c r="D27" i="6" a="1"/>
  <c r="D27" i="6"/>
  <c r="D26" i="6" a="1"/>
  <c r="D26" i="6"/>
  <c r="D25" i="6" a="1"/>
  <c r="D25" i="6" s="1"/>
  <c r="D24" i="6" a="1"/>
  <c r="D24" i="6" s="1"/>
  <c r="G28" i="12" s="1"/>
  <c r="D23" i="6" a="1"/>
  <c r="D23" i="6"/>
  <c r="D22" i="6" a="1"/>
  <c r="D22" i="6" s="1"/>
  <c r="D21" i="6" a="1"/>
  <c r="D21" i="6"/>
  <c r="D20" i="6" a="1"/>
  <c r="D20" i="6"/>
  <c r="D19" i="6" a="1"/>
  <c r="D19" i="6" s="1"/>
  <c r="D18" i="6" a="1"/>
  <c r="D18" i="6" s="1"/>
  <c r="D17" i="6" a="1"/>
  <c r="D17" i="6"/>
  <c r="D16" i="6" a="1"/>
  <c r="D16" i="6" s="1"/>
  <c r="D15" i="6" a="1"/>
  <c r="D15" i="6"/>
  <c r="D14" i="6" a="1"/>
  <c r="D14" i="6"/>
  <c r="D13" i="6" a="1"/>
  <c r="D13" i="6" s="1"/>
  <c r="G17" i="12" s="1"/>
  <c r="D12" i="6" a="1"/>
  <c r="D12" i="6" s="1"/>
  <c r="G16" i="12" s="1"/>
  <c r="D11" i="6" a="1"/>
  <c r="D11" i="6"/>
  <c r="G15" i="12" s="1"/>
  <c r="D10" i="6" a="1"/>
  <c r="D10" i="6" s="1"/>
  <c r="G14" i="12" s="1"/>
  <c r="D9" i="6" a="1"/>
  <c r="D9" i="6"/>
  <c r="D8" i="6" a="1"/>
  <c r="D8" i="6"/>
  <c r="G12" i="12" s="1"/>
  <c r="D7" i="6" a="1"/>
  <c r="D7" i="6" s="1"/>
  <c r="D6" i="6" a="1"/>
  <c r="D6" i="6" s="1"/>
  <c r="D5" i="6" a="1"/>
  <c r="D5" i="6"/>
  <c r="G9" i="12" s="1"/>
  <c r="D4" i="6" a="1"/>
  <c r="D4" i="6" s="1"/>
  <c r="G8" i="12" s="1"/>
  <c r="D3" i="6" a="1"/>
  <c r="D3" i="6"/>
  <c r="D2" i="6" a="1"/>
  <c r="D2" i="6"/>
  <c r="B118" i="9" l="1"/>
  <c r="C117" i="9"/>
  <c r="C118" i="9" s="1"/>
  <c r="G23" i="8"/>
  <c r="D20" i="8"/>
  <c r="B213" i="9"/>
  <c r="C212" i="9"/>
  <c r="C213" i="9" s="1"/>
  <c r="G12" i="10"/>
  <c r="G289" i="10"/>
  <c r="G18" i="8"/>
  <c r="D18" i="8"/>
  <c r="D25" i="10"/>
  <c r="C25" i="10"/>
  <c r="G25" i="10"/>
  <c r="G56" i="10"/>
  <c r="C56" i="10"/>
  <c r="D56" i="10"/>
  <c r="G157" i="10"/>
  <c r="G14" i="8"/>
  <c r="G26" i="10"/>
  <c r="D26" i="10"/>
  <c r="C26" i="10"/>
  <c r="G100" i="10"/>
  <c r="G19" i="8"/>
  <c r="G24" i="8"/>
  <c r="G45" i="10"/>
  <c r="C45" i="10"/>
  <c r="D45" i="10"/>
  <c r="D15" i="10"/>
  <c r="G15" i="10"/>
  <c r="C15" i="10"/>
  <c r="C96" i="10"/>
  <c r="D96" i="10"/>
  <c r="G121" i="10"/>
  <c r="D121" i="10"/>
  <c r="C121" i="10"/>
  <c r="G140" i="10"/>
  <c r="G205" i="10"/>
  <c r="G59" i="11"/>
  <c r="B42" i="9"/>
  <c r="G7" i="10"/>
  <c r="G44" i="10"/>
  <c r="G77" i="10"/>
  <c r="G197" i="10"/>
  <c r="G225" i="10"/>
  <c r="D225" i="10"/>
  <c r="C225" i="10"/>
  <c r="G22" i="8"/>
  <c r="G29" i="10"/>
  <c r="G67" i="10"/>
  <c r="G11" i="8"/>
  <c r="D19" i="10"/>
  <c r="G19" i="10"/>
  <c r="C19" i="10"/>
  <c r="C34" i="10"/>
  <c r="D34" i="10"/>
  <c r="D38" i="10"/>
  <c r="C38" i="10"/>
  <c r="G38" i="10"/>
  <c r="G49" i="10"/>
  <c r="G93" i="10"/>
  <c r="D93" i="10"/>
  <c r="C93" i="10"/>
  <c r="G138" i="10"/>
  <c r="C138" i="10"/>
  <c r="G198" i="10"/>
  <c r="G27" i="10"/>
  <c r="C27" i="10"/>
  <c r="G46" i="10"/>
  <c r="D46" i="10"/>
  <c r="C46" i="10"/>
  <c r="G61" i="10"/>
  <c r="C61" i="10"/>
  <c r="G75" i="10"/>
  <c r="D86" i="10"/>
  <c r="C86" i="10"/>
  <c r="G98" i="10"/>
  <c r="G166" i="10"/>
  <c r="G183" i="10"/>
  <c r="G186" i="10"/>
  <c r="G274" i="10"/>
  <c r="D11" i="8"/>
  <c r="C23" i="10"/>
  <c r="D27" i="10"/>
  <c r="G34" i="10"/>
  <c r="D61" i="10"/>
  <c r="G195" i="10"/>
  <c r="D195" i="10"/>
  <c r="C195" i="10"/>
  <c r="G253" i="10"/>
  <c r="G265" i="10"/>
  <c r="G16" i="10"/>
  <c r="D35" i="10"/>
  <c r="C35" i="10"/>
  <c r="D42" i="10"/>
  <c r="C42" i="10"/>
  <c r="G42" i="10"/>
  <c r="C102" i="10"/>
  <c r="G102" i="10"/>
  <c r="D102" i="10"/>
  <c r="G107" i="10"/>
  <c r="G131" i="10"/>
  <c r="G167" i="10"/>
  <c r="D171" i="10"/>
  <c r="G171" i="10"/>
  <c r="C171" i="10"/>
  <c r="G191" i="10"/>
  <c r="G17" i="8"/>
  <c r="G23" i="10"/>
  <c r="G51" i="10"/>
  <c r="D51" i="10"/>
  <c r="G115" i="10"/>
  <c r="G227" i="10"/>
  <c r="D15" i="8"/>
  <c r="D21" i="8"/>
  <c r="G10" i="10"/>
  <c r="C10" i="10"/>
  <c r="G35" i="10"/>
  <c r="G39" i="10"/>
  <c r="C51" i="10"/>
  <c r="D73" i="10"/>
  <c r="C73" i="10"/>
  <c r="G73" i="10"/>
  <c r="G76" i="10"/>
  <c r="D103" i="10"/>
  <c r="G103" i="10"/>
  <c r="C103" i="10"/>
  <c r="G267" i="10"/>
  <c r="D267" i="10"/>
  <c r="C267" i="10"/>
  <c r="G32" i="10"/>
  <c r="C32" i="10"/>
  <c r="G87" i="10"/>
  <c r="G124" i="10"/>
  <c r="G143" i="10"/>
  <c r="G148" i="10"/>
  <c r="G159" i="10"/>
  <c r="G164" i="10"/>
  <c r="G237" i="10"/>
  <c r="D237" i="10"/>
  <c r="C237" i="10"/>
  <c r="D10" i="8"/>
  <c r="G10" i="8"/>
  <c r="D32" i="10"/>
  <c r="C74" i="10"/>
  <c r="G74" i="10"/>
  <c r="D91" i="10"/>
  <c r="G91" i="10"/>
  <c r="C91" i="10"/>
  <c r="D112" i="10"/>
  <c r="C112" i="10"/>
  <c r="G112" i="10"/>
  <c r="G116" i="10"/>
  <c r="G136" i="10"/>
  <c r="G176" i="10"/>
  <c r="G259" i="10"/>
  <c r="G106" i="10"/>
  <c r="G122" i="10"/>
  <c r="G142" i="10"/>
  <c r="D142" i="10"/>
  <c r="D145" i="10"/>
  <c r="G145" i="10"/>
  <c r="C145" i="10"/>
  <c r="G152" i="10"/>
  <c r="G252" i="10"/>
  <c r="D256" i="10"/>
  <c r="G256" i="10"/>
  <c r="D302" i="10"/>
  <c r="G302" i="10"/>
  <c r="D322" i="10"/>
  <c r="C322" i="10"/>
  <c r="C326" i="10"/>
  <c r="G326" i="10"/>
  <c r="D326" i="10"/>
  <c r="G340" i="10"/>
  <c r="G347" i="10"/>
  <c r="G22" i="10"/>
  <c r="D43" i="10"/>
  <c r="C43" i="10"/>
  <c r="G50" i="10"/>
  <c r="C84" i="10"/>
  <c r="G84" i="10"/>
  <c r="D107" i="10"/>
  <c r="C107" i="10"/>
  <c r="C123" i="10"/>
  <c r="G123" i="10"/>
  <c r="D126" i="10"/>
  <c r="C126" i="10"/>
  <c r="G133" i="10"/>
  <c r="D139" i="10"/>
  <c r="G139" i="10"/>
  <c r="G161" i="10"/>
  <c r="G165" i="10"/>
  <c r="D165" i="10"/>
  <c r="G222" i="10"/>
  <c r="G241" i="10"/>
  <c r="G249" i="10"/>
  <c r="C249" i="10"/>
  <c r="G268" i="10"/>
  <c r="D268" i="10"/>
  <c r="G293" i="10"/>
  <c r="C302" i="10"/>
  <c r="D314" i="10"/>
  <c r="C314" i="10"/>
  <c r="G314" i="10"/>
  <c r="G348" i="10"/>
  <c r="D348" i="10"/>
  <c r="C348" i="10"/>
  <c r="G59" i="10"/>
  <c r="G69" i="10"/>
  <c r="D69" i="10"/>
  <c r="G80" i="10"/>
  <c r="G94" i="10"/>
  <c r="D94" i="10"/>
  <c r="C94" i="10"/>
  <c r="G162" i="10"/>
  <c r="C179" i="10"/>
  <c r="G179" i="10"/>
  <c r="G189" i="10"/>
  <c r="C189" i="10"/>
  <c r="G196" i="10"/>
  <c r="D196" i="10"/>
  <c r="C196" i="10"/>
  <c r="G209" i="10"/>
  <c r="C230" i="10"/>
  <c r="G230" i="10"/>
  <c r="G238" i="10"/>
  <c r="C238" i="10"/>
  <c r="D249" i="10"/>
  <c r="C268" i="10"/>
  <c r="G272" i="10"/>
  <c r="D272" i="10"/>
  <c r="C272" i="10"/>
  <c r="D298" i="10"/>
  <c r="G298" i="10"/>
  <c r="C298" i="10"/>
  <c r="G306" i="10"/>
  <c r="G319" i="10"/>
  <c r="D319" i="10"/>
  <c r="C319" i="10"/>
  <c r="G322" i="10"/>
  <c r="D11" i="10"/>
  <c r="G11" i="10"/>
  <c r="D22" i="10"/>
  <c r="D31" i="10"/>
  <c r="G31" i="10"/>
  <c r="G40" i="10"/>
  <c r="G43" i="10"/>
  <c r="D50" i="10"/>
  <c r="C63" i="10"/>
  <c r="G66" i="10"/>
  <c r="C69" i="10"/>
  <c r="G104" i="10"/>
  <c r="D104" i="10"/>
  <c r="D130" i="10"/>
  <c r="C146" i="10"/>
  <c r="C162" i="10"/>
  <c r="D179" i="10"/>
  <c r="D189" i="10"/>
  <c r="G200" i="10"/>
  <c r="C200" i="10"/>
  <c r="C217" i="10"/>
  <c r="G217" i="10"/>
  <c r="G220" i="10"/>
  <c r="D220" i="10"/>
  <c r="C220" i="10"/>
  <c r="G264" i="10"/>
  <c r="G282" i="10"/>
  <c r="D310" i="10"/>
  <c r="G310" i="10"/>
  <c r="D331" i="10"/>
  <c r="C331" i="10"/>
  <c r="G331" i="10"/>
  <c r="G334" i="10"/>
  <c r="D349" i="10"/>
  <c r="C349" i="10"/>
  <c r="G103" i="11"/>
  <c r="C11" i="10"/>
  <c r="C31" i="10"/>
  <c r="G37" i="10"/>
  <c r="C66" i="10"/>
  <c r="C88" i="10"/>
  <c r="G88" i="10"/>
  <c r="C98" i="10"/>
  <c r="C104" i="10"/>
  <c r="G117" i="10"/>
  <c r="D117" i="10"/>
  <c r="G120" i="10"/>
  <c r="G149" i="10"/>
  <c r="G153" i="10"/>
  <c r="D153" i="10"/>
  <c r="C156" i="10"/>
  <c r="G156" i="10"/>
  <c r="D156" i="10"/>
  <c r="D162" i="10"/>
  <c r="D193" i="10"/>
  <c r="G193" i="10"/>
  <c r="D200" i="10"/>
  <c r="D217" i="10"/>
  <c r="G260" i="10"/>
  <c r="G273" i="10"/>
  <c r="D273" i="10"/>
  <c r="C276" i="10"/>
  <c r="G276" i="10"/>
  <c r="D276" i="10"/>
  <c r="G291" i="10"/>
  <c r="D291" i="10"/>
  <c r="C291" i="10"/>
  <c r="G299" i="10"/>
  <c r="C310" i="10"/>
  <c r="G134" i="10"/>
  <c r="D134" i="10"/>
  <c r="C150" i="10"/>
  <c r="G150" i="10"/>
  <c r="C204" i="10"/>
  <c r="G204" i="10"/>
  <c r="C246" i="10"/>
  <c r="D246" i="10"/>
  <c r="G287" i="10"/>
  <c r="D287" i="10"/>
  <c r="C287" i="10"/>
  <c r="D295" i="10"/>
  <c r="G295" i="10"/>
  <c r="C295" i="10"/>
  <c r="G316" i="10"/>
  <c r="G342" i="10"/>
  <c r="D342" i="10"/>
  <c r="C342" i="10"/>
  <c r="G54" i="11"/>
  <c r="G87" i="11"/>
  <c r="G105" i="10"/>
  <c r="D105" i="10"/>
  <c r="C105" i="10"/>
  <c r="G114" i="10"/>
  <c r="C134" i="10"/>
  <c r="D150" i="10"/>
  <c r="G169" i="10"/>
  <c r="D204" i="10"/>
  <c r="D235" i="10"/>
  <c r="C235" i="10"/>
  <c r="G257" i="10"/>
  <c r="D311" i="10"/>
  <c r="C311" i="10"/>
  <c r="G311" i="10"/>
  <c r="G30" i="11"/>
  <c r="D64" i="10"/>
  <c r="C64" i="10"/>
  <c r="C82" i="10"/>
  <c r="G82" i="10"/>
  <c r="C114" i="10"/>
  <c r="C118" i="10"/>
  <c r="G118" i="10"/>
  <c r="G147" i="10"/>
  <c r="C147" i="10"/>
  <c r="C157" i="10"/>
  <c r="C163" i="10"/>
  <c r="G246" i="10"/>
  <c r="D251" i="10"/>
  <c r="C251" i="10"/>
  <c r="C288" i="10"/>
  <c r="G288" i="10"/>
  <c r="G70" i="10"/>
  <c r="D114" i="10"/>
  <c r="C128" i="10"/>
  <c r="G128" i="10"/>
  <c r="G141" i="10"/>
  <c r="D147" i="10"/>
  <c r="D157" i="10"/>
  <c r="C181" i="10"/>
  <c r="D208" i="10"/>
  <c r="C208" i="10"/>
  <c r="G232" i="10"/>
  <c r="D232" i="10"/>
  <c r="C232" i="10"/>
  <c r="G235" i="10"/>
  <c r="C240" i="10"/>
  <c r="D240" i="10"/>
  <c r="G262" i="10"/>
  <c r="D262" i="10"/>
  <c r="C262" i="10"/>
  <c r="C270" i="10"/>
  <c r="G270" i="10"/>
  <c r="C284" i="10"/>
  <c r="G284" i="10"/>
  <c r="D284" i="10"/>
  <c r="G300" i="10"/>
  <c r="D300" i="10"/>
  <c r="C300" i="10"/>
  <c r="G321" i="10"/>
  <c r="G62" i="11"/>
  <c r="G173" i="10"/>
  <c r="G215" i="10"/>
  <c r="D215" i="10"/>
  <c r="C215" i="10"/>
  <c r="G277" i="10"/>
  <c r="G292" i="10"/>
  <c r="D317" i="10"/>
  <c r="C317" i="10"/>
  <c r="G317" i="10"/>
  <c r="G343" i="10"/>
  <c r="G28" i="11"/>
  <c r="G39" i="11"/>
  <c r="G51" i="11"/>
  <c r="G18" i="10"/>
  <c r="G21" i="10"/>
  <c r="D21" i="10"/>
  <c r="G33" i="10"/>
  <c r="C36" i="10"/>
  <c r="G36" i="10"/>
  <c r="G79" i="10"/>
  <c r="G83" i="10"/>
  <c r="D83" i="10"/>
  <c r="G92" i="10"/>
  <c r="D115" i="10"/>
  <c r="C115" i="10"/>
  <c r="D141" i="10"/>
  <c r="D164" i="10"/>
  <c r="C164" i="10"/>
  <c r="G174" i="10"/>
  <c r="D174" i="10"/>
  <c r="G181" i="10"/>
  <c r="G187" i="10"/>
  <c r="G208" i="10"/>
  <c r="G212" i="10"/>
  <c r="D212" i="10"/>
  <c r="G240" i="10"/>
  <c r="G244" i="10"/>
  <c r="D244" i="10"/>
  <c r="G248" i="10"/>
  <c r="D248" i="10"/>
  <c r="G255" i="10"/>
  <c r="D255" i="10"/>
  <c r="C255" i="10"/>
  <c r="D259" i="10"/>
  <c r="C259" i="10"/>
  <c r="G263" i="10"/>
  <c r="D263" i="10"/>
  <c r="D289" i="10"/>
  <c r="C289" i="10"/>
  <c r="G301" i="10"/>
  <c r="D301" i="10"/>
  <c r="C301" i="10"/>
  <c r="C313" i="10"/>
  <c r="G313" i="10"/>
  <c r="G22" i="11"/>
  <c r="G66" i="11"/>
  <c r="D66" i="11"/>
  <c r="C78" i="11"/>
  <c r="G78" i="11"/>
  <c r="G91" i="11"/>
  <c r="D113" i="11"/>
  <c r="C113" i="11"/>
  <c r="G113" i="11"/>
  <c r="G135" i="11"/>
  <c r="G240" i="11"/>
  <c r="D240" i="11"/>
  <c r="C240" i="11"/>
  <c r="G255" i="11"/>
  <c r="G268" i="11"/>
  <c r="G286" i="12"/>
  <c r="G57" i="10"/>
  <c r="G177" i="10"/>
  <c r="C228" i="10"/>
  <c r="G228" i="10"/>
  <c r="D306" i="10"/>
  <c r="G309" i="10"/>
  <c r="C323" i="10"/>
  <c r="D323" i="10"/>
  <c r="G362" i="10"/>
  <c r="D6" i="11"/>
  <c r="D9" i="11"/>
  <c r="C9" i="11"/>
  <c r="G13" i="11"/>
  <c r="D13" i="11"/>
  <c r="C16" i="11"/>
  <c r="G23" i="11"/>
  <c r="C23" i="11"/>
  <c r="G45" i="11"/>
  <c r="G55" i="11"/>
  <c r="C66" i="11"/>
  <c r="D78" i="11"/>
  <c r="C81" i="11"/>
  <c r="G106" i="11"/>
  <c r="G175" i="11"/>
  <c r="C264" i="11"/>
  <c r="G264" i="11"/>
  <c r="D264" i="11"/>
  <c r="G9" i="10"/>
  <c r="D54" i="10"/>
  <c r="C57" i="10"/>
  <c r="C78" i="10"/>
  <c r="C97" i="10"/>
  <c r="D108" i="10"/>
  <c r="C116" i="10"/>
  <c r="G129" i="10"/>
  <c r="C148" i="10"/>
  <c r="C167" i="10"/>
  <c r="C172" i="10"/>
  <c r="C177" i="10"/>
  <c r="C180" i="10"/>
  <c r="G180" i="10"/>
  <c r="C207" i="10"/>
  <c r="D228" i="10"/>
  <c r="D236" i="10"/>
  <c r="C239" i="10"/>
  <c r="C247" i="10"/>
  <c r="C250" i="10"/>
  <c r="G258" i="10"/>
  <c r="C266" i="10"/>
  <c r="D279" i="10"/>
  <c r="C290" i="10"/>
  <c r="C304" i="10"/>
  <c r="C309" i="10"/>
  <c r="G312" i="10"/>
  <c r="D312" i="10"/>
  <c r="C315" i="10"/>
  <c r="G315" i="10"/>
  <c r="D315" i="10"/>
  <c r="G337" i="10"/>
  <c r="G341" i="10"/>
  <c r="C363" i="10"/>
  <c r="G363" i="10"/>
  <c r="D46" i="11"/>
  <c r="C46" i="11"/>
  <c r="G143" i="11"/>
  <c r="D143" i="11"/>
  <c r="C143" i="11"/>
  <c r="G61" i="12"/>
  <c r="F21" i="8"/>
  <c r="G21" i="8" s="1"/>
  <c r="F9" i="8"/>
  <c r="G9" i="8" s="1"/>
  <c r="F20" i="8"/>
  <c r="G20" i="8" s="1"/>
  <c r="D6" i="10"/>
  <c r="C9" i="10"/>
  <c r="C49" i="10"/>
  <c r="D57" i="10"/>
  <c r="D60" i="10"/>
  <c r="G81" i="10"/>
  <c r="C129" i="10"/>
  <c r="C132" i="10"/>
  <c r="G132" i="10"/>
  <c r="D177" i="10"/>
  <c r="D180" i="10"/>
  <c r="D188" i="10"/>
  <c r="C199" i="10"/>
  <c r="G210" i="10"/>
  <c r="D231" i="10"/>
  <c r="C258" i="10"/>
  <c r="G261" i="10"/>
  <c r="D261" i="10"/>
  <c r="C271" i="10"/>
  <c r="D309" i="10"/>
  <c r="C312" i="10"/>
  <c r="G323" i="10"/>
  <c r="G335" i="10"/>
  <c r="G356" i="10"/>
  <c r="D363" i="10"/>
  <c r="G6" i="11"/>
  <c r="G9" i="11"/>
  <c r="G16" i="11"/>
  <c r="D70" i="11"/>
  <c r="G70" i="11"/>
  <c r="C70" i="11"/>
  <c r="G79" i="11"/>
  <c r="G81" i="11"/>
  <c r="G97" i="11"/>
  <c r="C121" i="11"/>
  <c r="G121" i="11"/>
  <c r="D121" i="11"/>
  <c r="G139" i="11"/>
  <c r="D233" i="11"/>
  <c r="C233" i="11"/>
  <c r="G233" i="11"/>
  <c r="G213" i="10"/>
  <c r="D213" i="10"/>
  <c r="G236" i="10"/>
  <c r="G247" i="10"/>
  <c r="G279" i="10"/>
  <c r="G285" i="10"/>
  <c r="G296" i="10"/>
  <c r="G324" i="10"/>
  <c r="G360" i="10"/>
  <c r="D360" i="10"/>
  <c r="D10" i="11"/>
  <c r="G10" i="11"/>
  <c r="C10" i="11"/>
  <c r="C27" i="11"/>
  <c r="D27" i="11"/>
  <c r="G27" i="11"/>
  <c r="D50" i="11"/>
  <c r="G50" i="11"/>
  <c r="C50" i="11"/>
  <c r="G144" i="11"/>
  <c r="D144" i="11"/>
  <c r="C144" i="11"/>
  <c r="G169" i="11"/>
  <c r="G179" i="11"/>
  <c r="G213" i="11"/>
  <c r="G229" i="11"/>
  <c r="G330" i="10"/>
  <c r="D354" i="10"/>
  <c r="C354" i="10"/>
  <c r="C360" i="10"/>
  <c r="G364" i="10"/>
  <c r="C75" i="11"/>
  <c r="G75" i="11"/>
  <c r="D75" i="11"/>
  <c r="D118" i="11"/>
  <c r="G118" i="11"/>
  <c r="C118" i="11"/>
  <c r="G170" i="11"/>
  <c r="G180" i="11"/>
  <c r="D180" i="11"/>
  <c r="C180" i="11"/>
  <c r="G20" i="11"/>
  <c r="D37" i="11"/>
  <c r="G37" i="11"/>
  <c r="C37" i="11"/>
  <c r="G60" i="11"/>
  <c r="D60" i="11"/>
  <c r="C60" i="11"/>
  <c r="G63" i="11"/>
  <c r="G133" i="11"/>
  <c r="D133" i="11"/>
  <c r="G155" i="11"/>
  <c r="G203" i="11"/>
  <c r="D203" i="11"/>
  <c r="C203" i="11"/>
  <c r="G248" i="11"/>
  <c r="G253" i="11"/>
  <c r="G292" i="11"/>
  <c r="G175" i="10"/>
  <c r="G226" i="10"/>
  <c r="G243" i="10"/>
  <c r="G307" i="10"/>
  <c r="G327" i="10"/>
  <c r="D330" i="10"/>
  <c r="G336" i="10"/>
  <c r="C339" i="10"/>
  <c r="D339" i="10"/>
  <c r="G345" i="10"/>
  <c r="D345" i="10"/>
  <c r="G354" i="10"/>
  <c r="D364" i="10"/>
  <c r="D11" i="11"/>
  <c r="C28" i="11"/>
  <c r="C54" i="11"/>
  <c r="G57" i="11"/>
  <c r="C57" i="11"/>
  <c r="D64" i="11"/>
  <c r="C64" i="11"/>
  <c r="G64" i="11"/>
  <c r="C133" i="11"/>
  <c r="G159" i="11"/>
  <c r="G286" i="10"/>
  <c r="G297" i="10"/>
  <c r="G325" i="10"/>
  <c r="G355" i="10"/>
  <c r="D28" i="11"/>
  <c r="D31" i="11"/>
  <c r="G31" i="11"/>
  <c r="C31" i="11"/>
  <c r="G41" i="11"/>
  <c r="C41" i="11"/>
  <c r="D54" i="11"/>
  <c r="G72" i="11"/>
  <c r="C72" i="11"/>
  <c r="D94" i="11"/>
  <c r="G94" i="11"/>
  <c r="C94" i="11"/>
  <c r="C174" i="11"/>
  <c r="D174" i="11"/>
  <c r="G207" i="11"/>
  <c r="G226" i="11"/>
  <c r="C365" i="10"/>
  <c r="G365" i="10"/>
  <c r="G11" i="11"/>
  <c r="D15" i="11"/>
  <c r="C38" i="11"/>
  <c r="D41" i="11"/>
  <c r="D72" i="11"/>
  <c r="G83" i="11"/>
  <c r="G102" i="11"/>
  <c r="D102" i="11"/>
  <c r="C102" i="11"/>
  <c r="G115" i="11"/>
  <c r="D134" i="11"/>
  <c r="C134" i="11"/>
  <c r="G134" i="11"/>
  <c r="C167" i="11"/>
  <c r="G167" i="11"/>
  <c r="D167" i="11"/>
  <c r="G196" i="11"/>
  <c r="G227" i="11"/>
  <c r="D227" i="11"/>
  <c r="C227" i="11"/>
  <c r="G238" i="11"/>
  <c r="F15" i="8"/>
  <c r="G15" i="8" s="1"/>
  <c r="G8" i="10"/>
  <c r="G99" i="10"/>
  <c r="G160" i="10"/>
  <c r="G190" i="10"/>
  <c r="G192" i="10"/>
  <c r="G201" i="10"/>
  <c r="G203" i="10"/>
  <c r="G211" i="10"/>
  <c r="D286" i="10"/>
  <c r="D297" i="10"/>
  <c r="D325" i="10"/>
  <c r="G333" i="10"/>
  <c r="D346" i="10"/>
  <c r="G346" i="10"/>
  <c r="C358" i="10"/>
  <c r="G361" i="10"/>
  <c r="D365" i="10"/>
  <c r="G21" i="11"/>
  <c r="D58" i="11"/>
  <c r="G58" i="11"/>
  <c r="G84" i="11"/>
  <c r="C84" i="11"/>
  <c r="G146" i="11"/>
  <c r="G163" i="11"/>
  <c r="G174" i="11"/>
  <c r="G239" i="11"/>
  <c r="C239" i="11"/>
  <c r="D239" i="11"/>
  <c r="G243" i="11"/>
  <c r="G15" i="11"/>
  <c r="G19" i="11"/>
  <c r="G38" i="11"/>
  <c r="G42" i="11"/>
  <c r="D42" i="11"/>
  <c r="D103" i="11"/>
  <c r="C103" i="11"/>
  <c r="G147" i="11"/>
  <c r="G359" i="10"/>
  <c r="G18" i="11"/>
  <c r="G24" i="11"/>
  <c r="G26" i="11"/>
  <c r="G76" i="11"/>
  <c r="G105" i="11"/>
  <c r="G108" i="11"/>
  <c r="D108" i="11"/>
  <c r="G125" i="11"/>
  <c r="G153" i="11"/>
  <c r="G160" i="11"/>
  <c r="G162" i="11"/>
  <c r="G172" i="11"/>
  <c r="G181" i="11"/>
  <c r="G183" i="11"/>
  <c r="D187" i="11"/>
  <c r="C187" i="11"/>
  <c r="D196" i="11"/>
  <c r="G221" i="11"/>
  <c r="G236" i="11"/>
  <c r="G244" i="11"/>
  <c r="G249" i="11"/>
  <c r="G81" i="12"/>
  <c r="G65" i="11"/>
  <c r="G73" i="11"/>
  <c r="D77" i="11"/>
  <c r="C77" i="11"/>
  <c r="G90" i="11"/>
  <c r="G96" i="11"/>
  <c r="D96" i="11"/>
  <c r="C96" i="11"/>
  <c r="G114" i="11"/>
  <c r="C123" i="11"/>
  <c r="G123" i="11"/>
  <c r="G131" i="11"/>
  <c r="C135" i="11"/>
  <c r="D135" i="11"/>
  <c r="C141" i="11"/>
  <c r="G141" i="11"/>
  <c r="G165" i="11"/>
  <c r="D178" i="11"/>
  <c r="G178" i="11"/>
  <c r="D184" i="11"/>
  <c r="G184" i="11"/>
  <c r="G209" i="11"/>
  <c r="G224" i="11"/>
  <c r="D234" i="11"/>
  <c r="G234" i="11"/>
  <c r="D237" i="11"/>
  <c r="C237" i="11"/>
  <c r="C254" i="11"/>
  <c r="D254" i="11"/>
  <c r="C90" i="12"/>
  <c r="G90" i="12"/>
  <c r="D90" i="12"/>
  <c r="G181" i="12"/>
  <c r="D181" i="12"/>
  <c r="C181" i="12"/>
  <c r="G71" i="11"/>
  <c r="G132" i="11"/>
  <c r="D132" i="11"/>
  <c r="G191" i="11"/>
  <c r="G212" i="11"/>
  <c r="G216" i="11"/>
  <c r="C219" i="11"/>
  <c r="G219" i="11"/>
  <c r="D225" i="11"/>
  <c r="G225" i="11"/>
  <c r="G260" i="11"/>
  <c r="C265" i="11"/>
  <c r="G265" i="11"/>
  <c r="G279" i="11"/>
  <c r="D13" i="12"/>
  <c r="G13" i="12"/>
  <c r="C13" i="12"/>
  <c r="G33" i="11"/>
  <c r="G36" i="11"/>
  <c r="D36" i="11"/>
  <c r="D65" i="11"/>
  <c r="C71" i="11"/>
  <c r="C74" i="11"/>
  <c r="G77" i="11"/>
  <c r="D90" i="11"/>
  <c r="C93" i="11"/>
  <c r="D93" i="11"/>
  <c r="G100" i="11"/>
  <c r="G109" i="11"/>
  <c r="D117" i="11"/>
  <c r="C117" i="11"/>
  <c r="C129" i="11"/>
  <c r="C132" i="11"/>
  <c r="C145" i="11"/>
  <c r="C166" i="11"/>
  <c r="C197" i="11"/>
  <c r="D197" i="11"/>
  <c r="D261" i="11"/>
  <c r="G261" i="11"/>
  <c r="D269" i="11"/>
  <c r="C269" i="11"/>
  <c r="G269" i="11"/>
  <c r="G20" i="12"/>
  <c r="G25" i="12"/>
  <c r="G83" i="12"/>
  <c r="D83" i="12"/>
  <c r="C83" i="12"/>
  <c r="G126" i="11"/>
  <c r="D136" i="11"/>
  <c r="C136" i="11"/>
  <c r="C151" i="11"/>
  <c r="D154" i="11"/>
  <c r="C154" i="11"/>
  <c r="G157" i="11"/>
  <c r="G173" i="11"/>
  <c r="D191" i="11"/>
  <c r="D194" i="11"/>
  <c r="G200" i="11"/>
  <c r="C213" i="11"/>
  <c r="D216" i="11"/>
  <c r="G222" i="11"/>
  <c r="G251" i="11"/>
  <c r="D251" i="11"/>
  <c r="C251" i="11"/>
  <c r="D258" i="11"/>
  <c r="G258" i="11"/>
  <c r="C261" i="11"/>
  <c r="G220" i="11"/>
  <c r="C266" i="11"/>
  <c r="G266" i="11"/>
  <c r="D266" i="11"/>
  <c r="D30" i="12"/>
  <c r="G30" i="12"/>
  <c r="C30" i="12"/>
  <c r="G63" i="12"/>
  <c r="G188" i="11"/>
  <c r="G192" i="11"/>
  <c r="D198" i="11"/>
  <c r="C198" i="11"/>
  <c r="C201" i="11"/>
  <c r="G217" i="11"/>
  <c r="C220" i="11"/>
  <c r="C262" i="11"/>
  <c r="G262" i="11"/>
  <c r="G273" i="11"/>
  <c r="G7" i="12"/>
  <c r="D34" i="11"/>
  <c r="G34" i="11"/>
  <c r="G49" i="11"/>
  <c r="G85" i="11"/>
  <c r="D85" i="11"/>
  <c r="C85" i="11"/>
  <c r="G112" i="11"/>
  <c r="D130" i="11"/>
  <c r="G130" i="11"/>
  <c r="G142" i="11"/>
  <c r="D146" i="11"/>
  <c r="C146" i="11"/>
  <c r="D155" i="11"/>
  <c r="C155" i="11"/>
  <c r="C189" i="11"/>
  <c r="G189" i="11"/>
  <c r="C192" i="11"/>
  <c r="C195" i="11"/>
  <c r="G195" i="11"/>
  <c r="C205" i="11"/>
  <c r="G205" i="11"/>
  <c r="D220" i="11"/>
  <c r="D262" i="11"/>
  <c r="G270" i="11"/>
  <c r="G11" i="12"/>
  <c r="C11" i="12"/>
  <c r="D11" i="12"/>
  <c r="G41" i="12"/>
  <c r="C97" i="12"/>
  <c r="D97" i="12"/>
  <c r="G97" i="12"/>
  <c r="G14" i="11"/>
  <c r="D17" i="11"/>
  <c r="C17" i="11"/>
  <c r="G29" i="11"/>
  <c r="G61" i="11"/>
  <c r="D82" i="11"/>
  <c r="C82" i="11"/>
  <c r="G89" i="11"/>
  <c r="G122" i="11"/>
  <c r="G177" i="11"/>
  <c r="G186" i="11"/>
  <c r="C186" i="11"/>
  <c r="D202" i="11"/>
  <c r="C202" i="11"/>
  <c r="G202" i="11"/>
  <c r="G263" i="11"/>
  <c r="D263" i="11"/>
  <c r="C263" i="11"/>
  <c r="G95" i="11"/>
  <c r="C95" i="11"/>
  <c r="G119" i="11"/>
  <c r="C147" i="11"/>
  <c r="D147" i="11"/>
  <c r="G156" i="11"/>
  <c r="D156" i="11"/>
  <c r="C206" i="11"/>
  <c r="G206" i="11"/>
  <c r="C253" i="11"/>
  <c r="D253" i="11"/>
  <c r="G259" i="11"/>
  <c r="D292" i="11"/>
  <c r="C292" i="11"/>
  <c r="G23" i="12"/>
  <c r="D23" i="12"/>
  <c r="C23" i="12"/>
  <c r="G93" i="12"/>
  <c r="G105" i="12"/>
  <c r="G283" i="11"/>
  <c r="C10" i="12"/>
  <c r="G10" i="12"/>
  <c r="C22" i="12"/>
  <c r="D22" i="12"/>
  <c r="D29" i="12"/>
  <c r="C29" i="12"/>
  <c r="G76" i="12"/>
  <c r="D101" i="12"/>
  <c r="G101" i="12"/>
  <c r="C101" i="12"/>
  <c r="D108" i="12"/>
  <c r="C108" i="12"/>
  <c r="G111" i="12"/>
  <c r="G123" i="12"/>
  <c r="G131" i="12"/>
  <c r="D131" i="12"/>
  <c r="C131" i="12"/>
  <c r="G164" i="12"/>
  <c r="C164" i="12"/>
  <c r="G176" i="12"/>
  <c r="G278" i="12"/>
  <c r="G287" i="12"/>
  <c r="D287" i="12"/>
  <c r="C287" i="12"/>
  <c r="G12" i="11"/>
  <c r="G48" i="11"/>
  <c r="G168" i="11"/>
  <c r="G215" i="11"/>
  <c r="G245" i="11"/>
  <c r="G275" i="11"/>
  <c r="G277" i="11"/>
  <c r="D286" i="11"/>
  <c r="D289" i="11"/>
  <c r="D10" i="12"/>
  <c r="G19" i="12"/>
  <c r="C26" i="12"/>
  <c r="G26" i="12"/>
  <c r="G55" i="12"/>
  <c r="G67" i="12"/>
  <c r="D70" i="12"/>
  <c r="G73" i="12"/>
  <c r="C94" i="12"/>
  <c r="D94" i="12"/>
  <c r="C112" i="12"/>
  <c r="G112" i="12"/>
  <c r="D112" i="12"/>
  <c r="D164" i="12"/>
  <c r="C12" i="11"/>
  <c r="C22" i="11"/>
  <c r="D45" i="11"/>
  <c r="C48" i="11"/>
  <c r="C88" i="11"/>
  <c r="D99" i="11"/>
  <c r="G120" i="11"/>
  <c r="C168" i="11"/>
  <c r="C171" i="11"/>
  <c r="G171" i="11"/>
  <c r="G204" i="11"/>
  <c r="C215" i="11"/>
  <c r="D226" i="11"/>
  <c r="C226" i="11"/>
  <c r="D229" i="11"/>
  <c r="D243" i="11"/>
  <c r="C275" i="11"/>
  <c r="C278" i="11"/>
  <c r="G278" i="11"/>
  <c r="G22" i="12"/>
  <c r="D26" i="12"/>
  <c r="G29" i="12"/>
  <c r="D45" i="12"/>
  <c r="C45" i="12"/>
  <c r="G108" i="12"/>
  <c r="G120" i="12"/>
  <c r="C120" i="12"/>
  <c r="C146" i="12"/>
  <c r="G146" i="12"/>
  <c r="D146" i="12"/>
  <c r="G153" i="12"/>
  <c r="D186" i="12"/>
  <c r="C186" i="12"/>
  <c r="G186" i="12"/>
  <c r="G80" i="12"/>
  <c r="G91" i="12"/>
  <c r="D113" i="12"/>
  <c r="G113" i="12"/>
  <c r="C113" i="12"/>
  <c r="G135" i="12"/>
  <c r="C170" i="12"/>
  <c r="G170" i="12"/>
  <c r="D170" i="12"/>
  <c r="G174" i="12"/>
  <c r="D174" i="12"/>
  <c r="C174" i="12"/>
  <c r="G252" i="11"/>
  <c r="G59" i="12"/>
  <c r="G158" i="12"/>
  <c r="G272" i="11"/>
  <c r="D37" i="12"/>
  <c r="C37" i="12"/>
  <c r="C62" i="12"/>
  <c r="G62" i="12"/>
  <c r="G121" i="12"/>
  <c r="C121" i="12"/>
  <c r="D121" i="12"/>
  <c r="C20" i="12"/>
  <c r="G33" i="12"/>
  <c r="D59" i="12"/>
  <c r="D62" i="12"/>
  <c r="G103" i="12"/>
  <c r="C106" i="12"/>
  <c r="D106" i="12"/>
  <c r="C166" i="12"/>
  <c r="D166" i="12"/>
  <c r="G166" i="12"/>
  <c r="G249" i="12"/>
  <c r="C24" i="12"/>
  <c r="G24" i="12"/>
  <c r="G27" i="12"/>
  <c r="C34" i="12"/>
  <c r="G34" i="12"/>
  <c r="D34" i="12"/>
  <c r="C72" i="12"/>
  <c r="D72" i="12"/>
  <c r="G75" i="12"/>
  <c r="C122" i="12"/>
  <c r="G122" i="12"/>
  <c r="D122" i="12"/>
  <c r="G126" i="12"/>
  <c r="C126" i="12"/>
  <c r="D137" i="12"/>
  <c r="G137" i="12"/>
  <c r="C137" i="12"/>
  <c r="D53" i="12"/>
  <c r="C53" i="12"/>
  <c r="G56" i="12"/>
  <c r="G79" i="12"/>
  <c r="C82" i="12"/>
  <c r="G82" i="12"/>
  <c r="G99" i="12"/>
  <c r="G106" i="12"/>
  <c r="G110" i="12"/>
  <c r="G47" i="11"/>
  <c r="G138" i="11"/>
  <c r="G228" i="11"/>
  <c r="D250" i="11"/>
  <c r="C250" i="11"/>
  <c r="G267" i="11"/>
  <c r="D285" i="11"/>
  <c r="C285" i="11"/>
  <c r="D288" i="11"/>
  <c r="G18" i="12"/>
  <c r="G35" i="12"/>
  <c r="D38" i="12"/>
  <c r="G47" i="12"/>
  <c r="C50" i="12"/>
  <c r="G50" i="12"/>
  <c r="G72" i="12"/>
  <c r="D82" i="12"/>
  <c r="G92" i="12"/>
  <c r="C100" i="12"/>
  <c r="G100" i="12"/>
  <c r="G115" i="12"/>
  <c r="G255" i="12"/>
  <c r="G271" i="11"/>
  <c r="C274" i="11"/>
  <c r="G274" i="11"/>
  <c r="G291" i="11"/>
  <c r="G6" i="12"/>
  <c r="D21" i="12"/>
  <c r="C21" i="12"/>
  <c r="G21" i="12"/>
  <c r="C25" i="12"/>
  <c r="D25" i="12"/>
  <c r="G44" i="12"/>
  <c r="G53" i="12"/>
  <c r="G89" i="12"/>
  <c r="D93" i="12"/>
  <c r="C93" i="12"/>
  <c r="C130" i="12"/>
  <c r="G130" i="12"/>
  <c r="D130" i="12"/>
  <c r="G141" i="12"/>
  <c r="G238" i="12"/>
  <c r="C256" i="12"/>
  <c r="G256" i="12"/>
  <c r="D256" i="12"/>
  <c r="G287" i="11"/>
  <c r="C290" i="11"/>
  <c r="G290" i="11"/>
  <c r="D293" i="11"/>
  <c r="C293" i="11"/>
  <c r="G51" i="12"/>
  <c r="G54" i="12"/>
  <c r="G86" i="12"/>
  <c r="G95" i="12"/>
  <c r="C98" i="12"/>
  <c r="G98" i="12"/>
  <c r="G119" i="12"/>
  <c r="D119" i="12"/>
  <c r="D125" i="12"/>
  <c r="C125" i="12"/>
  <c r="G157" i="12"/>
  <c r="D157" i="12"/>
  <c r="C160" i="12"/>
  <c r="G160" i="12"/>
  <c r="D160" i="12"/>
  <c r="D173" i="12"/>
  <c r="C173" i="12"/>
  <c r="G180" i="12"/>
  <c r="C180" i="12"/>
  <c r="G196" i="12"/>
  <c r="D200" i="12"/>
  <c r="C200" i="12"/>
  <c r="G200" i="12"/>
  <c r="G217" i="12"/>
  <c r="D217" i="12"/>
  <c r="C217" i="12"/>
  <c r="G228" i="12"/>
  <c r="C228" i="12"/>
  <c r="C242" i="12"/>
  <c r="G242" i="12"/>
  <c r="D242" i="12"/>
  <c r="G264" i="12"/>
  <c r="G147" i="12"/>
  <c r="G150" i="12"/>
  <c r="G187" i="12"/>
  <c r="G213" i="12"/>
  <c r="D221" i="12"/>
  <c r="C221" i="12"/>
  <c r="D228" i="12"/>
  <c r="G253" i="12"/>
  <c r="D253" i="12"/>
  <c r="C264" i="12"/>
  <c r="G284" i="12"/>
  <c r="D284" i="12"/>
  <c r="G291" i="12"/>
  <c r="G43" i="12"/>
  <c r="C58" i="12"/>
  <c r="G58" i="12"/>
  <c r="D69" i="12"/>
  <c r="C69" i="12"/>
  <c r="D95" i="12"/>
  <c r="G125" i="12"/>
  <c r="G151" i="12"/>
  <c r="D154" i="12"/>
  <c r="G167" i="12"/>
  <c r="D167" i="12"/>
  <c r="G173" i="12"/>
  <c r="C214" i="12"/>
  <c r="D214" i="12"/>
  <c r="G235" i="12"/>
  <c r="G239" i="12"/>
  <c r="D239" i="12"/>
  <c r="C239" i="12"/>
  <c r="C253" i="12"/>
  <c r="D264" i="12"/>
  <c r="G276" i="12"/>
  <c r="D276" i="12"/>
  <c r="C276" i="12"/>
  <c r="C284" i="12"/>
  <c r="C194" i="12"/>
  <c r="G194" i="12"/>
  <c r="D194" i="12"/>
  <c r="G236" i="12"/>
  <c r="D236" i="12"/>
  <c r="G17" i="13"/>
  <c r="G191" i="12"/>
  <c r="D191" i="12"/>
  <c r="C191" i="12"/>
  <c r="C208" i="12"/>
  <c r="G208" i="12"/>
  <c r="D208" i="12"/>
  <c r="G222" i="12"/>
  <c r="D222" i="12"/>
  <c r="C236" i="12"/>
  <c r="D250" i="12"/>
  <c r="D281" i="12"/>
  <c r="G281" i="12"/>
  <c r="G168" i="12"/>
  <c r="G188" i="12"/>
  <c r="D188" i="12"/>
  <c r="G205" i="12"/>
  <c r="D205" i="12"/>
  <c r="G243" i="12"/>
  <c r="G254" i="12"/>
  <c r="G133" i="12"/>
  <c r="G139" i="12"/>
  <c r="D152" i="12"/>
  <c r="C152" i="12"/>
  <c r="C168" i="12"/>
  <c r="C178" i="12"/>
  <c r="G178" i="12"/>
  <c r="C188" i="12"/>
  <c r="G225" i="12"/>
  <c r="D233" i="12"/>
  <c r="G233" i="12"/>
  <c r="G261" i="12"/>
  <c r="G270" i="12"/>
  <c r="D270" i="12"/>
  <c r="G285" i="12"/>
  <c r="G14" i="13"/>
  <c r="G109" i="12"/>
  <c r="C133" i="12"/>
  <c r="D168" i="12"/>
  <c r="D178" i="12"/>
  <c r="G198" i="12"/>
  <c r="D202" i="12"/>
  <c r="D230" i="12"/>
  <c r="C233" i="12"/>
  <c r="D244" i="12"/>
  <c r="C262" i="12"/>
  <c r="D262" i="12"/>
  <c r="G262" i="12"/>
  <c r="C270" i="12"/>
  <c r="D185" i="12"/>
  <c r="G185" i="12"/>
  <c r="G195" i="12"/>
  <c r="G199" i="12"/>
  <c r="G216" i="12"/>
  <c r="G273" i="12"/>
  <c r="C290" i="12"/>
  <c r="G290" i="12"/>
  <c r="D290" i="12"/>
  <c r="G293" i="12"/>
  <c r="G71" i="12"/>
  <c r="C74" i="12"/>
  <c r="G74" i="12"/>
  <c r="D77" i="12"/>
  <c r="C77" i="12"/>
  <c r="D109" i="12"/>
  <c r="C118" i="12"/>
  <c r="D118" i="12"/>
  <c r="G143" i="12"/>
  <c r="D143" i="12"/>
  <c r="C143" i="12"/>
  <c r="C156" i="12"/>
  <c r="G169" i="12"/>
  <c r="D169" i="12"/>
  <c r="C169" i="12"/>
  <c r="G175" i="12"/>
  <c r="G179" i="12"/>
  <c r="D179" i="12"/>
  <c r="C185" i="12"/>
  <c r="G202" i="12"/>
  <c r="C216" i="12"/>
  <c r="G227" i="12"/>
  <c r="D227" i="12"/>
  <c r="G230" i="12"/>
  <c r="D234" i="12"/>
  <c r="C234" i="12"/>
  <c r="G234" i="12"/>
  <c r="G244" i="12"/>
  <c r="D248" i="12"/>
  <c r="C248" i="12"/>
  <c r="G248" i="12"/>
  <c r="G31" i="12"/>
  <c r="C54" i="12"/>
  <c r="C71" i="12"/>
  <c r="D74" i="12"/>
  <c r="D86" i="12"/>
  <c r="G127" i="12"/>
  <c r="G136" i="12"/>
  <c r="G140" i="12"/>
  <c r="D140" i="12"/>
  <c r="G165" i="12"/>
  <c r="C179" i="12"/>
  <c r="G182" i="12"/>
  <c r="D196" i="12"/>
  <c r="G206" i="12"/>
  <c r="G212" i="12"/>
  <c r="D216" i="12"/>
  <c r="G223" i="12"/>
  <c r="C227" i="12"/>
  <c r="G229" i="12"/>
  <c r="G277" i="12"/>
  <c r="G215" i="12"/>
  <c r="D215" i="12"/>
  <c r="D226" i="12"/>
  <c r="C229" i="12"/>
  <c r="C260" i="12"/>
  <c r="G263" i="12"/>
  <c r="D263" i="12"/>
  <c r="D274" i="12"/>
  <c r="C277" i="12"/>
  <c r="G282" i="12"/>
  <c r="C6" i="13"/>
  <c r="G8" i="13"/>
  <c r="G271" i="12"/>
  <c r="D277" i="12"/>
  <c r="D280" i="12"/>
  <c r="G283" i="12"/>
  <c r="G288" i="12"/>
  <c r="C12" i="13"/>
  <c r="G145" i="12"/>
  <c r="G193" i="12"/>
  <c r="G226" i="12"/>
  <c r="G241" i="12"/>
  <c r="C269" i="12"/>
  <c r="G274" i="12"/>
  <c r="G289" i="12"/>
  <c r="G20" i="13"/>
  <c r="G275" i="12"/>
  <c r="D275" i="12"/>
  <c r="G7" i="13"/>
  <c r="G13" i="13"/>
  <c r="G21" i="13"/>
  <c r="D10" i="13"/>
  <c r="G22" i="13"/>
  <c r="G247" i="12"/>
  <c r="G259" i="12"/>
  <c r="D13" i="13"/>
  <c r="D16" i="13"/>
  <c r="G19" i="13"/>
  <c r="G265" i="12"/>
  <c r="G10" i="13"/>
  <c r="G23" i="13"/>
  <c r="G107" i="12"/>
  <c r="D107" i="12"/>
  <c r="G155" i="12"/>
  <c r="D155" i="12"/>
  <c r="G203" i="12"/>
  <c r="D203" i="12"/>
  <c r="G251" i="12"/>
  <c r="D251" i="12"/>
  <c r="C265" i="12"/>
  <c r="C282" i="12"/>
  <c r="C8" i="13"/>
  <c r="G11" i="13"/>
  <c r="D11" i="13"/>
  <c r="G16" i="13"/>
  <c r="G163" i="12"/>
  <c r="G197" i="12"/>
  <c r="G211" i="12"/>
  <c r="D220" i="12"/>
  <c r="G245" i="12"/>
  <c r="C251" i="12"/>
  <c r="D254" i="12"/>
  <c r="D265" i="12"/>
  <c r="D268" i="12"/>
  <c r="C11" i="13"/>
  <c r="D14" i="13"/>
  <c r="C22" i="13"/>
  <c r="D22" i="13"/>
  <c r="D23" i="13"/>
</calcChain>
</file>

<file path=xl/sharedStrings.xml><?xml version="1.0" encoding="utf-8"?>
<sst xmlns="http://schemas.openxmlformats.org/spreadsheetml/2006/main" count="4102" uniqueCount="229">
  <si>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</si>
  <si>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</si>
  <si>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</si>
  <si>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</si>
  <si>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</si>
  <si>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</si>
  <si>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</si>
  <si>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</si>
  <si>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</si>
  <si>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</si>
  <si>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</si>
  <si>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</si>
  <si>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</si>
  <si>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</si>
  <si>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</si>
  <si>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</si>
  <si>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</si>
  <si>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</si>
  <si>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</si>
  <si>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</si>
  <si>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</si>
  <si>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</si>
  <si>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</si>
  <si>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</si>
  <si>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</si>
  <si>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</si>
  <si>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</si>
  <si>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</si>
  <si>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</si>
  <si>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</si>
  <si>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</si>
  <si>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</si>
  <si>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</si>
  <si>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</si>
  <si>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</si>
  <si>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</si>
  <si>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</si>
  <si>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</si>
  <si>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</si>
  <si>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</si>
  <si>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</si>
  <si>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</si>
  <si>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</si>
  <si>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</si>
  <si>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</si>
  <si>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</si>
  <si>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</si>
  <si>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</si>
  <si>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</si>
  <si>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</si>
  <si>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</si>
  <si>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</si>
  <si>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</si>
  <si>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</si>
  <si>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</si>
  <si>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</si>
  <si>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</si>
  <si>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</si>
  <si>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</si>
  <si>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</si>
  <si>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</si>
  <si>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</si>
  <si>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</si>
  <si>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</si>
  <si>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</si>
  <si>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</si>
  <si>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</si>
  <si>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</si>
  <si>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</si>
  <si>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</si>
  <si>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</si>
  <si>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</si>
  <si>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</si>
  <si>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</si>
  <si>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</si>
  <si>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</si>
  <si>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</si>
  <si>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</si>
  <si>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</si>
  <si>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</si>
  <si>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</si>
  <si>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</si>
  <si>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</si>
  <si>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</si>
  <si>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</si>
  <si>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</si>
  <si>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</si>
  <si>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</si>
  <si>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</si>
  <si>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</si>
  <si>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</si>
  <si>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</si>
  <si>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</si>
  <si>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</si>
  <si>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</si>
  <si>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</si>
  <si>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</si>
  <si>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</si>
  <si>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</si>
  <si>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</si>
  <si>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</si>
  <si>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</si>
  <si>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</si>
  <si>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</si>
  <si>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</si>
  <si>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</si>
  <si>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</si>
  <si>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</si>
  <si>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</si>
  <si>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</si>
  <si>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</si>
  <si>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</si>
  <si>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</si>
  <si>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</si>
  <si>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</si>
  <si>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</si>
  <si>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</si>
  <si>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</si>
  <si>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</si>
  <si>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</si>
  <si>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</si>
  <si>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</si>
  <si>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</si>
  <si>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</si>
  <si>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</si>
  <si>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</si>
  <si>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</si>
  <si>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</si>
  <si>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Industrial</t>
  </si>
  <si>
    <t>All Industries</t>
  </si>
  <si>
    <t>INDAINDMD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</si>
  <si>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</si>
  <si>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</si>
  <si>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</si>
  <si>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</si>
  <si>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</si>
  <si>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</si>
  <si>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</si>
  <si>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</si>
  <si>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</si>
  <si>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</si>
  <si>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</si>
  <si>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</si>
  <si>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</si>
  <si>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</si>
  <si>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</si>
  <si>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</si>
  <si>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</si>
  <si>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</si>
  <si>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</si>
  <si>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</si>
  <si>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</si>
  <si>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</si>
  <si>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</si>
  <si>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</si>
  <si>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</si>
  <si>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</si>
  <si>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</si>
  <si>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</si>
  <si>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</si>
  <si>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</si>
  <si>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</si>
  <si>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</si>
  <si>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</si>
  <si>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</si>
  <si>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</si>
  <si>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</si>
  <si>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</si>
  <si>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</si>
  <si>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</si>
  <si>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</si>
  <si>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</si>
  <si>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</si>
  <si>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</si>
  <si>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</si>
  <si>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</si>
  <si>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Waste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</si>
  <si>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</si>
  <si>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</si>
  <si>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</si>
  <si>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</si>
  <si>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</si>
  <si>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</si>
  <si>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</si>
  <si>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</si>
  <si>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</si>
  <si>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</si>
  <si>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</si>
  <si>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</si>
  <si>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</si>
  <si>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</si>
  <si>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</si>
  <si>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</si>
  <si>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</si>
  <si>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</si>
  <si>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</si>
  <si>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</si>
  <si>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</si>
  <si>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</si>
  <si>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</si>
  <si>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</si>
  <si>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Electricity</t>
  </si>
  <si>
    <t>Miscellanous EGRID electricity demand</t>
  </si>
  <si>
    <t>ELCMISEGRIDDMD</t>
  </si>
  <si>
    <t>Treatment</t>
  </si>
  <si>
    <t>WASWATTRTDMD</t>
  </si>
  <si>
    <t>Attribute</t>
  </si>
  <si>
    <t>~TFM_INS</t>
  </si>
  <si>
    <t>CommName</t>
  </si>
  <si>
    <t>*Description</t>
  </si>
  <si>
    <t>*Unit</t>
  </si>
  <si>
    <t>EGRID</t>
  </si>
  <si>
    <t>TimeSlice</t>
  </si>
  <si>
    <t>*</t>
  </si>
  <si>
    <t>COM_PROJ</t>
  </si>
  <si>
    <t>COM_FR</t>
  </si>
  <si>
    <t>IDAM</t>
  </si>
  <si>
    <t>IDPM</t>
  </si>
  <si>
    <t>IN</t>
  </si>
  <si>
    <t>IP</t>
  </si>
  <si>
    <t>WDAM</t>
  </si>
  <si>
    <t>WDPM</t>
  </si>
  <si>
    <t>WN</t>
  </si>
  <si>
    <t>WP</t>
  </si>
  <si>
    <t>SDAM</t>
  </si>
  <si>
    <t>SDPM</t>
  </si>
  <si>
    <t>SN</t>
  </si>
  <si>
    <t>SP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</si>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</sst>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$-409]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Geneva"/>
    </font>
    <font>
      <sz val="10"/>
      <name val="Verdana"/>
      <family val="2"/>
    </font>
    <font>
      <u/>
      <sz val="10"/>
      <color indexed="12"/>
      <name val="Verdana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Courier"/>
      <family val="3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2">
    <xf numFmtId="0" fontId="0" fillId="0" borderId="0"/>
    <xf numFmtId="0" fontId="6" fillId="0" borderId="0"/>
    <xf numFmtId="0" fontId="1" fillId="0" borderId="0"/>
    <xf numFmtId="0" fontId="8" fillId="0" borderId="0">
      <alignment horizontal="left"/>
    </xf>
    <xf numFmtId="0" fontId="9" fillId="0" borderId="4">
      <alignment horizontal="left" wrapText="1"/>
    </xf>
    <xf numFmtId="0" fontId="9" fillId="0" borderId="3">
      <alignment wrapText="1"/>
    </xf>
    <xf numFmtId="0" fontId="10" fillId="0" borderId="5">
      <alignment wrapText="1"/>
    </xf>
    <xf numFmtId="0" fontId="9" fillId="0" borderId="6">
      <alignment wrapText="1"/>
    </xf>
    <xf numFmtId="0" fontId="10" fillId="0" borderId="7">
      <alignment vertical="top" wrapText="1"/>
    </xf>
    <xf numFmtId="0" fontId="7" fillId="10" borderId="0"/>
    <xf numFmtId="0" fontId="7" fillId="11" borderId="0"/>
    <xf numFmtId="0" fontId="7" fillId="12" borderId="0"/>
    <xf numFmtId="0" fontId="7" fillId="13" borderId="0"/>
    <xf numFmtId="0" fontId="7" fillId="14" borderId="0"/>
    <xf numFmtId="0" fontId="7" fillId="15" borderId="0"/>
    <xf numFmtId="0" fontId="11" fillId="0" borderId="0">
      <alignment vertical="top"/>
      <protection locked="0"/>
    </xf>
    <xf numFmtId="0" fontId="10" fillId="0" borderId="0"/>
    <xf numFmtId="0" fontId="10" fillId="0" borderId="0">
      <alignment vertical="top" wrapText="1"/>
    </xf>
    <xf numFmtId="0" fontId="12" fillId="0" borderId="0">
      <alignment vertical="top"/>
      <protection locked="0"/>
    </xf>
    <xf numFmtId="0" fontId="13" fillId="9" borderId="0"/>
    <xf numFmtId="0" fontId="6" fillId="0" borderId="0"/>
    <xf numFmtId="0" fontId="10" fillId="0" borderId="8">
      <alignment wrapText="1"/>
    </xf>
    <xf numFmtId="0" fontId="9" fillId="0" borderId="9">
      <alignment wrapText="1"/>
    </xf>
    <xf numFmtId="0" fontId="14" fillId="0" borderId="0"/>
    <xf numFmtId="0" fontId="15" fillId="0" borderId="0"/>
    <xf numFmtId="43" fontId="15" fillId="0" borderId="0"/>
    <xf numFmtId="0" fontId="16" fillId="0" borderId="0"/>
    <xf numFmtId="43" fontId="16" fillId="0" borderId="0"/>
    <xf numFmtId="0" fontId="17" fillId="0" borderId="0">
      <alignment vertical="top"/>
      <protection locked="0"/>
    </xf>
    <xf numFmtId="9" fontId="1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164" fontId="6" fillId="0" borderId="0"/>
    <xf numFmtId="43" fontId="6" fillId="0" borderId="0"/>
    <xf numFmtId="9" fontId="6" fillId="0" borderId="0"/>
    <xf numFmtId="0" fontId="6" fillId="0" borderId="0"/>
    <xf numFmtId="0" fontId="6" fillId="0" borderId="0"/>
    <xf numFmtId="0" fontId="18" fillId="0" borderId="0">
      <alignment horizontal="left"/>
    </xf>
    <xf numFmtId="0" fontId="19" fillId="0" borderId="0"/>
    <xf numFmtId="0" fontId="20" fillId="0" borderId="10">
      <alignment wrapText="1"/>
    </xf>
    <xf numFmtId="0" fontId="20" fillId="0" borderId="11">
      <alignment wrapText="1"/>
    </xf>
    <xf numFmtId="0" fontId="19" fillId="0" borderId="12">
      <alignment wrapText="1"/>
    </xf>
    <xf numFmtId="0" fontId="21" fillId="0" borderId="0"/>
    <xf numFmtId="0" fontId="6" fillId="0" borderId="0"/>
    <xf numFmtId="0" fontId="1" fillId="0" borderId="0"/>
    <xf numFmtId="0" fontId="1" fillId="0" borderId="0"/>
    <xf numFmtId="9" fontId="6" fillId="0" borderId="0"/>
    <xf numFmtId="43" fontId="6" fillId="0" borderId="0"/>
    <xf numFmtId="0" fontId="22" fillId="0" borderId="0"/>
  </cellStyleXfs>
  <cellXfs count="14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7" borderId="1" xfId="0" applyFont="1" applyFill="1" applyBorder="1"/>
    <xf numFmtId="0" fontId="6" fillId="8" borderId="2" xfId="1" applyFill="1" applyBorder="1" applyAlignment="1">
      <alignment horizontal="left" wrapText="1"/>
    </xf>
    <xf numFmtId="2" fontId="0" fillId="0" borderId="0" xfId="0" applyNumberFormat="1"/>
    <xf numFmtId="1" fontId="0" fillId="0" borderId="0" xfId="0" applyNumberFormat="1"/>
    <xf numFmtId="0" fontId="6" fillId="8" borderId="0" xfId="1" applyFill="1" applyAlignment="1">
      <alignment horizontal="left" wrapText="1"/>
    </xf>
  </cellXfs>
  <cellStyles count="52">
    <cellStyle name="60% - Accent1 2" xfId="9" xr:uid="{00000000-0005-0000-0000-000009000000}"/>
    <cellStyle name="60% - Accent2 2" xfId="10" xr:uid="{00000000-0005-0000-0000-00000A000000}"/>
    <cellStyle name="60% - Accent3 2" xfId="11" xr:uid="{00000000-0005-0000-0000-00000B000000}"/>
    <cellStyle name="60% - Accent4 2" xfId="12" xr:uid="{00000000-0005-0000-0000-00000C000000}"/>
    <cellStyle name="60% - Accent5 2" xfId="13" xr:uid="{00000000-0005-0000-0000-00000D000000}"/>
    <cellStyle name="60% - Accent6 2" xfId="14" xr:uid="{00000000-0005-0000-0000-00000E000000}"/>
    <cellStyle name="Body: normal cell" xfId="6" xr:uid="{00000000-0005-0000-0000-000006000000}"/>
    <cellStyle name="Body: normal cell 2" xfId="44" xr:uid="{00000000-0005-0000-0000-00002C000000}"/>
    <cellStyle name="Comma 10" xfId="50" xr:uid="{00000000-0005-0000-0000-000032000000}"/>
    <cellStyle name="Comma 2" xfId="25" xr:uid="{00000000-0005-0000-0000-000019000000}"/>
    <cellStyle name="Comma 3" xfId="27" xr:uid="{00000000-0005-0000-0000-00001B000000}"/>
    <cellStyle name="Comma 4" xfId="36" xr:uid="{00000000-0005-0000-0000-000024000000}"/>
    <cellStyle name="Followed Hyperlink 2" xfId="15" xr:uid="{00000000-0005-0000-0000-00000F000000}"/>
    <cellStyle name="Font: Calibri, 9pt regular" xfId="16" xr:uid="{00000000-0005-0000-0000-000010000000}"/>
    <cellStyle name="Font: Calibri, 9pt regular 2" xfId="41" xr:uid="{00000000-0005-0000-0000-000029000000}"/>
    <cellStyle name="Footnotes: all except top row" xfId="17" xr:uid="{00000000-0005-0000-0000-000011000000}"/>
    <cellStyle name="Footnotes: top row" xfId="8" xr:uid="{00000000-0005-0000-0000-000008000000}"/>
    <cellStyle name="Header: bottom row" xfId="5" xr:uid="{00000000-0005-0000-0000-000005000000}"/>
    <cellStyle name="Header: bottom row 2" xfId="42" xr:uid="{00000000-0005-0000-0000-00002A000000}"/>
    <cellStyle name="Header: top rows" xfId="4" xr:uid="{00000000-0005-0000-0000-000004000000}"/>
    <cellStyle name="Hyperlink 2" xfId="18" xr:uid="{00000000-0005-0000-0000-000012000000}"/>
    <cellStyle name="Hyperlink 3" xfId="28" xr:uid="{00000000-0005-0000-0000-00001C000000}"/>
    <cellStyle name="Neutral 2" xfId="19" xr:uid="{00000000-0005-0000-0000-000013000000}"/>
    <cellStyle name="Normal" xfId="0" builtinId="0"/>
    <cellStyle name="Normal 10" xfId="1" xr:uid="{00000000-0005-0000-0000-000001000000}"/>
    <cellStyle name="Normal 10 2" xfId="2" xr:uid="{00000000-0005-0000-0000-000002000000}"/>
    <cellStyle name="Normal 10 2 2" xfId="39" xr:uid="{00000000-0005-0000-0000-000027000000}"/>
    <cellStyle name="Normal 10 2 2 3" xfId="48" xr:uid="{00000000-0005-0000-0000-000030000000}"/>
    <cellStyle name="Normal 10 3" xfId="31" xr:uid="{00000000-0005-0000-0000-00001F000000}"/>
    <cellStyle name="Normal 128" xfId="33" xr:uid="{00000000-0005-0000-0000-000021000000}"/>
    <cellStyle name="Normal 153" xfId="30" xr:uid="{00000000-0005-0000-0000-00001E000000}"/>
    <cellStyle name="Normal 2" xfId="20" xr:uid="{00000000-0005-0000-0000-000014000000}"/>
    <cellStyle name="Normal 2 2 2 3" xfId="34" xr:uid="{00000000-0005-0000-0000-000022000000}"/>
    <cellStyle name="Normal 2 3" xfId="51" xr:uid="{00000000-0005-0000-0000-000033000000}"/>
    <cellStyle name="Normal 3" xfId="24" xr:uid="{00000000-0005-0000-0000-000018000000}"/>
    <cellStyle name="Normal 3 2" xfId="32" xr:uid="{00000000-0005-0000-0000-000020000000}"/>
    <cellStyle name="Normal 4" xfId="26" xr:uid="{00000000-0005-0000-0000-00001A000000}"/>
    <cellStyle name="Normal 4 2" xfId="38" xr:uid="{00000000-0005-0000-0000-000026000000}"/>
    <cellStyle name="Normal 5" xfId="45" xr:uid="{00000000-0005-0000-0000-00002D000000}"/>
    <cellStyle name="Normal 6" xfId="46" xr:uid="{00000000-0005-0000-0000-00002E000000}"/>
    <cellStyle name="Normal 8" xfId="35" xr:uid="{00000000-0005-0000-0000-000023000000}"/>
    <cellStyle name="Normal 9" xfId="47" xr:uid="{00000000-0005-0000-0000-00002F000000}"/>
    <cellStyle name="Parent row" xfId="7" xr:uid="{00000000-0005-0000-0000-000007000000}"/>
    <cellStyle name="Parent row 2" xfId="43" xr:uid="{00000000-0005-0000-0000-00002B000000}"/>
    <cellStyle name="Percent 10" xfId="49" xr:uid="{00000000-0005-0000-0000-000031000000}"/>
    <cellStyle name="Percent 2" xfId="29" xr:uid="{00000000-0005-0000-0000-00001D000000}"/>
    <cellStyle name="Percent 3" xfId="37" xr:uid="{00000000-0005-0000-0000-000025000000}"/>
    <cellStyle name="Section Break" xfId="21" xr:uid="{00000000-0005-0000-0000-000015000000}"/>
    <cellStyle name="Section Break: parent row" xfId="22" xr:uid="{00000000-0005-0000-0000-000016000000}"/>
    <cellStyle name="Table title" xfId="3" xr:uid="{00000000-0005-0000-0000-000003000000}"/>
    <cellStyle name="Table title 2" xfId="40" xr:uid="{00000000-0005-0000-0000-000028000000}"/>
    <cellStyle name="Title 2" xfId="23" xr:uid="{00000000-0005-0000-0000-000017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499927</xdr:colOff>
      <xdr:row>35</xdr:row>
      <xdr:rowOff>55240</xdr:rowOff>
    </xdr:from>
    <xdr:to>
      <xdr:col>18</xdr:col>
      <xdr:colOff>282474</xdr:colOff>
      <xdr:row>56</xdr:row>
      <xdr:rowOff>139675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9984" y="6543126"/>
          <a:ext cx="9276251" cy="39698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/>
  <cols>
    <col min="1" max="24" width="8.85546875" style="2" customWidth="1"/>
    <col min="25" max="16384" width="8.85546875" style="2"/>
  </cols>
  <sheetData>
    <row r="1" spans="1:3" s="1" customFormat="1" ht="23.45" customHeight="1">
      <c r="A1" s="1" t="s">
        <v>0</v>
      </c>
    </row>
    <row r="2" spans="1:3" s="1" customFormat="1" ht="23.45" customHeight="1"/>
    <row r="3" spans="1:3">
      <c r="B3" s="3" t="s">
        <v>1</v>
      </c>
    </row>
    <row r="4" spans="1:3">
      <c r="B4" s="4"/>
      <c r="C4" s="2" t="s">
        <v>2</v>
      </c>
    </row>
    <row r="6" spans="1:3">
      <c r="B6" s="5"/>
      <c r="C6" s="2" t="s">
        <v>3</v>
      </c>
    </row>
    <row r="8" spans="1:3">
      <c r="B8" s="6"/>
      <c r="C8" s="2" t="s">
        <v>4</v>
      </c>
    </row>
    <row r="10" spans="1:3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7" width="8.85546875" style="2" customWidth="1"/>
    <col min="38" max="16384" width="8.85546875" style="2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H22" sqref="H22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"/>
  <sheetViews>
    <sheetView tabSelected="1" zoomScale="70" zoomScaleNormal="70" workbookViewId="0">
      <selection activeCell="F12" sqref="F12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24" width="24.7109375" customWidth="1"/>
  </cols>
  <sheetData>
    <row r="1" spans="1:24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>
      <c r="A2" t="s">
        <v>77</v>
      </c>
      <c r="B2" t="s">
        <v>78</v>
      </c>
      <c r="D2" t="s">
        <v>79</v>
      </c>
      <c r="E2" t="s">
        <v>80</v>
      </c>
      <c r="F2" t="s">
        <v>81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>
      <c r="A3" t="s">
        <v>77</v>
      </c>
      <c r="B3" t="s">
        <v>82</v>
      </c>
      <c r="D3" t="s">
        <v>79</v>
      </c>
      <c r="E3" t="s">
        <v>83</v>
      </c>
      <c r="F3" t="s">
        <v>81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>
      <c r="A4" t="s">
        <v>77</v>
      </c>
      <c r="B4" t="s">
        <v>84</v>
      </c>
      <c r="D4" t="s">
        <v>79</v>
      </c>
      <c r="E4" t="s">
        <v>85</v>
      </c>
      <c r="F4" t="s">
        <v>81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>
      <c r="A5" t="s">
        <v>77</v>
      </c>
      <c r="B5" t="s">
        <v>86</v>
      </c>
      <c r="D5" t="s">
        <v>79</v>
      </c>
      <c r="E5" t="s">
        <v>87</v>
      </c>
      <c r="F5" t="s">
        <v>81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>
      <c r="A6" t="s">
        <v>77</v>
      </c>
      <c r="B6" t="s">
        <v>88</v>
      </c>
      <c r="D6" t="s">
        <v>79</v>
      </c>
      <c r="E6" t="s">
        <v>89</v>
      </c>
      <c r="F6" t="s">
        <v>81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>
      <c r="A7" t="s">
        <v>77</v>
      </c>
      <c r="B7" t="s">
        <v>90</v>
      </c>
      <c r="D7" t="s">
        <v>79</v>
      </c>
      <c r="E7" t="s">
        <v>91</v>
      </c>
      <c r="F7" t="s">
        <v>81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>
      <c r="A8" t="s">
        <v>77</v>
      </c>
      <c r="B8" t="s">
        <v>92</v>
      </c>
      <c r="D8" t="s">
        <v>79</v>
      </c>
      <c r="E8" t="s">
        <v>93</v>
      </c>
      <c r="F8" t="s">
        <v>81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>
      <c r="A9" t="s">
        <v>77</v>
      </c>
      <c r="B9" t="s">
        <v>94</v>
      </c>
      <c r="D9" t="s">
        <v>79</v>
      </c>
      <c r="E9" t="s">
        <v>95</v>
      </c>
      <c r="F9" t="s">
        <v>81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>
      <c r="A10" t="s">
        <v>77</v>
      </c>
      <c r="B10" t="s">
        <v>78</v>
      </c>
      <c r="D10" t="s">
        <v>96</v>
      </c>
      <c r="E10" t="s">
        <v>97</v>
      </c>
      <c r="F10" t="s">
        <v>81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>
      <c r="A11" t="s">
        <v>77</v>
      </c>
      <c r="B11" t="s">
        <v>82</v>
      </c>
      <c r="D11" t="s">
        <v>96</v>
      </c>
      <c r="E11" t="s">
        <v>98</v>
      </c>
      <c r="F11" t="s">
        <v>81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>
      <c r="A12" t="s">
        <v>77</v>
      </c>
      <c r="B12" t="s">
        <v>84</v>
      </c>
      <c r="D12" t="s">
        <v>96</v>
      </c>
      <c r="E12" t="s">
        <v>99</v>
      </c>
      <c r="F12" t="s">
        <v>81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>
      <c r="A13" t="s">
        <v>77</v>
      </c>
      <c r="B13" t="s">
        <v>86</v>
      </c>
      <c r="D13" t="s">
        <v>96</v>
      </c>
      <c r="E13" t="s">
        <v>100</v>
      </c>
      <c r="F13" t="s">
        <v>81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>
      <c r="A14" t="s">
        <v>77</v>
      </c>
      <c r="B14" t="s">
        <v>88</v>
      </c>
      <c r="D14" t="s">
        <v>96</v>
      </c>
      <c r="E14" t="s">
        <v>101</v>
      </c>
      <c r="F14" t="s">
        <v>81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>
      <c r="A15" t="s">
        <v>77</v>
      </c>
      <c r="B15" t="s">
        <v>90</v>
      </c>
      <c r="D15" t="s">
        <v>96</v>
      </c>
      <c r="E15" t="s">
        <v>102</v>
      </c>
      <c r="F15" t="s">
        <v>81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>
      <c r="A16" t="s">
        <v>77</v>
      </c>
      <c r="B16" t="s">
        <v>92</v>
      </c>
      <c r="D16" t="s">
        <v>96</v>
      </c>
      <c r="E16" t="s">
        <v>103</v>
      </c>
      <c r="F16" t="s">
        <v>81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>
      <c r="A17" t="s">
        <v>77</v>
      </c>
      <c r="B17" t="s">
        <v>94</v>
      </c>
      <c r="D17" t="s">
        <v>96</v>
      </c>
      <c r="E17" t="s">
        <v>104</v>
      </c>
      <c r="F17" t="s">
        <v>81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>
      <c r="A18" t="s">
        <v>105</v>
      </c>
      <c r="B18" t="s">
        <v>106</v>
      </c>
      <c r="C18" t="s">
        <v>107</v>
      </c>
      <c r="D18" t="s">
        <v>79</v>
      </c>
      <c r="E18" t="s">
        <v>108</v>
      </c>
      <c r="F18" t="s">
        <v>81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>
      <c r="A19" t="s">
        <v>105</v>
      </c>
      <c r="B19" t="s">
        <v>109</v>
      </c>
      <c r="C19" t="s">
        <v>107</v>
      </c>
      <c r="D19" t="s">
        <v>79</v>
      </c>
      <c r="E19" t="s">
        <v>110</v>
      </c>
      <c r="F19" t="s">
        <v>81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>
      <c r="A20" t="s">
        <v>105</v>
      </c>
      <c r="B20" t="s">
        <v>106</v>
      </c>
      <c r="C20" t="s">
        <v>111</v>
      </c>
      <c r="D20" t="s">
        <v>79</v>
      </c>
      <c r="E20" t="s">
        <v>112</v>
      </c>
      <c r="F20" t="s">
        <v>81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>
      <c r="A21" t="s">
        <v>105</v>
      </c>
      <c r="B21" t="s">
        <v>109</v>
      </c>
      <c r="C21" t="s">
        <v>111</v>
      </c>
      <c r="D21" t="s">
        <v>79</v>
      </c>
      <c r="E21" t="s">
        <v>113</v>
      </c>
      <c r="F21" t="s">
        <v>81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>
      <c r="A22" t="s">
        <v>105</v>
      </c>
      <c r="B22" t="s">
        <v>106</v>
      </c>
      <c r="C22" t="s">
        <v>114</v>
      </c>
      <c r="D22" t="s">
        <v>79</v>
      </c>
      <c r="E22" t="s">
        <v>115</v>
      </c>
      <c r="F22" t="s">
        <v>81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>
      <c r="A23" t="s">
        <v>105</v>
      </c>
      <c r="B23" t="s">
        <v>109</v>
      </c>
      <c r="C23" t="s">
        <v>114</v>
      </c>
      <c r="D23" t="s">
        <v>79</v>
      </c>
      <c r="E23" t="s">
        <v>116</v>
      </c>
      <c r="F23" t="s">
        <v>81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>
      <c r="A24" t="s">
        <v>105</v>
      </c>
      <c r="B24" t="s">
        <v>106</v>
      </c>
      <c r="C24" t="s">
        <v>117</v>
      </c>
      <c r="D24" t="s">
        <v>79</v>
      </c>
      <c r="E24" t="s">
        <v>118</v>
      </c>
      <c r="F24" t="s">
        <v>81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>
      <c r="A25" t="s">
        <v>105</v>
      </c>
      <c r="B25" t="s">
        <v>109</v>
      </c>
      <c r="C25" t="s">
        <v>117</v>
      </c>
      <c r="D25" t="s">
        <v>79</v>
      </c>
      <c r="E25" t="s">
        <v>119</v>
      </c>
      <c r="F25" t="s">
        <v>81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>
      <c r="A26" t="s">
        <v>105</v>
      </c>
      <c r="B26" t="s">
        <v>106</v>
      </c>
      <c r="C26" t="s">
        <v>107</v>
      </c>
      <c r="D26" t="s">
        <v>96</v>
      </c>
      <c r="E26" t="s">
        <v>120</v>
      </c>
      <c r="F26" t="s">
        <v>81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>
      <c r="A27" t="s">
        <v>105</v>
      </c>
      <c r="B27" t="s">
        <v>109</v>
      </c>
      <c r="C27" t="s">
        <v>107</v>
      </c>
      <c r="D27" t="s">
        <v>96</v>
      </c>
      <c r="E27" t="s">
        <v>121</v>
      </c>
      <c r="F27" t="s">
        <v>81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>
      <c r="A28" t="s">
        <v>105</v>
      </c>
      <c r="B28" t="s">
        <v>106</v>
      </c>
      <c r="C28" t="s">
        <v>111</v>
      </c>
      <c r="D28" t="s">
        <v>96</v>
      </c>
      <c r="E28" t="s">
        <v>122</v>
      </c>
      <c r="F28" t="s">
        <v>81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>
      <c r="A29" t="s">
        <v>105</v>
      </c>
      <c r="B29" t="s">
        <v>109</v>
      </c>
      <c r="C29" t="s">
        <v>111</v>
      </c>
      <c r="D29" t="s">
        <v>96</v>
      </c>
      <c r="E29" t="s">
        <v>123</v>
      </c>
      <c r="F29" t="s">
        <v>81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>
      <c r="A30" t="s">
        <v>105</v>
      </c>
      <c r="B30" t="s">
        <v>106</v>
      </c>
      <c r="C30" t="s">
        <v>114</v>
      </c>
      <c r="D30" t="s">
        <v>96</v>
      </c>
      <c r="E30" t="s">
        <v>124</v>
      </c>
      <c r="F30" t="s">
        <v>81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>
      <c r="A31" t="s">
        <v>105</v>
      </c>
      <c r="B31" t="s">
        <v>109</v>
      </c>
      <c r="C31" t="s">
        <v>114</v>
      </c>
      <c r="D31" t="s">
        <v>96</v>
      </c>
      <c r="E31" t="s">
        <v>125</v>
      </c>
      <c r="F31" t="s">
        <v>81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>
      <c r="A32" t="s">
        <v>105</v>
      </c>
      <c r="B32" t="s">
        <v>106</v>
      </c>
      <c r="C32" t="s">
        <v>117</v>
      </c>
      <c r="D32" t="s">
        <v>96</v>
      </c>
      <c r="E32" t="s">
        <v>126</v>
      </c>
      <c r="F32" t="s">
        <v>81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>
      <c r="A33" t="s">
        <v>105</v>
      </c>
      <c r="B33" t="s">
        <v>109</v>
      </c>
      <c r="C33" t="s">
        <v>117</v>
      </c>
      <c r="D33" t="s">
        <v>96</v>
      </c>
      <c r="E33" t="s">
        <v>127</v>
      </c>
      <c r="F33" t="s">
        <v>81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>
      <c r="A34" t="s">
        <v>128</v>
      </c>
      <c r="B34" t="s">
        <v>129</v>
      </c>
      <c r="E34" t="s">
        <v>130</v>
      </c>
      <c r="F34" t="s">
        <v>131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>
      <c r="A35" t="s">
        <v>132</v>
      </c>
      <c r="B35" t="s">
        <v>133</v>
      </c>
      <c r="C35" t="s">
        <v>134</v>
      </c>
      <c r="E35" t="s">
        <v>135</v>
      </c>
      <c r="F35" t="s">
        <v>136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>
      <c r="A36" t="s">
        <v>132</v>
      </c>
      <c r="B36" t="s">
        <v>133</v>
      </c>
      <c r="C36" t="s">
        <v>137</v>
      </c>
      <c r="E36" t="s">
        <v>138</v>
      </c>
      <c r="F36" t="s">
        <v>136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132</v>
      </c>
      <c r="B37" t="s">
        <v>133</v>
      </c>
      <c r="C37" t="s">
        <v>139</v>
      </c>
      <c r="E37" t="s">
        <v>140</v>
      </c>
      <c r="F37" t="s">
        <v>136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132</v>
      </c>
      <c r="B38" t="s">
        <v>141</v>
      </c>
      <c r="C38" t="s">
        <v>142</v>
      </c>
      <c r="E38" t="s">
        <v>143</v>
      </c>
      <c r="F38" t="s">
        <v>136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>
      <c r="A39" t="s">
        <v>132</v>
      </c>
      <c r="B39" t="s">
        <v>141</v>
      </c>
      <c r="C39" t="s">
        <v>144</v>
      </c>
      <c r="E39" t="s">
        <v>145</v>
      </c>
      <c r="F39" t="s">
        <v>136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>
      <c r="A40" t="s">
        <v>132</v>
      </c>
      <c r="B40" t="s">
        <v>141</v>
      </c>
      <c r="C40" t="s">
        <v>146</v>
      </c>
      <c r="E40" t="s">
        <v>147</v>
      </c>
      <c r="F40" t="s">
        <v>136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132</v>
      </c>
      <c r="B41" t="s">
        <v>141</v>
      </c>
      <c r="C41" t="s">
        <v>148</v>
      </c>
      <c r="E41" t="s">
        <v>149</v>
      </c>
      <c r="F41" t="s">
        <v>136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132</v>
      </c>
      <c r="B42" t="s">
        <v>141</v>
      </c>
      <c r="C42" t="s">
        <v>150</v>
      </c>
      <c r="E42" t="s">
        <v>151</v>
      </c>
      <c r="F42" t="s">
        <v>136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>
      <c r="A43" t="s">
        <v>132</v>
      </c>
      <c r="B43" t="s">
        <v>141</v>
      </c>
      <c r="C43" t="s">
        <v>152</v>
      </c>
      <c r="E43" t="s">
        <v>153</v>
      </c>
      <c r="F43" t="s">
        <v>136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132</v>
      </c>
      <c r="B44" t="s">
        <v>133</v>
      </c>
      <c r="C44" t="s">
        <v>154</v>
      </c>
      <c r="E44" t="s">
        <v>155</v>
      </c>
      <c r="F44" t="s">
        <v>136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>
      <c r="A45" t="s">
        <v>132</v>
      </c>
      <c r="B45" t="s">
        <v>133</v>
      </c>
      <c r="C45" t="s">
        <v>156</v>
      </c>
      <c r="E45" t="s">
        <v>157</v>
      </c>
      <c r="F45" t="s">
        <v>136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>
      <c r="A46" t="s">
        <v>132</v>
      </c>
      <c r="B46" t="s">
        <v>133</v>
      </c>
      <c r="C46" t="s">
        <v>158</v>
      </c>
      <c r="E46" t="s">
        <v>159</v>
      </c>
      <c r="F46" t="s">
        <v>136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132</v>
      </c>
      <c r="B47" t="s">
        <v>133</v>
      </c>
      <c r="C47" t="s">
        <v>160</v>
      </c>
      <c r="E47" t="s">
        <v>161</v>
      </c>
      <c r="F47" t="s">
        <v>136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>
      <c r="A48" t="s">
        <v>132</v>
      </c>
      <c r="B48" t="s">
        <v>133</v>
      </c>
      <c r="C48" t="s">
        <v>162</v>
      </c>
      <c r="E48" t="s">
        <v>163</v>
      </c>
      <c r="F48" t="s">
        <v>136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132</v>
      </c>
      <c r="B49" t="s">
        <v>133</v>
      </c>
      <c r="C49" t="s">
        <v>164</v>
      </c>
      <c r="E49" t="s">
        <v>165</v>
      </c>
      <c r="F49" t="s">
        <v>136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132</v>
      </c>
      <c r="B50" t="s">
        <v>133</v>
      </c>
      <c r="C50" t="s">
        <v>166</v>
      </c>
      <c r="E50" t="s">
        <v>167</v>
      </c>
      <c r="F50" t="s">
        <v>136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>
      <c r="A51" t="s">
        <v>132</v>
      </c>
      <c r="B51" t="s">
        <v>133</v>
      </c>
      <c r="C51" t="s">
        <v>168</v>
      </c>
      <c r="E51" t="s">
        <v>169</v>
      </c>
      <c r="F51" t="s">
        <v>136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>
      <c r="A52" t="s">
        <v>132</v>
      </c>
      <c r="B52" t="s">
        <v>94</v>
      </c>
      <c r="C52" t="s">
        <v>170</v>
      </c>
      <c r="E52" t="s">
        <v>171</v>
      </c>
      <c r="F52" t="s">
        <v>136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132</v>
      </c>
      <c r="B53" t="s">
        <v>94</v>
      </c>
      <c r="C53" t="s">
        <v>172</v>
      </c>
      <c r="E53" t="s">
        <v>173</v>
      </c>
      <c r="F53" t="s">
        <v>136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>
      <c r="A54" t="s">
        <v>132</v>
      </c>
      <c r="B54" t="s">
        <v>94</v>
      </c>
      <c r="C54" t="s">
        <v>174</v>
      </c>
      <c r="E54" t="s">
        <v>175</v>
      </c>
      <c r="F54" t="s">
        <v>136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>
      <c r="A55" t="s">
        <v>176</v>
      </c>
      <c r="B55" t="s">
        <v>177</v>
      </c>
      <c r="C55" t="s">
        <v>178</v>
      </c>
      <c r="E55" t="s">
        <v>179</v>
      </c>
      <c r="F55" t="s">
        <v>180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>
      <c r="A56" t="s">
        <v>176</v>
      </c>
      <c r="B56" t="s">
        <v>177</v>
      </c>
      <c r="C56" t="s">
        <v>181</v>
      </c>
      <c r="E56" t="s">
        <v>182</v>
      </c>
      <c r="F56" t="s">
        <v>180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>
      <c r="A57" t="s">
        <v>176</v>
      </c>
      <c r="B57" t="s">
        <v>177</v>
      </c>
      <c r="C57" t="s">
        <v>183</v>
      </c>
      <c r="E57" t="s">
        <v>184</v>
      </c>
      <c r="F57" t="s">
        <v>180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>
      <c r="A58" t="s">
        <v>176</v>
      </c>
      <c r="B58" t="s">
        <v>177</v>
      </c>
      <c r="C58" t="s">
        <v>185</v>
      </c>
      <c r="E58" t="s">
        <v>186</v>
      </c>
      <c r="F58" t="s">
        <v>180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>
      <c r="A59" t="s">
        <v>176</v>
      </c>
      <c r="B59" t="s">
        <v>177</v>
      </c>
      <c r="C59" t="s">
        <v>187</v>
      </c>
      <c r="E59" t="s">
        <v>188</v>
      </c>
      <c r="F59" t="s">
        <v>180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>
      <c r="A60" t="s">
        <v>176</v>
      </c>
      <c r="B60" t="s">
        <v>177</v>
      </c>
      <c r="C60" t="s">
        <v>189</v>
      </c>
      <c r="E60" t="s">
        <v>190</v>
      </c>
      <c r="F60" t="s">
        <v>180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>
      <c r="A61" t="s">
        <v>176</v>
      </c>
      <c r="B61" t="s">
        <v>177</v>
      </c>
      <c r="C61" t="s">
        <v>191</v>
      </c>
      <c r="E61" t="s">
        <v>192</v>
      </c>
      <c r="F61" t="s">
        <v>180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>
      <c r="A62" t="s">
        <v>176</v>
      </c>
      <c r="B62" t="s">
        <v>177</v>
      </c>
      <c r="C62" t="s">
        <v>193</v>
      </c>
      <c r="E62" t="s">
        <v>194</v>
      </c>
      <c r="F62" t="s">
        <v>180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176</v>
      </c>
      <c r="B63" t="s">
        <v>195</v>
      </c>
      <c r="C63" t="s">
        <v>196</v>
      </c>
      <c r="E63" t="s">
        <v>197</v>
      </c>
      <c r="F63" t="s">
        <v>198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>
      <c r="A64" t="s">
        <v>176</v>
      </c>
      <c r="B64" t="s">
        <v>195</v>
      </c>
      <c r="C64" t="s">
        <v>199</v>
      </c>
      <c r="E64" t="s">
        <v>200</v>
      </c>
      <c r="F64" t="s">
        <v>198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>
      <c r="A65" t="s">
        <v>201</v>
      </c>
      <c r="B65" t="s">
        <v>202</v>
      </c>
      <c r="E65" t="s">
        <v>203</v>
      </c>
      <c r="F65" t="s">
        <v>131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>
      <c r="A66" t="s">
        <v>176</v>
      </c>
      <c r="B66" t="s">
        <v>195</v>
      </c>
      <c r="C66" t="s">
        <v>204</v>
      </c>
      <c r="E66" t="s">
        <v>205</v>
      </c>
      <c r="F66" t="s">
        <v>198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71"/>
  <sheetViews>
    <sheetView topLeftCell="A897" zoomScale="55" zoomScaleNormal="55" workbookViewId="0">
      <selection activeCell="D929" sqref="D929"/>
    </sheetView>
  </sheetViews>
  <sheetFormatPr defaultRowHeight="15"/>
  <cols>
    <col min="1" max="1" width="19" bestFit="1" customWidth="1"/>
    <col min="2" max="2" width="7.85546875" bestFit="1" customWidth="1"/>
    <col min="3" max="3" width="10.7109375" style="11" bestFit="1" customWidth="1"/>
    <col min="4" max="4" width="12" bestFit="1" customWidth="1"/>
  </cols>
  <sheetData>
    <row r="1" spans="1:4">
      <c r="A1" t="s">
        <v>75</v>
      </c>
      <c r="B1" t="s">
        <v>76</v>
      </c>
      <c r="C1" s="11" t="s">
        <v>206</v>
      </c>
      <c r="D1" t="s">
        <v>11</v>
      </c>
    </row>
    <row r="2" spans="1:4">
      <c r="A2" t="s">
        <v>80</v>
      </c>
      <c r="B2" t="s">
        <v>81</v>
      </c>
      <c r="C2" s="11">
        <v>2019</v>
      </c>
      <c r="D2">
        <f t="array" ref="D2">_xlfn._xlws.FILTER(_xlfn._xlws.FILTER(Demand!$G$2:$X$66,(Demand!$E$2:$E$66=$A2),""),Demand!$G$1:$X$1=$C2,"")</f>
        <v>11.97870118205155</v>
      </c>
    </row>
    <row r="3" spans="1:4">
      <c r="A3" t="s">
        <v>80</v>
      </c>
      <c r="B3" t="s">
        <v>81</v>
      </c>
      <c r="C3" s="11">
        <v>2020</v>
      </c>
      <c r="D3">
        <f t="array" ref="D3">_xlfn._xlws.FILTER(_xlfn._xlws.FILTER(Demand!$G$2:$X$66,(Demand!$E$2:$E$66=$A3),""),Demand!$G$1:$X$1=$C3,"")</f>
        <v>11.97870118205155</v>
      </c>
    </row>
    <row r="4" spans="1:4">
      <c r="A4" t="s">
        <v>80</v>
      </c>
      <c r="B4" t="s">
        <v>81</v>
      </c>
      <c r="C4" s="11">
        <v>2025</v>
      </c>
      <c r="D4">
        <f t="array" ref="D4">_xlfn._xlws.FILTER(_xlfn._xlws.FILTER(Demand!$G$2:$X$66,(Demand!$E$2:$E$66=$A4),""),Demand!$G$1:$X$1=$C4,"")</f>
        <v>11.97870118205155</v>
      </c>
    </row>
    <row r="5" spans="1:4">
      <c r="A5" t="s">
        <v>80</v>
      </c>
      <c r="B5" t="s">
        <v>81</v>
      </c>
      <c r="C5" s="11">
        <v>2030</v>
      </c>
      <c r="D5">
        <f t="array" ref="D5">_xlfn._xlws.FILTER(_xlfn._xlws.FILTER(Demand!$G$2:$X$66,(Demand!$E$2:$E$66=$A5),""),Demand!$G$1:$X$1=$C5,"")</f>
        <v>11.97870118205155</v>
      </c>
    </row>
    <row r="6" spans="1:4">
      <c r="A6" t="s">
        <v>80</v>
      </c>
      <c r="B6" t="s">
        <v>81</v>
      </c>
      <c r="C6" s="11">
        <v>2035</v>
      </c>
      <c r="D6">
        <f t="array" ref="D6">_xlfn._xlws.FILTER(_xlfn._xlws.FILTER(Demand!$G$2:$X$66,(Demand!$E$2:$E$66=$A6),""),Demand!$G$1:$X$1=$C6,"")</f>
        <v>11.97870118205155</v>
      </c>
    </row>
    <row r="7" spans="1:4">
      <c r="A7" t="s">
        <v>80</v>
      </c>
      <c r="B7" t="s">
        <v>81</v>
      </c>
      <c r="C7" s="11">
        <v>2040</v>
      </c>
      <c r="D7">
        <f t="array" ref="D7">_xlfn._xlws.FILTER(_xlfn._xlws.FILTER(Demand!$G$2:$X$66,(Demand!$E$2:$E$66=$A7),""),Demand!$G$1:$X$1=$C7,"")</f>
        <v>11.97870118205155</v>
      </c>
    </row>
    <row r="8" spans="1:4">
      <c r="A8" t="s">
        <v>80</v>
      </c>
      <c r="B8" t="s">
        <v>81</v>
      </c>
      <c r="C8" s="11">
        <v>2045</v>
      </c>
      <c r="D8">
        <f t="array" ref="D8">_xlfn._xlws.FILTER(_xlfn._xlws.FILTER(Demand!$G$2:$X$66,(Demand!$E$2:$E$66=$A8),""),Demand!$G$1:$X$1=$C8,"")</f>
        <v>11.97870118205155</v>
      </c>
    </row>
    <row r="9" spans="1:4">
      <c r="A9" t="s">
        <v>80</v>
      </c>
      <c r="B9" t="s">
        <v>81</v>
      </c>
      <c r="C9" s="11">
        <v>2050</v>
      </c>
      <c r="D9">
        <f t="array" ref="D9">_xlfn._xlws.FILTER(_xlfn._xlws.FILTER(Demand!$G$2:$X$66,(Demand!$E$2:$E$66=$A9),""),Demand!$G$1:$X$1=$C9,"")</f>
        <v>11.97870118205155</v>
      </c>
    </row>
    <row r="10" spans="1:4">
      <c r="A10" t="s">
        <v>80</v>
      </c>
      <c r="B10" t="s">
        <v>81</v>
      </c>
      <c r="C10" s="11">
        <v>2055</v>
      </c>
      <c r="D10">
        <f t="array" ref="D10">_xlfn._xlws.FILTER(_xlfn._xlws.FILTER(Demand!$G$2:$X$66,(Demand!$E$2:$E$66=$A10),""),Demand!$G$1:$X$1=$C10,"")</f>
        <v>11.97870118205155</v>
      </c>
    </row>
    <row r="11" spans="1:4">
      <c r="A11" t="s">
        <v>80</v>
      </c>
      <c r="B11" t="s">
        <v>81</v>
      </c>
      <c r="C11" s="11">
        <v>2060</v>
      </c>
      <c r="D11">
        <f t="array" ref="D11">_xlfn._xlws.FILTER(_xlfn._xlws.FILTER(Demand!$G$2:$X$66,(Demand!$E$2:$E$66=$A11),""),Demand!$G$1:$X$1=$C11,"")</f>
        <v>11.97870118205155</v>
      </c>
    </row>
    <row r="12" spans="1:4">
      <c r="A12" t="s">
        <v>80</v>
      </c>
      <c r="B12" t="s">
        <v>81</v>
      </c>
      <c r="C12" s="11">
        <v>2065</v>
      </c>
      <c r="D12">
        <f t="array" ref="D12">_xlfn._xlws.FILTER(_xlfn._xlws.FILTER(Demand!$G$2:$X$66,(Demand!$E$2:$E$66=$A12),""),Demand!$G$1:$X$1=$C12,"")</f>
        <v>11.97870118205155</v>
      </c>
    </row>
    <row r="13" spans="1:4">
      <c r="A13" t="s">
        <v>80</v>
      </c>
      <c r="B13" t="s">
        <v>81</v>
      </c>
      <c r="C13" s="11">
        <v>2070</v>
      </c>
      <c r="D13">
        <f t="array" ref="D13">_xlfn._xlws.FILTER(_xlfn._xlws.FILTER(Demand!$G$2:$X$66,(Demand!$E$2:$E$66=$A13),""),Demand!$G$1:$X$1=$C13,"")</f>
        <v>11.97870118205155</v>
      </c>
    </row>
    <row r="14" spans="1:4">
      <c r="A14" t="s">
        <v>80</v>
      </c>
      <c r="B14" t="s">
        <v>81</v>
      </c>
      <c r="C14" s="11">
        <v>2075</v>
      </c>
      <c r="D14">
        <f t="array" ref="D14">_xlfn._xlws.FILTER(_xlfn._xlws.FILTER(Demand!$G$2:$X$66,(Demand!$E$2:$E$66=$A14),""),Demand!$G$1:$X$1=$C14,"")</f>
        <v>11.97870118205155</v>
      </c>
    </row>
    <row r="15" spans="1:4">
      <c r="A15" t="s">
        <v>80</v>
      </c>
      <c r="B15" t="s">
        <v>81</v>
      </c>
      <c r="C15" s="11">
        <v>2080</v>
      </c>
      <c r="D15">
        <f t="array" ref="D15">_xlfn._xlws.FILTER(_xlfn._xlws.FILTER(Demand!$G$2:$X$66,(Demand!$E$2:$E$66=$A15),""),Demand!$G$1:$X$1=$C15,"")</f>
        <v>11.97870118205155</v>
      </c>
    </row>
    <row r="16" spans="1:4">
      <c r="A16" t="s">
        <v>80</v>
      </c>
      <c r="B16" t="s">
        <v>81</v>
      </c>
      <c r="C16" s="11">
        <v>2085</v>
      </c>
      <c r="D16">
        <f t="array" ref="D16">_xlfn._xlws.FILTER(_xlfn._xlws.FILTER(Demand!$G$2:$X$66,(Demand!$E$2:$E$66=$A16),""),Demand!$G$1:$X$1=$C16,"")</f>
        <v>11.97870118205155</v>
      </c>
    </row>
    <row r="17" spans="1:4">
      <c r="A17" t="s">
        <v>80</v>
      </c>
      <c r="B17" t="s">
        <v>81</v>
      </c>
      <c r="C17" s="11">
        <v>2090</v>
      </c>
      <c r="D17">
        <f t="array" ref="D17">_xlfn._xlws.FILTER(_xlfn._xlws.FILTER(Demand!$G$2:$X$66,(Demand!$E$2:$E$66=$A17),""),Demand!$G$1:$X$1=$C17,"")</f>
        <v>11.97870118205155</v>
      </c>
    </row>
    <row r="18" spans="1:4">
      <c r="A18" t="s">
        <v>80</v>
      </c>
      <c r="B18" t="s">
        <v>81</v>
      </c>
      <c r="C18" s="11">
        <v>2095</v>
      </c>
      <c r="D18">
        <f t="array" ref="D18">_xlfn._xlws.FILTER(_xlfn._xlws.FILTER(Demand!$G$2:$X$66,(Demand!$E$2:$E$66=$A18),""),Demand!$G$1:$X$1=$C18,"")</f>
        <v>11.97870118205155</v>
      </c>
    </row>
    <row r="19" spans="1:4">
      <c r="A19" t="s">
        <v>80</v>
      </c>
      <c r="B19" t="s">
        <v>81</v>
      </c>
      <c r="C19" s="11">
        <v>2100</v>
      </c>
      <c r="D19">
        <f t="array" ref="D19">_xlfn._xlws.FILTER(_xlfn._xlws.FILTER(Demand!$G$2:$X$66,(Demand!$E$2:$E$66=$A19),""),Demand!$G$1:$X$1=$C19,"")</f>
        <v>11.97870118205155</v>
      </c>
    </row>
    <row r="20" spans="1:4">
      <c r="A20" t="s">
        <v>83</v>
      </c>
      <c r="B20" t="s">
        <v>81</v>
      </c>
      <c r="C20" s="11">
        <v>2019</v>
      </c>
      <c r="D20">
        <f t="array" ref="D20">_xlfn._xlws.FILTER(_xlfn._xlws.FILTER(Demand!$G$2:$X$66,(Demand!$E$2:$E$66=$A20),""),Demand!$G$1:$X$1=$C20,"")</f>
        <v>23.081056453704559</v>
      </c>
    </row>
    <row r="21" spans="1:4">
      <c r="A21" t="s">
        <v>83</v>
      </c>
      <c r="B21" t="s">
        <v>81</v>
      </c>
      <c r="C21" s="11">
        <v>2020</v>
      </c>
      <c r="D21">
        <f t="array" ref="D21">_xlfn._xlws.FILTER(_xlfn._xlws.FILTER(Demand!$G$2:$X$66,(Demand!$E$2:$E$66=$A21),""),Demand!$G$1:$X$1=$C21,"")</f>
        <v>23.081056453704559</v>
      </c>
    </row>
    <row r="22" spans="1:4">
      <c r="A22" t="s">
        <v>83</v>
      </c>
      <c r="B22" t="s">
        <v>81</v>
      </c>
      <c r="C22" s="11">
        <v>2025</v>
      </c>
      <c r="D22">
        <f t="array" ref="D22">_xlfn._xlws.FILTER(_xlfn._xlws.FILTER(Demand!$G$2:$X$66,(Demand!$E$2:$E$66=$A22),""),Demand!$G$1:$X$1=$C22,"")</f>
        <v>23.081056453704559</v>
      </c>
    </row>
    <row r="23" spans="1:4">
      <c r="A23" t="s">
        <v>83</v>
      </c>
      <c r="B23" t="s">
        <v>81</v>
      </c>
      <c r="C23" s="11">
        <v>2030</v>
      </c>
      <c r="D23">
        <f t="array" ref="D23">_xlfn._xlws.FILTER(_xlfn._xlws.FILTER(Demand!$G$2:$X$66,(Demand!$E$2:$E$66=$A23),""),Demand!$G$1:$X$1=$C23,"")</f>
        <v>23.081056453704559</v>
      </c>
    </row>
    <row r="24" spans="1:4">
      <c r="A24" t="s">
        <v>83</v>
      </c>
      <c r="B24" t="s">
        <v>81</v>
      </c>
      <c r="C24" s="11">
        <v>2035</v>
      </c>
      <c r="D24">
        <f t="array" ref="D24">_xlfn._xlws.FILTER(_xlfn._xlws.FILTER(Demand!$G$2:$X$66,(Demand!$E$2:$E$66=$A24),""),Demand!$G$1:$X$1=$C24,"")</f>
        <v>23.081056453704559</v>
      </c>
    </row>
    <row r="25" spans="1:4">
      <c r="A25" t="s">
        <v>83</v>
      </c>
      <c r="B25" t="s">
        <v>81</v>
      </c>
      <c r="C25" s="11">
        <v>2040</v>
      </c>
      <c r="D25">
        <f t="array" ref="D25">_xlfn._xlws.FILTER(_xlfn._xlws.FILTER(Demand!$G$2:$X$66,(Demand!$E$2:$E$66=$A25),""),Demand!$G$1:$X$1=$C25,"")</f>
        <v>23.081056453704559</v>
      </c>
    </row>
    <row r="26" spans="1:4">
      <c r="A26" t="s">
        <v>83</v>
      </c>
      <c r="B26" t="s">
        <v>81</v>
      </c>
      <c r="C26" s="11">
        <v>2045</v>
      </c>
      <c r="D26">
        <f t="array" ref="D26">_xlfn._xlws.FILTER(_xlfn._xlws.FILTER(Demand!$G$2:$X$66,(Demand!$E$2:$E$66=$A26),""),Demand!$G$1:$X$1=$C26,"")</f>
        <v>23.081056453704559</v>
      </c>
    </row>
    <row r="27" spans="1:4">
      <c r="A27" t="s">
        <v>83</v>
      </c>
      <c r="B27" t="s">
        <v>81</v>
      </c>
      <c r="C27" s="11">
        <v>2050</v>
      </c>
      <c r="D27">
        <f t="array" ref="D27">_xlfn._xlws.FILTER(_xlfn._xlws.FILTER(Demand!$G$2:$X$66,(Demand!$E$2:$E$66=$A27),""),Demand!$G$1:$X$1=$C27,"")</f>
        <v>23.081056453704559</v>
      </c>
    </row>
    <row r="28" spans="1:4">
      <c r="A28" t="s">
        <v>83</v>
      </c>
      <c r="B28" t="s">
        <v>81</v>
      </c>
      <c r="C28" s="11">
        <v>2055</v>
      </c>
      <c r="D28">
        <f t="array" ref="D28">_xlfn._xlws.FILTER(_xlfn._xlws.FILTER(Demand!$G$2:$X$66,(Demand!$E$2:$E$66=$A28),""),Demand!$G$1:$X$1=$C28,"")</f>
        <v>23.081056453704559</v>
      </c>
    </row>
    <row r="29" spans="1:4">
      <c r="A29" t="s">
        <v>83</v>
      </c>
      <c r="B29" t="s">
        <v>81</v>
      </c>
      <c r="C29" s="11">
        <v>2060</v>
      </c>
      <c r="D29">
        <f t="array" ref="D29">_xlfn._xlws.FILTER(_xlfn._xlws.FILTER(Demand!$G$2:$X$66,(Demand!$E$2:$E$66=$A29),""),Demand!$G$1:$X$1=$C29,"")</f>
        <v>23.081056453704559</v>
      </c>
    </row>
    <row r="30" spans="1:4">
      <c r="A30" t="s">
        <v>83</v>
      </c>
      <c r="B30" t="s">
        <v>81</v>
      </c>
      <c r="C30" s="11">
        <v>2065</v>
      </c>
      <c r="D30">
        <f t="array" ref="D30">_xlfn._xlws.FILTER(_xlfn._xlws.FILTER(Demand!$G$2:$X$66,(Demand!$E$2:$E$66=$A30),""),Demand!$G$1:$X$1=$C30,"")</f>
        <v>23.081056453704559</v>
      </c>
    </row>
    <row r="31" spans="1:4">
      <c r="A31" t="s">
        <v>83</v>
      </c>
      <c r="B31" t="s">
        <v>81</v>
      </c>
      <c r="C31" s="11">
        <v>2070</v>
      </c>
      <c r="D31">
        <f t="array" ref="D31">_xlfn._xlws.FILTER(_xlfn._xlws.FILTER(Demand!$G$2:$X$66,(Demand!$E$2:$E$66=$A31),""),Demand!$G$1:$X$1=$C31,"")</f>
        <v>23.081056453704559</v>
      </c>
    </row>
    <row r="32" spans="1:4">
      <c r="A32" t="s">
        <v>83</v>
      </c>
      <c r="B32" t="s">
        <v>81</v>
      </c>
      <c r="C32" s="11">
        <v>2075</v>
      </c>
      <c r="D32">
        <f t="array" ref="D32">_xlfn._xlws.FILTER(_xlfn._xlws.FILTER(Demand!$G$2:$X$66,(Demand!$E$2:$E$66=$A32),""),Demand!$G$1:$X$1=$C32,"")</f>
        <v>23.081056453704559</v>
      </c>
    </row>
    <row r="33" spans="1:4">
      <c r="A33" t="s">
        <v>83</v>
      </c>
      <c r="B33" t="s">
        <v>81</v>
      </c>
      <c r="C33" s="11">
        <v>2080</v>
      </c>
      <c r="D33">
        <f t="array" ref="D33">_xlfn._xlws.FILTER(_xlfn._xlws.FILTER(Demand!$G$2:$X$66,(Demand!$E$2:$E$66=$A33),""),Demand!$G$1:$X$1=$C33,"")</f>
        <v>23.081056453704559</v>
      </c>
    </row>
    <row r="34" spans="1:4">
      <c r="A34" t="s">
        <v>83</v>
      </c>
      <c r="B34" t="s">
        <v>81</v>
      </c>
      <c r="C34" s="11">
        <v>2085</v>
      </c>
      <c r="D34">
        <f t="array" ref="D34">_xlfn._xlws.FILTER(_xlfn._xlws.FILTER(Demand!$G$2:$X$66,(Demand!$E$2:$E$66=$A34),""),Demand!$G$1:$X$1=$C34,"")</f>
        <v>23.081056453704559</v>
      </c>
    </row>
    <row r="35" spans="1:4">
      <c r="A35" t="s">
        <v>83</v>
      </c>
      <c r="B35" t="s">
        <v>81</v>
      </c>
      <c r="C35" s="11">
        <v>2090</v>
      </c>
      <c r="D35">
        <f t="array" ref="D35">_xlfn._xlws.FILTER(_xlfn._xlws.FILTER(Demand!$G$2:$X$66,(Demand!$E$2:$E$66=$A35),""),Demand!$G$1:$X$1=$C35,"")</f>
        <v>23.081056453704559</v>
      </c>
    </row>
    <row r="36" spans="1:4">
      <c r="A36" t="s">
        <v>83</v>
      </c>
      <c r="B36" t="s">
        <v>81</v>
      </c>
      <c r="C36" s="11">
        <v>2095</v>
      </c>
      <c r="D36">
        <f t="array" ref="D36">_xlfn._xlws.FILTER(_xlfn._xlws.FILTER(Demand!$G$2:$X$66,(Demand!$E$2:$E$66=$A36),""),Demand!$G$1:$X$1=$C36,"")</f>
        <v>23.081056453704559</v>
      </c>
    </row>
    <row r="37" spans="1:4">
      <c r="A37" t="s">
        <v>83</v>
      </c>
      <c r="B37" t="s">
        <v>81</v>
      </c>
      <c r="C37" s="11">
        <v>2100</v>
      </c>
      <c r="D37">
        <f t="array" ref="D37">_xlfn._xlws.FILTER(_xlfn._xlws.FILTER(Demand!$G$2:$X$66,(Demand!$E$2:$E$66=$A37),""),Demand!$G$1:$X$1=$C37,"")</f>
        <v>23.081056453704559</v>
      </c>
    </row>
    <row r="38" spans="1:4">
      <c r="A38" t="s">
        <v>85</v>
      </c>
      <c r="B38" t="s">
        <v>81</v>
      </c>
      <c r="C38" s="11">
        <v>2019</v>
      </c>
      <c r="D38">
        <f t="array" ref="D38">_xlfn._xlws.FILTER(_xlfn._xlws.FILTER(Demand!$G$2:$X$66,(Demand!$E$2:$E$66=$A38),""),Demand!$G$1:$X$1=$C38,"")</f>
        <v>73.164818964644439</v>
      </c>
    </row>
    <row r="39" spans="1:4">
      <c r="A39" t="s">
        <v>85</v>
      </c>
      <c r="B39" t="s">
        <v>81</v>
      </c>
      <c r="C39" s="11">
        <v>2020</v>
      </c>
      <c r="D39">
        <f t="array" ref="D39">_xlfn._xlws.FILTER(_xlfn._xlws.FILTER(Demand!$G$2:$X$66,(Demand!$E$2:$E$66=$A39),""),Demand!$G$1:$X$1=$C39,"")</f>
        <v>73.164818964644439</v>
      </c>
    </row>
    <row r="40" spans="1:4">
      <c r="A40" t="s">
        <v>85</v>
      </c>
      <c r="B40" t="s">
        <v>81</v>
      </c>
      <c r="C40" s="11">
        <v>2025</v>
      </c>
      <c r="D40">
        <f t="array" ref="D40">_xlfn._xlws.FILTER(_xlfn._xlws.FILTER(Demand!$G$2:$X$66,(Demand!$E$2:$E$66=$A40),""),Demand!$G$1:$X$1=$C40,"")</f>
        <v>73.164818964644439</v>
      </c>
    </row>
    <row r="41" spans="1:4">
      <c r="A41" t="s">
        <v>85</v>
      </c>
      <c r="B41" t="s">
        <v>81</v>
      </c>
      <c r="C41" s="11">
        <v>2030</v>
      </c>
      <c r="D41">
        <f t="array" ref="D41">_xlfn._xlws.FILTER(_xlfn._xlws.FILTER(Demand!$G$2:$X$66,(Demand!$E$2:$E$66=$A41),""),Demand!$G$1:$X$1=$C41,"")</f>
        <v>73.164818964644439</v>
      </c>
    </row>
    <row r="42" spans="1:4">
      <c r="A42" t="s">
        <v>85</v>
      </c>
      <c r="B42" t="s">
        <v>81</v>
      </c>
      <c r="C42" s="11">
        <v>2035</v>
      </c>
      <c r="D42">
        <f t="array" ref="D42">_xlfn._xlws.FILTER(_xlfn._xlws.FILTER(Demand!$G$2:$X$66,(Demand!$E$2:$E$66=$A42),""),Demand!$G$1:$X$1=$C42,"")</f>
        <v>73.164818964644439</v>
      </c>
    </row>
    <row r="43" spans="1:4">
      <c r="A43" t="s">
        <v>85</v>
      </c>
      <c r="B43" t="s">
        <v>81</v>
      </c>
      <c r="C43" s="11">
        <v>2040</v>
      </c>
      <c r="D43">
        <f t="array" ref="D43">_xlfn._xlws.FILTER(_xlfn._xlws.FILTER(Demand!$G$2:$X$66,(Demand!$E$2:$E$66=$A43),""),Demand!$G$1:$X$1=$C43,"")</f>
        <v>73.164818964644439</v>
      </c>
    </row>
    <row r="44" spans="1:4">
      <c r="A44" t="s">
        <v>85</v>
      </c>
      <c r="B44" t="s">
        <v>81</v>
      </c>
      <c r="C44" s="11">
        <v>2045</v>
      </c>
      <c r="D44">
        <f t="array" ref="D44">_xlfn._xlws.FILTER(_xlfn._xlws.FILTER(Demand!$G$2:$X$66,(Demand!$E$2:$E$66=$A44),""),Demand!$G$1:$X$1=$C44,"")</f>
        <v>73.164818964644439</v>
      </c>
    </row>
    <row r="45" spans="1:4">
      <c r="A45" t="s">
        <v>85</v>
      </c>
      <c r="B45" t="s">
        <v>81</v>
      </c>
      <c r="C45" s="11">
        <v>2050</v>
      </c>
      <c r="D45">
        <f t="array" ref="D45">_xlfn._xlws.FILTER(_xlfn._xlws.FILTER(Demand!$G$2:$X$66,(Demand!$E$2:$E$66=$A45),""),Demand!$G$1:$X$1=$C45,"")</f>
        <v>73.164818964644439</v>
      </c>
    </row>
    <row r="46" spans="1:4">
      <c r="A46" t="s">
        <v>85</v>
      </c>
      <c r="B46" t="s">
        <v>81</v>
      </c>
      <c r="C46" s="11">
        <v>2055</v>
      </c>
      <c r="D46">
        <f t="array" ref="D46">_xlfn._xlws.FILTER(_xlfn._xlws.FILTER(Demand!$G$2:$X$66,(Demand!$E$2:$E$66=$A46),""),Demand!$G$1:$X$1=$C46,"")</f>
        <v>73.164818964644439</v>
      </c>
    </row>
    <row r="47" spans="1:4">
      <c r="A47" t="s">
        <v>85</v>
      </c>
      <c r="B47" t="s">
        <v>81</v>
      </c>
      <c r="C47" s="11">
        <v>2060</v>
      </c>
      <c r="D47">
        <f t="array" ref="D47">_xlfn._xlws.FILTER(_xlfn._xlws.FILTER(Demand!$G$2:$X$66,(Demand!$E$2:$E$66=$A47),""),Demand!$G$1:$X$1=$C47,"")</f>
        <v>73.164818964644439</v>
      </c>
    </row>
    <row r="48" spans="1:4">
      <c r="A48" t="s">
        <v>85</v>
      </c>
      <c r="B48" t="s">
        <v>81</v>
      </c>
      <c r="C48" s="11">
        <v>2065</v>
      </c>
      <c r="D48">
        <f t="array" ref="D48">_xlfn._xlws.FILTER(_xlfn._xlws.FILTER(Demand!$G$2:$X$66,(Demand!$E$2:$E$66=$A48),""),Demand!$G$1:$X$1=$C48,"")</f>
        <v>73.164818964644439</v>
      </c>
    </row>
    <row r="49" spans="1:4">
      <c r="A49" t="s">
        <v>85</v>
      </c>
      <c r="B49" t="s">
        <v>81</v>
      </c>
      <c r="C49" s="11">
        <v>2070</v>
      </c>
      <c r="D49">
        <f t="array" ref="D49">_xlfn._xlws.FILTER(_xlfn._xlws.FILTER(Demand!$G$2:$X$66,(Demand!$E$2:$E$66=$A49),""),Demand!$G$1:$X$1=$C49,"")</f>
        <v>73.164818964644439</v>
      </c>
    </row>
    <row r="50" spans="1:4">
      <c r="A50" t="s">
        <v>85</v>
      </c>
      <c r="B50" t="s">
        <v>81</v>
      </c>
      <c r="C50" s="11">
        <v>2075</v>
      </c>
      <c r="D50">
        <f t="array" ref="D50">_xlfn._xlws.FILTER(_xlfn._xlws.FILTER(Demand!$G$2:$X$66,(Demand!$E$2:$E$66=$A50),""),Demand!$G$1:$X$1=$C50,"")</f>
        <v>73.164818964644439</v>
      </c>
    </row>
    <row r="51" spans="1:4">
      <c r="A51" t="s">
        <v>85</v>
      </c>
      <c r="B51" t="s">
        <v>81</v>
      </c>
      <c r="C51" s="11">
        <v>2080</v>
      </c>
      <c r="D51">
        <f t="array" ref="D51">_xlfn._xlws.FILTER(_xlfn._xlws.FILTER(Demand!$G$2:$X$66,(Demand!$E$2:$E$66=$A51),""),Demand!$G$1:$X$1=$C51,"")</f>
        <v>73.164818964644439</v>
      </c>
    </row>
    <row r="52" spans="1:4">
      <c r="A52" t="s">
        <v>85</v>
      </c>
      <c r="B52" t="s">
        <v>81</v>
      </c>
      <c r="C52" s="11">
        <v>2085</v>
      </c>
      <c r="D52">
        <f t="array" ref="D52">_xlfn._xlws.FILTER(_xlfn._xlws.FILTER(Demand!$G$2:$X$66,(Demand!$E$2:$E$66=$A52),""),Demand!$G$1:$X$1=$C52,"")</f>
        <v>73.164818964644439</v>
      </c>
    </row>
    <row r="53" spans="1:4">
      <c r="A53" t="s">
        <v>85</v>
      </c>
      <c r="B53" t="s">
        <v>81</v>
      </c>
      <c r="C53" s="11">
        <v>2090</v>
      </c>
      <c r="D53">
        <f t="array" ref="D53">_xlfn._xlws.FILTER(_xlfn._xlws.FILTER(Demand!$G$2:$X$66,(Demand!$E$2:$E$66=$A53),""),Demand!$G$1:$X$1=$C53,"")</f>
        <v>73.164818964644439</v>
      </c>
    </row>
    <row r="54" spans="1:4">
      <c r="A54" t="s">
        <v>85</v>
      </c>
      <c r="B54" t="s">
        <v>81</v>
      </c>
      <c r="C54" s="11">
        <v>2095</v>
      </c>
      <c r="D54">
        <f t="array" ref="D54">_xlfn._xlws.FILTER(_xlfn._xlws.FILTER(Demand!$G$2:$X$66,(Demand!$E$2:$E$66=$A54),""),Demand!$G$1:$X$1=$C54,"")</f>
        <v>73.164818964644439</v>
      </c>
    </row>
    <row r="55" spans="1:4">
      <c r="A55" t="s">
        <v>85</v>
      </c>
      <c r="B55" t="s">
        <v>81</v>
      </c>
      <c r="C55" s="11">
        <v>2100</v>
      </c>
      <c r="D55">
        <f t="array" ref="D55">_xlfn._xlws.FILTER(_xlfn._xlws.FILTER(Demand!$G$2:$X$66,(Demand!$E$2:$E$66=$A55),""),Demand!$G$1:$X$1=$C55,"")</f>
        <v>73.164818964644439</v>
      </c>
    </row>
    <row r="56" spans="1:4">
      <c r="A56" t="s">
        <v>87</v>
      </c>
      <c r="B56" t="s">
        <v>81</v>
      </c>
      <c r="C56" s="11">
        <v>2019</v>
      </c>
      <c r="D56">
        <f t="array" ref="D56">_xlfn._xlws.FILTER(_xlfn._xlws.FILTER(Demand!$G$2:$X$66,(Demand!$E$2:$E$66=$A56),""),Demand!$G$1:$X$1=$C56,"")</f>
        <v>44.382259283666471</v>
      </c>
    </row>
    <row r="57" spans="1:4">
      <c r="A57" t="s">
        <v>87</v>
      </c>
      <c r="B57" t="s">
        <v>81</v>
      </c>
      <c r="C57" s="11">
        <v>2020</v>
      </c>
      <c r="D57">
        <f t="array" ref="D57">_xlfn._xlws.FILTER(_xlfn._xlws.FILTER(Demand!$G$2:$X$66,(Demand!$E$2:$E$66=$A57),""),Demand!$G$1:$X$1=$C57,"")</f>
        <v>44.382259283666471</v>
      </c>
    </row>
    <row r="58" spans="1:4">
      <c r="A58" t="s">
        <v>87</v>
      </c>
      <c r="B58" t="s">
        <v>81</v>
      </c>
      <c r="C58" s="11">
        <v>2025</v>
      </c>
      <c r="D58">
        <f t="array" ref="D58">_xlfn._xlws.FILTER(_xlfn._xlws.FILTER(Demand!$G$2:$X$66,(Demand!$E$2:$E$66=$A58),""),Demand!$G$1:$X$1=$C58,"")</f>
        <v>44.382259283666471</v>
      </c>
    </row>
    <row r="59" spans="1:4">
      <c r="A59" t="s">
        <v>87</v>
      </c>
      <c r="B59" t="s">
        <v>81</v>
      </c>
      <c r="C59" s="11">
        <v>2030</v>
      </c>
      <c r="D59">
        <f t="array" ref="D59">_xlfn._xlws.FILTER(_xlfn._xlws.FILTER(Demand!$G$2:$X$66,(Demand!$E$2:$E$66=$A59),""),Demand!$G$1:$X$1=$C59,"")</f>
        <v>44.382259283666471</v>
      </c>
    </row>
    <row r="60" spans="1:4">
      <c r="A60" t="s">
        <v>87</v>
      </c>
      <c r="B60" t="s">
        <v>81</v>
      </c>
      <c r="C60" s="11">
        <v>2035</v>
      </c>
      <c r="D60">
        <f t="array" ref="D60">_xlfn._xlws.FILTER(_xlfn._xlws.FILTER(Demand!$G$2:$X$66,(Demand!$E$2:$E$66=$A60),""),Demand!$G$1:$X$1=$C60,"")</f>
        <v>44.382259283666471</v>
      </c>
    </row>
    <row r="61" spans="1:4">
      <c r="A61" t="s">
        <v>87</v>
      </c>
      <c r="B61" t="s">
        <v>81</v>
      </c>
      <c r="C61" s="11">
        <v>2040</v>
      </c>
      <c r="D61">
        <f t="array" ref="D61">_xlfn._xlws.FILTER(_xlfn._xlws.FILTER(Demand!$G$2:$X$66,(Demand!$E$2:$E$66=$A61),""),Demand!$G$1:$X$1=$C61,"")</f>
        <v>44.382259283666471</v>
      </c>
    </row>
    <row r="62" spans="1:4">
      <c r="A62" t="s">
        <v>87</v>
      </c>
      <c r="B62" t="s">
        <v>81</v>
      </c>
      <c r="C62" s="11">
        <v>2045</v>
      </c>
      <c r="D62">
        <f t="array" ref="D62">_xlfn._xlws.FILTER(_xlfn._xlws.FILTER(Demand!$G$2:$X$66,(Demand!$E$2:$E$66=$A62),""),Demand!$G$1:$X$1=$C62,"")</f>
        <v>44.382259283666471</v>
      </c>
    </row>
    <row r="63" spans="1:4">
      <c r="A63" t="s">
        <v>87</v>
      </c>
      <c r="B63" t="s">
        <v>81</v>
      </c>
      <c r="C63" s="11">
        <v>2050</v>
      </c>
      <c r="D63">
        <f t="array" ref="D63">_xlfn._xlws.FILTER(_xlfn._xlws.FILTER(Demand!$G$2:$X$66,(Demand!$E$2:$E$66=$A63),""),Demand!$G$1:$X$1=$C63,"")</f>
        <v>44.382259283666471</v>
      </c>
    </row>
    <row r="64" spans="1:4">
      <c r="A64" t="s">
        <v>87</v>
      </c>
      <c r="B64" t="s">
        <v>81</v>
      </c>
      <c r="C64" s="11">
        <v>2055</v>
      </c>
      <c r="D64">
        <f t="array" ref="D64">_xlfn._xlws.FILTER(_xlfn._xlws.FILTER(Demand!$G$2:$X$66,(Demand!$E$2:$E$66=$A64),""),Demand!$G$1:$X$1=$C64,"")</f>
        <v>44.382259283666471</v>
      </c>
    </row>
    <row r="65" spans="1:4">
      <c r="A65" t="s">
        <v>87</v>
      </c>
      <c r="B65" t="s">
        <v>81</v>
      </c>
      <c r="C65" s="11">
        <v>2060</v>
      </c>
      <c r="D65">
        <f t="array" ref="D65">_xlfn._xlws.FILTER(_xlfn._xlws.FILTER(Demand!$G$2:$X$66,(Demand!$E$2:$E$66=$A65),""),Demand!$G$1:$X$1=$C65,"")</f>
        <v>44.382259283666471</v>
      </c>
    </row>
    <row r="66" spans="1:4">
      <c r="A66" t="s">
        <v>87</v>
      </c>
      <c r="B66" t="s">
        <v>81</v>
      </c>
      <c r="C66" s="11">
        <v>2065</v>
      </c>
      <c r="D66">
        <f t="array" ref="D66">_xlfn._xlws.FILTER(_xlfn._xlws.FILTER(Demand!$G$2:$X$66,(Demand!$E$2:$E$66=$A66),""),Demand!$G$1:$X$1=$C66,"")</f>
        <v>44.382259283666471</v>
      </c>
    </row>
    <row r="67" spans="1:4">
      <c r="A67" t="s">
        <v>87</v>
      </c>
      <c r="B67" t="s">
        <v>81</v>
      </c>
      <c r="C67" s="11">
        <v>2070</v>
      </c>
      <c r="D67">
        <f t="array" ref="D67">_xlfn._xlws.FILTER(_xlfn._xlws.FILTER(Demand!$G$2:$X$66,(Demand!$E$2:$E$66=$A67),""),Demand!$G$1:$X$1=$C67,"")</f>
        <v>44.382259283666471</v>
      </c>
    </row>
    <row r="68" spans="1:4">
      <c r="A68" t="s">
        <v>87</v>
      </c>
      <c r="B68" t="s">
        <v>81</v>
      </c>
      <c r="C68" s="11">
        <v>2075</v>
      </c>
      <c r="D68">
        <f t="array" ref="D68">_xlfn._xlws.FILTER(_xlfn._xlws.FILTER(Demand!$G$2:$X$66,(Demand!$E$2:$E$66=$A68),""),Demand!$G$1:$X$1=$C68,"")</f>
        <v>44.382259283666471</v>
      </c>
    </row>
    <row r="69" spans="1:4">
      <c r="A69" t="s">
        <v>87</v>
      </c>
      <c r="B69" t="s">
        <v>81</v>
      </c>
      <c r="C69" s="11">
        <v>2080</v>
      </c>
      <c r="D69">
        <f t="array" ref="D69">_xlfn._xlws.FILTER(_xlfn._xlws.FILTER(Demand!$G$2:$X$66,(Demand!$E$2:$E$66=$A69),""),Demand!$G$1:$X$1=$C69,"")</f>
        <v>44.382259283666471</v>
      </c>
    </row>
    <row r="70" spans="1:4">
      <c r="A70" t="s">
        <v>87</v>
      </c>
      <c r="B70" t="s">
        <v>81</v>
      </c>
      <c r="C70" s="11">
        <v>2085</v>
      </c>
      <c r="D70">
        <f t="array" ref="D70">_xlfn._xlws.FILTER(_xlfn._xlws.FILTER(Demand!$G$2:$X$66,(Demand!$E$2:$E$66=$A70),""),Demand!$G$1:$X$1=$C70,"")</f>
        <v>44.382259283666471</v>
      </c>
    </row>
    <row r="71" spans="1:4">
      <c r="A71" t="s">
        <v>87</v>
      </c>
      <c r="B71" t="s">
        <v>81</v>
      </c>
      <c r="C71" s="11">
        <v>2090</v>
      </c>
      <c r="D71">
        <f t="array" ref="D71">_xlfn._xlws.FILTER(_xlfn._xlws.FILTER(Demand!$G$2:$X$66,(Demand!$E$2:$E$66=$A71),""),Demand!$G$1:$X$1=$C71,"")</f>
        <v>44.382259283666471</v>
      </c>
    </row>
    <row r="72" spans="1:4">
      <c r="A72" t="s">
        <v>87</v>
      </c>
      <c r="B72" t="s">
        <v>81</v>
      </c>
      <c r="C72" s="11">
        <v>2095</v>
      </c>
      <c r="D72">
        <f t="array" ref="D72">_xlfn._xlws.FILTER(_xlfn._xlws.FILTER(Demand!$G$2:$X$66,(Demand!$E$2:$E$66=$A72),""),Demand!$G$1:$X$1=$C72,"")</f>
        <v>44.382259283666471</v>
      </c>
    </row>
    <row r="73" spans="1:4">
      <c r="A73" t="s">
        <v>87</v>
      </c>
      <c r="B73" t="s">
        <v>81</v>
      </c>
      <c r="C73" s="11">
        <v>2100</v>
      </c>
      <c r="D73">
        <f t="array" ref="D73">_xlfn._xlws.FILTER(_xlfn._xlws.FILTER(Demand!$G$2:$X$66,(Demand!$E$2:$E$66=$A73),""),Demand!$G$1:$X$1=$C73,"")</f>
        <v>44.382259283666471</v>
      </c>
    </row>
    <row r="74" spans="1:4">
      <c r="A74" t="s">
        <v>89</v>
      </c>
      <c r="B74" t="s">
        <v>81</v>
      </c>
      <c r="C74" s="11">
        <v>2019</v>
      </c>
      <c r="D74">
        <f t="array" ref="D74">_xlfn._xlws.FILTER(_xlfn._xlws.FILTER(Demand!$G$2:$X$66,(Demand!$E$2:$E$66=$A74),""),Demand!$G$1:$X$1=$C74,"")</f>
        <v>48.565496275889338</v>
      </c>
    </row>
    <row r="75" spans="1:4">
      <c r="A75" t="s">
        <v>89</v>
      </c>
      <c r="B75" t="s">
        <v>81</v>
      </c>
      <c r="C75" s="11">
        <v>2020</v>
      </c>
      <c r="D75">
        <f t="array" ref="D75">_xlfn._xlws.FILTER(_xlfn._xlws.FILTER(Demand!$G$2:$X$66,(Demand!$E$2:$E$66=$A75),""),Demand!$G$1:$X$1=$C75,"")</f>
        <v>48.565496275889338</v>
      </c>
    </row>
    <row r="76" spans="1:4">
      <c r="A76" t="s">
        <v>89</v>
      </c>
      <c r="B76" t="s">
        <v>81</v>
      </c>
      <c r="C76" s="11">
        <v>2025</v>
      </c>
      <c r="D76">
        <f t="array" ref="D76">_xlfn._xlws.FILTER(_xlfn._xlws.FILTER(Demand!$G$2:$X$66,(Demand!$E$2:$E$66=$A76),""),Demand!$G$1:$X$1=$C76,"")</f>
        <v>48.565496275889338</v>
      </c>
    </row>
    <row r="77" spans="1:4">
      <c r="A77" t="s">
        <v>89</v>
      </c>
      <c r="B77" t="s">
        <v>81</v>
      </c>
      <c r="C77" s="11">
        <v>2030</v>
      </c>
      <c r="D77">
        <f t="array" ref="D77">_xlfn._xlws.FILTER(_xlfn._xlws.FILTER(Demand!$G$2:$X$66,(Demand!$E$2:$E$66=$A77),""),Demand!$G$1:$X$1=$C77,"")</f>
        <v>48.565496275889338</v>
      </c>
    </row>
    <row r="78" spans="1:4">
      <c r="A78" t="s">
        <v>89</v>
      </c>
      <c r="B78" t="s">
        <v>81</v>
      </c>
      <c r="C78" s="11">
        <v>2035</v>
      </c>
      <c r="D78">
        <f t="array" ref="D78">_xlfn._xlws.FILTER(_xlfn._xlws.FILTER(Demand!$G$2:$X$66,(Demand!$E$2:$E$66=$A78),""),Demand!$G$1:$X$1=$C78,"")</f>
        <v>48.565496275889338</v>
      </c>
    </row>
    <row r="79" spans="1:4">
      <c r="A79" t="s">
        <v>89</v>
      </c>
      <c r="B79" t="s">
        <v>81</v>
      </c>
      <c r="C79" s="11">
        <v>2040</v>
      </c>
      <c r="D79">
        <f t="array" ref="D79">_xlfn._xlws.FILTER(_xlfn._xlws.FILTER(Demand!$G$2:$X$66,(Demand!$E$2:$E$66=$A79),""),Demand!$G$1:$X$1=$C79,"")</f>
        <v>48.565496275889338</v>
      </c>
    </row>
    <row r="80" spans="1:4">
      <c r="A80" t="s">
        <v>89</v>
      </c>
      <c r="B80" t="s">
        <v>81</v>
      </c>
      <c r="C80" s="11">
        <v>2045</v>
      </c>
      <c r="D80">
        <f t="array" ref="D80">_xlfn._xlws.FILTER(_xlfn._xlws.FILTER(Demand!$G$2:$X$66,(Demand!$E$2:$E$66=$A80),""),Demand!$G$1:$X$1=$C80,"")</f>
        <v>48.565496275889338</v>
      </c>
    </row>
    <row r="81" spans="1:4">
      <c r="A81" t="s">
        <v>89</v>
      </c>
      <c r="B81" t="s">
        <v>81</v>
      </c>
      <c r="C81" s="11">
        <v>2050</v>
      </c>
      <c r="D81">
        <f t="array" ref="D81">_xlfn._xlws.FILTER(_xlfn._xlws.FILTER(Demand!$G$2:$X$66,(Demand!$E$2:$E$66=$A81),""),Demand!$G$1:$X$1=$C81,"")</f>
        <v>48.565496275889338</v>
      </c>
    </row>
    <row r="82" spans="1:4">
      <c r="A82" t="s">
        <v>89</v>
      </c>
      <c r="B82" t="s">
        <v>81</v>
      </c>
      <c r="C82" s="11">
        <v>2055</v>
      </c>
      <c r="D82">
        <f t="array" ref="D82">_xlfn._xlws.FILTER(_xlfn._xlws.FILTER(Demand!$G$2:$X$66,(Demand!$E$2:$E$66=$A82),""),Demand!$G$1:$X$1=$C82,"")</f>
        <v>48.565496275889338</v>
      </c>
    </row>
    <row r="83" spans="1:4">
      <c r="A83" t="s">
        <v>89</v>
      </c>
      <c r="B83" t="s">
        <v>81</v>
      </c>
      <c r="C83" s="11">
        <v>2060</v>
      </c>
      <c r="D83">
        <f t="array" ref="D83">_xlfn._xlws.FILTER(_xlfn._xlws.FILTER(Demand!$G$2:$X$66,(Demand!$E$2:$E$66=$A83),""),Demand!$G$1:$X$1=$C83,"")</f>
        <v>48.565496275889338</v>
      </c>
    </row>
    <row r="84" spans="1:4">
      <c r="A84" t="s">
        <v>89</v>
      </c>
      <c r="B84" t="s">
        <v>81</v>
      </c>
      <c r="C84" s="11">
        <v>2065</v>
      </c>
      <c r="D84">
        <f t="array" ref="D84">_xlfn._xlws.FILTER(_xlfn._xlws.FILTER(Demand!$G$2:$X$66,(Demand!$E$2:$E$66=$A84),""),Demand!$G$1:$X$1=$C84,"")</f>
        <v>48.565496275889338</v>
      </c>
    </row>
    <row r="85" spans="1:4">
      <c r="A85" t="s">
        <v>89</v>
      </c>
      <c r="B85" t="s">
        <v>81</v>
      </c>
      <c r="C85" s="11">
        <v>2070</v>
      </c>
      <c r="D85">
        <f t="array" ref="D85">_xlfn._xlws.FILTER(_xlfn._xlws.FILTER(Demand!$G$2:$X$66,(Demand!$E$2:$E$66=$A85),""),Demand!$G$1:$X$1=$C85,"")</f>
        <v>48.565496275889338</v>
      </c>
    </row>
    <row r="86" spans="1:4">
      <c r="A86" t="s">
        <v>89</v>
      </c>
      <c r="B86" t="s">
        <v>81</v>
      </c>
      <c r="C86" s="11">
        <v>2075</v>
      </c>
      <c r="D86">
        <f t="array" ref="D86">_xlfn._xlws.FILTER(_xlfn._xlws.FILTER(Demand!$G$2:$X$66,(Demand!$E$2:$E$66=$A86),""),Demand!$G$1:$X$1=$C86,"")</f>
        <v>48.565496275889338</v>
      </c>
    </row>
    <row r="87" spans="1:4">
      <c r="A87" t="s">
        <v>89</v>
      </c>
      <c r="B87" t="s">
        <v>81</v>
      </c>
      <c r="C87" s="11">
        <v>2080</v>
      </c>
      <c r="D87">
        <f t="array" ref="D87">_xlfn._xlws.FILTER(_xlfn._xlws.FILTER(Demand!$G$2:$X$66,(Demand!$E$2:$E$66=$A87),""),Demand!$G$1:$X$1=$C87,"")</f>
        <v>48.565496275889338</v>
      </c>
    </row>
    <row r="88" spans="1:4">
      <c r="A88" t="s">
        <v>89</v>
      </c>
      <c r="B88" t="s">
        <v>81</v>
      </c>
      <c r="C88" s="11">
        <v>2085</v>
      </c>
      <c r="D88">
        <f t="array" ref="D88">_xlfn._xlws.FILTER(_xlfn._xlws.FILTER(Demand!$G$2:$X$66,(Demand!$E$2:$E$66=$A88),""),Demand!$G$1:$X$1=$C88,"")</f>
        <v>48.565496275889338</v>
      </c>
    </row>
    <row r="89" spans="1:4">
      <c r="A89" t="s">
        <v>89</v>
      </c>
      <c r="B89" t="s">
        <v>81</v>
      </c>
      <c r="C89" s="11">
        <v>2090</v>
      </c>
      <c r="D89">
        <f t="array" ref="D89">_xlfn._xlws.FILTER(_xlfn._xlws.FILTER(Demand!$G$2:$X$66,(Demand!$E$2:$E$66=$A89),""),Demand!$G$1:$X$1=$C89,"")</f>
        <v>48.565496275889338</v>
      </c>
    </row>
    <row r="90" spans="1:4">
      <c r="A90" t="s">
        <v>89</v>
      </c>
      <c r="B90" t="s">
        <v>81</v>
      </c>
      <c r="C90" s="11">
        <v>2095</v>
      </c>
      <c r="D90">
        <f t="array" ref="D90">_xlfn._xlws.FILTER(_xlfn._xlws.FILTER(Demand!$G$2:$X$66,(Demand!$E$2:$E$66=$A90),""),Demand!$G$1:$X$1=$C90,"")</f>
        <v>48.565496275889338</v>
      </c>
    </row>
    <row r="91" spans="1:4">
      <c r="A91" t="s">
        <v>89</v>
      </c>
      <c r="B91" t="s">
        <v>81</v>
      </c>
      <c r="C91" s="11">
        <v>2100</v>
      </c>
      <c r="D91">
        <f t="array" ref="D91">_xlfn._xlws.FILTER(_xlfn._xlws.FILTER(Demand!$G$2:$X$66,(Demand!$E$2:$E$66=$A91),""),Demand!$G$1:$X$1=$C91,"")</f>
        <v>48.565496275889338</v>
      </c>
    </row>
    <row r="92" spans="1:4">
      <c r="A92" t="s">
        <v>91</v>
      </c>
      <c r="B92" t="s">
        <v>81</v>
      </c>
      <c r="C92" s="11">
        <v>2019</v>
      </c>
      <c r="D92">
        <f t="array" ref="D92">_xlfn._xlws.FILTER(_xlfn._xlws.FILTER(Demand!$G$2:$X$66,(Demand!$E$2:$E$66=$A92),""),Demand!$G$1:$X$1=$C92,"")</f>
        <v>32.733586523867501</v>
      </c>
    </row>
    <row r="93" spans="1:4">
      <c r="A93" t="s">
        <v>91</v>
      </c>
      <c r="B93" t="s">
        <v>81</v>
      </c>
      <c r="C93" s="11">
        <v>2020</v>
      </c>
      <c r="D93">
        <f t="array" ref="D93">_xlfn._xlws.FILTER(_xlfn._xlws.FILTER(Demand!$G$2:$X$66,(Demand!$E$2:$E$66=$A93),""),Demand!$G$1:$X$1=$C93,"")</f>
        <v>32.733586523867501</v>
      </c>
    </row>
    <row r="94" spans="1:4">
      <c r="A94" t="s">
        <v>91</v>
      </c>
      <c r="B94" t="s">
        <v>81</v>
      </c>
      <c r="C94" s="11">
        <v>2025</v>
      </c>
      <c r="D94">
        <f t="array" ref="D94">_xlfn._xlws.FILTER(_xlfn._xlws.FILTER(Demand!$G$2:$X$66,(Demand!$E$2:$E$66=$A94),""),Demand!$G$1:$X$1=$C94,"")</f>
        <v>32.733586523867501</v>
      </c>
    </row>
    <row r="95" spans="1:4">
      <c r="A95" t="s">
        <v>91</v>
      </c>
      <c r="B95" t="s">
        <v>81</v>
      </c>
      <c r="C95" s="11">
        <v>2030</v>
      </c>
      <c r="D95">
        <f t="array" ref="D95">_xlfn._xlws.FILTER(_xlfn._xlws.FILTER(Demand!$G$2:$X$66,(Demand!$E$2:$E$66=$A95),""),Demand!$G$1:$X$1=$C95,"")</f>
        <v>32.733586523867501</v>
      </c>
    </row>
    <row r="96" spans="1:4">
      <c r="A96" t="s">
        <v>91</v>
      </c>
      <c r="B96" t="s">
        <v>81</v>
      </c>
      <c r="C96" s="11">
        <v>2035</v>
      </c>
      <c r="D96">
        <f t="array" ref="D96">_xlfn._xlws.FILTER(_xlfn._xlws.FILTER(Demand!$G$2:$X$66,(Demand!$E$2:$E$66=$A96),""),Demand!$G$1:$X$1=$C96,"")</f>
        <v>32.733586523867501</v>
      </c>
    </row>
    <row r="97" spans="1:4">
      <c r="A97" t="s">
        <v>91</v>
      </c>
      <c r="B97" t="s">
        <v>81</v>
      </c>
      <c r="C97" s="11">
        <v>2040</v>
      </c>
      <c r="D97">
        <f t="array" ref="D97">_xlfn._xlws.FILTER(_xlfn._xlws.FILTER(Demand!$G$2:$X$66,(Demand!$E$2:$E$66=$A97),""),Demand!$G$1:$X$1=$C97,"")</f>
        <v>32.733586523867501</v>
      </c>
    </row>
    <row r="98" spans="1:4">
      <c r="A98" t="s">
        <v>91</v>
      </c>
      <c r="B98" t="s">
        <v>81</v>
      </c>
      <c r="C98" s="11">
        <v>2045</v>
      </c>
      <c r="D98">
        <f t="array" ref="D98">_xlfn._xlws.FILTER(_xlfn._xlws.FILTER(Demand!$G$2:$X$66,(Demand!$E$2:$E$66=$A98),""),Demand!$G$1:$X$1=$C98,"")</f>
        <v>32.733586523867501</v>
      </c>
    </row>
    <row r="99" spans="1:4">
      <c r="A99" t="s">
        <v>91</v>
      </c>
      <c r="B99" t="s">
        <v>81</v>
      </c>
      <c r="C99" s="11">
        <v>2050</v>
      </c>
      <c r="D99">
        <f t="array" ref="D99">_xlfn._xlws.FILTER(_xlfn._xlws.FILTER(Demand!$G$2:$X$66,(Demand!$E$2:$E$66=$A99),""),Demand!$G$1:$X$1=$C99,"")</f>
        <v>32.733586523867501</v>
      </c>
    </row>
    <row r="100" spans="1:4">
      <c r="A100" t="s">
        <v>91</v>
      </c>
      <c r="B100" t="s">
        <v>81</v>
      </c>
      <c r="C100" s="11">
        <v>2055</v>
      </c>
      <c r="D100">
        <f t="array" ref="D100">_xlfn._xlws.FILTER(_xlfn._xlws.FILTER(Demand!$G$2:$X$66,(Demand!$E$2:$E$66=$A100),""),Demand!$G$1:$X$1=$C100,"")</f>
        <v>32.733586523867501</v>
      </c>
    </row>
    <row r="101" spans="1:4">
      <c r="A101" t="s">
        <v>91</v>
      </c>
      <c r="B101" t="s">
        <v>81</v>
      </c>
      <c r="C101" s="11">
        <v>2060</v>
      </c>
      <c r="D101">
        <f t="array" ref="D101">_xlfn._xlws.FILTER(_xlfn._xlws.FILTER(Demand!$G$2:$X$66,(Demand!$E$2:$E$66=$A101),""),Demand!$G$1:$X$1=$C101,"")</f>
        <v>32.733586523867501</v>
      </c>
    </row>
    <row r="102" spans="1:4">
      <c r="A102" t="s">
        <v>91</v>
      </c>
      <c r="B102" t="s">
        <v>81</v>
      </c>
      <c r="C102" s="11">
        <v>2065</v>
      </c>
      <c r="D102">
        <f t="array" ref="D102">_xlfn._xlws.FILTER(_xlfn._xlws.FILTER(Demand!$G$2:$X$66,(Demand!$E$2:$E$66=$A102),""),Demand!$G$1:$X$1=$C102,"")</f>
        <v>32.733586523867501</v>
      </c>
    </row>
    <row r="103" spans="1:4">
      <c r="A103" t="s">
        <v>91</v>
      </c>
      <c r="B103" t="s">
        <v>81</v>
      </c>
      <c r="C103" s="11">
        <v>2070</v>
      </c>
      <c r="D103">
        <f t="array" ref="D103">_xlfn._xlws.FILTER(_xlfn._xlws.FILTER(Demand!$G$2:$X$66,(Demand!$E$2:$E$66=$A103),""),Demand!$G$1:$X$1=$C103,"")</f>
        <v>32.733586523867501</v>
      </c>
    </row>
    <row r="104" spans="1:4">
      <c r="A104" t="s">
        <v>91</v>
      </c>
      <c r="B104" t="s">
        <v>81</v>
      </c>
      <c r="C104" s="11">
        <v>2075</v>
      </c>
      <c r="D104">
        <f t="array" ref="D104">_xlfn._xlws.FILTER(_xlfn._xlws.FILTER(Demand!$G$2:$X$66,(Demand!$E$2:$E$66=$A104),""),Demand!$G$1:$X$1=$C104,"")</f>
        <v>32.733586523867501</v>
      </c>
    </row>
    <row r="105" spans="1:4">
      <c r="A105" t="s">
        <v>91</v>
      </c>
      <c r="B105" t="s">
        <v>81</v>
      </c>
      <c r="C105" s="11">
        <v>2080</v>
      </c>
      <c r="D105">
        <f t="array" ref="D105">_xlfn._xlws.FILTER(_xlfn._xlws.FILTER(Demand!$G$2:$X$66,(Demand!$E$2:$E$66=$A105),""),Demand!$G$1:$X$1=$C105,"")</f>
        <v>32.733586523867501</v>
      </c>
    </row>
    <row r="106" spans="1:4">
      <c r="A106" t="s">
        <v>91</v>
      </c>
      <c r="B106" t="s">
        <v>81</v>
      </c>
      <c r="C106" s="11">
        <v>2085</v>
      </c>
      <c r="D106">
        <f t="array" ref="D106">_xlfn._xlws.FILTER(_xlfn._xlws.FILTER(Demand!$G$2:$X$66,(Demand!$E$2:$E$66=$A106),""),Demand!$G$1:$X$1=$C106,"")</f>
        <v>32.733586523867501</v>
      </c>
    </row>
    <row r="107" spans="1:4">
      <c r="A107" t="s">
        <v>91</v>
      </c>
      <c r="B107" t="s">
        <v>81</v>
      </c>
      <c r="C107" s="11">
        <v>2090</v>
      </c>
      <c r="D107">
        <f t="array" ref="D107">_xlfn._xlws.FILTER(_xlfn._xlws.FILTER(Demand!$G$2:$X$66,(Demand!$E$2:$E$66=$A107),""),Demand!$G$1:$X$1=$C107,"")</f>
        <v>32.733586523867501</v>
      </c>
    </row>
    <row r="108" spans="1:4">
      <c r="A108" t="s">
        <v>91</v>
      </c>
      <c r="B108" t="s">
        <v>81</v>
      </c>
      <c r="C108" s="11">
        <v>2095</v>
      </c>
      <c r="D108">
        <f t="array" ref="D108">_xlfn._xlws.FILTER(_xlfn._xlws.FILTER(Demand!$G$2:$X$66,(Demand!$E$2:$E$66=$A108),""),Demand!$G$1:$X$1=$C108,"")</f>
        <v>32.733586523867501</v>
      </c>
    </row>
    <row r="109" spans="1:4">
      <c r="A109" t="s">
        <v>91</v>
      </c>
      <c r="B109" t="s">
        <v>81</v>
      </c>
      <c r="C109" s="11">
        <v>2100</v>
      </c>
      <c r="D109">
        <f t="array" ref="D109">_xlfn._xlws.FILTER(_xlfn._xlws.FILTER(Demand!$G$2:$X$66,(Demand!$E$2:$E$66=$A109),""),Demand!$G$1:$X$1=$C109,"")</f>
        <v>32.733586523867501</v>
      </c>
    </row>
    <row r="110" spans="1:4">
      <c r="A110" t="s">
        <v>93</v>
      </c>
      <c r="B110" t="s">
        <v>81</v>
      </c>
      <c r="C110" s="11">
        <v>2019</v>
      </c>
      <c r="D110">
        <f t="array" ref="D110">_xlfn._xlws.FILTER(_xlfn._xlws.FILTER(Demand!$G$2:$X$66,(Demand!$E$2:$E$66=$A110),""),Demand!$G$1:$X$1=$C110,"")</f>
        <v>16.841332845916298</v>
      </c>
    </row>
    <row r="111" spans="1:4">
      <c r="A111" t="s">
        <v>93</v>
      </c>
      <c r="B111" t="s">
        <v>81</v>
      </c>
      <c r="C111" s="11">
        <v>2020</v>
      </c>
      <c r="D111">
        <f t="array" ref="D111">_xlfn._xlws.FILTER(_xlfn._xlws.FILTER(Demand!$G$2:$X$66,(Demand!$E$2:$E$66=$A111),""),Demand!$G$1:$X$1=$C111,"")</f>
        <v>16.841332845916298</v>
      </c>
    </row>
    <row r="112" spans="1:4">
      <c r="A112" t="s">
        <v>93</v>
      </c>
      <c r="B112" t="s">
        <v>81</v>
      </c>
      <c r="C112" s="11">
        <v>2025</v>
      </c>
      <c r="D112">
        <f t="array" ref="D112">_xlfn._xlws.FILTER(_xlfn._xlws.FILTER(Demand!$G$2:$X$66,(Demand!$E$2:$E$66=$A112),""),Demand!$G$1:$X$1=$C112,"")</f>
        <v>16.841332845916298</v>
      </c>
    </row>
    <row r="113" spans="1:4">
      <c r="A113" t="s">
        <v>93</v>
      </c>
      <c r="B113" t="s">
        <v>81</v>
      </c>
      <c r="C113" s="11">
        <v>2030</v>
      </c>
      <c r="D113">
        <f t="array" ref="D113">_xlfn._xlws.FILTER(_xlfn._xlws.FILTER(Demand!$G$2:$X$66,(Demand!$E$2:$E$66=$A113),""),Demand!$G$1:$X$1=$C113,"")</f>
        <v>16.841332845916298</v>
      </c>
    </row>
    <row r="114" spans="1:4">
      <c r="A114" t="s">
        <v>93</v>
      </c>
      <c r="B114" t="s">
        <v>81</v>
      </c>
      <c r="C114" s="11">
        <v>2035</v>
      </c>
      <c r="D114">
        <f t="array" ref="D114">_xlfn._xlws.FILTER(_xlfn._xlws.FILTER(Demand!$G$2:$X$66,(Demand!$E$2:$E$66=$A114),""),Demand!$G$1:$X$1=$C114,"")</f>
        <v>16.841332845916298</v>
      </c>
    </row>
    <row r="115" spans="1:4">
      <c r="A115" t="s">
        <v>93</v>
      </c>
      <c r="B115" t="s">
        <v>81</v>
      </c>
      <c r="C115" s="11">
        <v>2040</v>
      </c>
      <c r="D115">
        <f t="array" ref="D115">_xlfn._xlws.FILTER(_xlfn._xlws.FILTER(Demand!$G$2:$X$66,(Demand!$E$2:$E$66=$A115),""),Demand!$G$1:$X$1=$C115,"")</f>
        <v>16.841332845916298</v>
      </c>
    </row>
    <row r="116" spans="1:4">
      <c r="A116" t="s">
        <v>93</v>
      </c>
      <c r="B116" t="s">
        <v>81</v>
      </c>
      <c r="C116" s="11">
        <v>2045</v>
      </c>
      <c r="D116">
        <f t="array" ref="D116">_xlfn._xlws.FILTER(_xlfn._xlws.FILTER(Demand!$G$2:$X$66,(Demand!$E$2:$E$66=$A116),""),Demand!$G$1:$X$1=$C116,"")</f>
        <v>16.841332845916298</v>
      </c>
    </row>
    <row r="117" spans="1:4">
      <c r="A117" t="s">
        <v>93</v>
      </c>
      <c r="B117" t="s">
        <v>81</v>
      </c>
      <c r="C117" s="11">
        <v>2050</v>
      </c>
      <c r="D117">
        <f t="array" ref="D117">_xlfn._xlws.FILTER(_xlfn._xlws.FILTER(Demand!$G$2:$X$66,(Demand!$E$2:$E$66=$A117),""),Demand!$G$1:$X$1=$C117,"")</f>
        <v>16.841332845916298</v>
      </c>
    </row>
    <row r="118" spans="1:4">
      <c r="A118" t="s">
        <v>93</v>
      </c>
      <c r="B118" t="s">
        <v>81</v>
      </c>
      <c r="C118" s="11">
        <v>2055</v>
      </c>
      <c r="D118">
        <f t="array" ref="D118">_xlfn._xlws.FILTER(_xlfn._xlws.FILTER(Demand!$G$2:$X$66,(Demand!$E$2:$E$66=$A118),""),Demand!$G$1:$X$1=$C118,"")</f>
        <v>16.841332845916298</v>
      </c>
    </row>
    <row r="119" spans="1:4">
      <c r="A119" t="s">
        <v>93</v>
      </c>
      <c r="B119" t="s">
        <v>81</v>
      </c>
      <c r="C119" s="11">
        <v>2060</v>
      </c>
      <c r="D119">
        <f t="array" ref="D119">_xlfn._xlws.FILTER(_xlfn._xlws.FILTER(Demand!$G$2:$X$66,(Demand!$E$2:$E$66=$A119),""),Demand!$G$1:$X$1=$C119,"")</f>
        <v>16.841332845916298</v>
      </c>
    </row>
    <row r="120" spans="1:4">
      <c r="A120" t="s">
        <v>93</v>
      </c>
      <c r="B120" t="s">
        <v>81</v>
      </c>
      <c r="C120" s="11">
        <v>2065</v>
      </c>
      <c r="D120">
        <f t="array" ref="D120">_xlfn._xlws.FILTER(_xlfn._xlws.FILTER(Demand!$G$2:$X$66,(Demand!$E$2:$E$66=$A120),""),Demand!$G$1:$X$1=$C120,"")</f>
        <v>16.841332845916298</v>
      </c>
    </row>
    <row r="121" spans="1:4">
      <c r="A121" t="s">
        <v>93</v>
      </c>
      <c r="B121" t="s">
        <v>81</v>
      </c>
      <c r="C121" s="11">
        <v>2070</v>
      </c>
      <c r="D121">
        <f t="array" ref="D121">_xlfn._xlws.FILTER(_xlfn._xlws.FILTER(Demand!$G$2:$X$66,(Demand!$E$2:$E$66=$A121),""),Demand!$G$1:$X$1=$C121,"")</f>
        <v>16.841332845916298</v>
      </c>
    </row>
    <row r="122" spans="1:4">
      <c r="A122" t="s">
        <v>93</v>
      </c>
      <c r="B122" t="s">
        <v>81</v>
      </c>
      <c r="C122" s="11">
        <v>2075</v>
      </c>
      <c r="D122">
        <f t="array" ref="D122">_xlfn._xlws.FILTER(_xlfn._xlws.FILTER(Demand!$G$2:$X$66,(Demand!$E$2:$E$66=$A122),""),Demand!$G$1:$X$1=$C122,"")</f>
        <v>16.841332845916298</v>
      </c>
    </row>
    <row r="123" spans="1:4">
      <c r="A123" t="s">
        <v>93</v>
      </c>
      <c r="B123" t="s">
        <v>81</v>
      </c>
      <c r="C123" s="11">
        <v>2080</v>
      </c>
      <c r="D123">
        <f t="array" ref="D123">_xlfn._xlws.FILTER(_xlfn._xlws.FILTER(Demand!$G$2:$X$66,(Demand!$E$2:$E$66=$A123),""),Demand!$G$1:$X$1=$C123,"")</f>
        <v>16.841332845916298</v>
      </c>
    </row>
    <row r="124" spans="1:4">
      <c r="A124" t="s">
        <v>93</v>
      </c>
      <c r="B124" t="s">
        <v>81</v>
      </c>
      <c r="C124" s="11">
        <v>2085</v>
      </c>
      <c r="D124">
        <f t="array" ref="D124">_xlfn._xlws.FILTER(_xlfn._xlws.FILTER(Demand!$G$2:$X$66,(Demand!$E$2:$E$66=$A124),""),Demand!$G$1:$X$1=$C124,"")</f>
        <v>16.841332845916298</v>
      </c>
    </row>
    <row r="125" spans="1:4">
      <c r="A125" t="s">
        <v>93</v>
      </c>
      <c r="B125" t="s">
        <v>81</v>
      </c>
      <c r="C125" s="11">
        <v>2090</v>
      </c>
      <c r="D125">
        <f t="array" ref="D125">_xlfn._xlws.FILTER(_xlfn._xlws.FILTER(Demand!$G$2:$X$66,(Demand!$E$2:$E$66=$A125),""),Demand!$G$1:$X$1=$C125,"")</f>
        <v>16.841332845916298</v>
      </c>
    </row>
    <row r="126" spans="1:4">
      <c r="A126" t="s">
        <v>93</v>
      </c>
      <c r="B126" t="s">
        <v>81</v>
      </c>
      <c r="C126" s="11">
        <v>2095</v>
      </c>
      <c r="D126">
        <f t="array" ref="D126">_xlfn._xlws.FILTER(_xlfn._xlws.FILTER(Demand!$G$2:$X$66,(Demand!$E$2:$E$66=$A126),""),Demand!$G$1:$X$1=$C126,"")</f>
        <v>16.841332845916298</v>
      </c>
    </row>
    <row r="127" spans="1:4">
      <c r="A127" t="s">
        <v>93</v>
      </c>
      <c r="B127" t="s">
        <v>81</v>
      </c>
      <c r="C127" s="11">
        <v>2100</v>
      </c>
      <c r="D127">
        <f t="array" ref="D127">_xlfn._xlws.FILTER(_xlfn._xlws.FILTER(Demand!$G$2:$X$66,(Demand!$E$2:$E$66=$A127),""),Demand!$G$1:$X$1=$C127,"")</f>
        <v>16.841332845916298</v>
      </c>
    </row>
    <row r="128" spans="1:4">
      <c r="A128" t="s">
        <v>95</v>
      </c>
      <c r="B128" t="s">
        <v>81</v>
      </c>
      <c r="C128" s="11">
        <v>2019</v>
      </c>
      <c r="D128">
        <f t="array" ref="D128">_xlfn._xlws.FILTER(_xlfn._xlws.FILTER(Demand!$G$2:$X$66,(Demand!$E$2:$E$66=$A128),""),Demand!$G$1:$X$1=$C128,"")</f>
        <v>8.7602804457077657</v>
      </c>
    </row>
    <row r="129" spans="1:4">
      <c r="A129" t="s">
        <v>95</v>
      </c>
      <c r="B129" t="s">
        <v>81</v>
      </c>
      <c r="C129" s="11">
        <v>2020</v>
      </c>
      <c r="D129">
        <f t="array" ref="D129">_xlfn._xlws.FILTER(_xlfn._xlws.FILTER(Demand!$G$2:$X$66,(Demand!$E$2:$E$66=$A129),""),Demand!$G$1:$X$1=$C129,"")</f>
        <v>8.7602804457077657</v>
      </c>
    </row>
    <row r="130" spans="1:4">
      <c r="A130" t="s">
        <v>95</v>
      </c>
      <c r="B130" t="s">
        <v>81</v>
      </c>
      <c r="C130" s="11">
        <v>2025</v>
      </c>
      <c r="D130">
        <f t="array" ref="D130">_xlfn._xlws.FILTER(_xlfn._xlws.FILTER(Demand!$G$2:$X$66,(Demand!$E$2:$E$66=$A130),""),Demand!$G$1:$X$1=$C130,"")</f>
        <v>8.7602804457077657</v>
      </c>
    </row>
    <row r="131" spans="1:4">
      <c r="A131" t="s">
        <v>95</v>
      </c>
      <c r="B131" t="s">
        <v>81</v>
      </c>
      <c r="C131" s="11">
        <v>2030</v>
      </c>
      <c r="D131">
        <f t="array" ref="D131">_xlfn._xlws.FILTER(_xlfn._xlws.FILTER(Demand!$G$2:$X$66,(Demand!$E$2:$E$66=$A131),""),Demand!$G$1:$X$1=$C131,"")</f>
        <v>8.7602804457077657</v>
      </c>
    </row>
    <row r="132" spans="1:4">
      <c r="A132" t="s">
        <v>95</v>
      </c>
      <c r="B132" t="s">
        <v>81</v>
      </c>
      <c r="C132" s="11">
        <v>2035</v>
      </c>
      <c r="D132">
        <f t="array" ref="D132">_xlfn._xlws.FILTER(_xlfn._xlws.FILTER(Demand!$G$2:$X$66,(Demand!$E$2:$E$66=$A132),""),Demand!$G$1:$X$1=$C132,"")</f>
        <v>8.7602804457077657</v>
      </c>
    </row>
    <row r="133" spans="1:4">
      <c r="A133" t="s">
        <v>95</v>
      </c>
      <c r="B133" t="s">
        <v>81</v>
      </c>
      <c r="C133" s="11">
        <v>2040</v>
      </c>
      <c r="D133">
        <f t="array" ref="D133">_xlfn._xlws.FILTER(_xlfn._xlws.FILTER(Demand!$G$2:$X$66,(Demand!$E$2:$E$66=$A133),""),Demand!$G$1:$X$1=$C133,"")</f>
        <v>8.7602804457077657</v>
      </c>
    </row>
    <row r="134" spans="1:4">
      <c r="A134" t="s">
        <v>95</v>
      </c>
      <c r="B134" t="s">
        <v>81</v>
      </c>
      <c r="C134" s="11">
        <v>2045</v>
      </c>
      <c r="D134">
        <f t="array" ref="D134">_xlfn._xlws.FILTER(_xlfn._xlws.FILTER(Demand!$G$2:$X$66,(Demand!$E$2:$E$66=$A134),""),Demand!$G$1:$X$1=$C134,"")</f>
        <v>8.7602804457077657</v>
      </c>
    </row>
    <row r="135" spans="1:4">
      <c r="A135" t="s">
        <v>95</v>
      </c>
      <c r="B135" t="s">
        <v>81</v>
      </c>
      <c r="C135" s="11">
        <v>2050</v>
      </c>
      <c r="D135">
        <f t="array" ref="D135">_xlfn._xlws.FILTER(_xlfn._xlws.FILTER(Demand!$G$2:$X$66,(Demand!$E$2:$E$66=$A135),""),Demand!$G$1:$X$1=$C135,"")</f>
        <v>8.7602804457077657</v>
      </c>
    </row>
    <row r="136" spans="1:4">
      <c r="A136" t="s">
        <v>95</v>
      </c>
      <c r="B136" t="s">
        <v>81</v>
      </c>
      <c r="C136" s="11">
        <v>2055</v>
      </c>
      <c r="D136">
        <f t="array" ref="D136">_xlfn._xlws.FILTER(_xlfn._xlws.FILTER(Demand!$G$2:$X$66,(Demand!$E$2:$E$66=$A136),""),Demand!$G$1:$X$1=$C136,"")</f>
        <v>8.7602804457077657</v>
      </c>
    </row>
    <row r="137" spans="1:4">
      <c r="A137" t="s">
        <v>95</v>
      </c>
      <c r="B137" t="s">
        <v>81</v>
      </c>
      <c r="C137" s="11">
        <v>2060</v>
      </c>
      <c r="D137">
        <f t="array" ref="D137">_xlfn._xlws.FILTER(_xlfn._xlws.FILTER(Demand!$G$2:$X$66,(Demand!$E$2:$E$66=$A137),""),Demand!$G$1:$X$1=$C137,"")</f>
        <v>8.7602804457077657</v>
      </c>
    </row>
    <row r="138" spans="1:4">
      <c r="A138" t="s">
        <v>95</v>
      </c>
      <c r="B138" t="s">
        <v>81</v>
      </c>
      <c r="C138" s="11">
        <v>2065</v>
      </c>
      <c r="D138">
        <f t="array" ref="D138">_xlfn._xlws.FILTER(_xlfn._xlws.FILTER(Demand!$G$2:$X$66,(Demand!$E$2:$E$66=$A138),""),Demand!$G$1:$X$1=$C138,"")</f>
        <v>8.7602804457077657</v>
      </c>
    </row>
    <row r="139" spans="1:4">
      <c r="A139" t="s">
        <v>95</v>
      </c>
      <c r="B139" t="s">
        <v>81</v>
      </c>
      <c r="C139" s="11">
        <v>2070</v>
      </c>
      <c r="D139">
        <f t="array" ref="D139">_xlfn._xlws.FILTER(_xlfn._xlws.FILTER(Demand!$G$2:$X$66,(Demand!$E$2:$E$66=$A139),""),Demand!$G$1:$X$1=$C139,"")</f>
        <v>8.7602804457077657</v>
      </c>
    </row>
    <row r="140" spans="1:4">
      <c r="A140" t="s">
        <v>95</v>
      </c>
      <c r="B140" t="s">
        <v>81</v>
      </c>
      <c r="C140" s="11">
        <v>2075</v>
      </c>
      <c r="D140">
        <f t="array" ref="D140">_xlfn._xlws.FILTER(_xlfn._xlws.FILTER(Demand!$G$2:$X$66,(Demand!$E$2:$E$66=$A140),""),Demand!$G$1:$X$1=$C140,"")</f>
        <v>8.7602804457077657</v>
      </c>
    </row>
    <row r="141" spans="1:4">
      <c r="A141" t="s">
        <v>95</v>
      </c>
      <c r="B141" t="s">
        <v>81</v>
      </c>
      <c r="C141" s="11">
        <v>2080</v>
      </c>
      <c r="D141">
        <f t="array" ref="D141">_xlfn._xlws.FILTER(_xlfn._xlws.FILTER(Demand!$G$2:$X$66,(Demand!$E$2:$E$66=$A141),""),Demand!$G$1:$X$1=$C141,"")</f>
        <v>8.7602804457077657</v>
      </c>
    </row>
    <row r="142" spans="1:4">
      <c r="A142" t="s">
        <v>95</v>
      </c>
      <c r="B142" t="s">
        <v>81</v>
      </c>
      <c r="C142" s="11">
        <v>2085</v>
      </c>
      <c r="D142">
        <f t="array" ref="D142">_xlfn._xlws.FILTER(_xlfn._xlws.FILTER(Demand!$G$2:$X$66,(Demand!$E$2:$E$66=$A142),""),Demand!$G$1:$X$1=$C142,"")</f>
        <v>8.7602804457077657</v>
      </c>
    </row>
    <row r="143" spans="1:4">
      <c r="A143" t="s">
        <v>95</v>
      </c>
      <c r="B143" t="s">
        <v>81</v>
      </c>
      <c r="C143" s="11">
        <v>2090</v>
      </c>
      <c r="D143">
        <f t="array" ref="D143">_xlfn._xlws.FILTER(_xlfn._xlws.FILTER(Demand!$G$2:$X$66,(Demand!$E$2:$E$66=$A143),""),Demand!$G$1:$X$1=$C143,"")</f>
        <v>8.7602804457077657</v>
      </c>
    </row>
    <row r="144" spans="1:4">
      <c r="A144" t="s">
        <v>95</v>
      </c>
      <c r="B144" t="s">
        <v>81</v>
      </c>
      <c r="C144" s="11">
        <v>2095</v>
      </c>
      <c r="D144">
        <f t="array" ref="D144">_xlfn._xlws.FILTER(_xlfn._xlws.FILTER(Demand!$G$2:$X$66,(Demand!$E$2:$E$66=$A144),""),Demand!$G$1:$X$1=$C144,"")</f>
        <v>8.7602804457077657</v>
      </c>
    </row>
    <row r="145" spans="1:4">
      <c r="A145" t="s">
        <v>95</v>
      </c>
      <c r="B145" t="s">
        <v>81</v>
      </c>
      <c r="C145" s="11">
        <v>2100</v>
      </c>
      <c r="D145">
        <f t="array" ref="D145">_xlfn._xlws.FILTER(_xlfn._xlws.FILTER(Demand!$G$2:$X$66,(Demand!$E$2:$E$66=$A145),""),Demand!$G$1:$X$1=$C145,"")</f>
        <v>8.7602804457077657</v>
      </c>
    </row>
    <row r="146" spans="1:4">
      <c r="A146" t="s">
        <v>97</v>
      </c>
      <c r="B146" t="s">
        <v>81</v>
      </c>
      <c r="C146" s="11">
        <v>2019</v>
      </c>
      <c r="D146">
        <f t="array" ref="D146">_xlfn._xlws.FILTER(_xlfn._xlws.FILTER(Demand!$G$2:$X$66,(Demand!$E$2:$E$66=$A146),""),Demand!$G$1:$X$1=$C146,"")</f>
        <v>0</v>
      </c>
    </row>
    <row r="147" spans="1:4">
      <c r="A147" t="s">
        <v>97</v>
      </c>
      <c r="B147" t="s">
        <v>81</v>
      </c>
      <c r="C147" s="11">
        <v>2020</v>
      </c>
      <c r="D147">
        <f t="array" ref="D147">_xlfn._xlws.FILTER(_xlfn._xlws.FILTER(Demand!$G$2:$X$66,(Demand!$E$2:$E$66=$A147),""),Demand!$G$1:$X$1=$C147,"")</f>
        <v>0.239574023641031</v>
      </c>
    </row>
    <row r="148" spans="1:4">
      <c r="A148" t="s">
        <v>97</v>
      </c>
      <c r="B148" t="s">
        <v>81</v>
      </c>
      <c r="C148" s="11">
        <v>2025</v>
      </c>
      <c r="D148">
        <f t="array" ref="D148">_xlfn._xlws.FILTER(_xlfn._xlws.FILTER(Demand!$G$2:$X$66,(Demand!$E$2:$E$66=$A148),""),Demand!$G$1:$X$1=$C148,"")</f>
        <v>1.4374441418461861</v>
      </c>
    </row>
    <row r="149" spans="1:4">
      <c r="A149" t="s">
        <v>97</v>
      </c>
      <c r="B149" t="s">
        <v>81</v>
      </c>
      <c r="C149" s="11">
        <v>2030</v>
      </c>
      <c r="D149">
        <f t="array" ref="D149">_xlfn._xlws.FILTER(_xlfn._xlws.FILTER(Demand!$G$2:$X$66,(Demand!$E$2:$E$66=$A149),""),Demand!$G$1:$X$1=$C149,"")</f>
        <v>2.6353142600513411</v>
      </c>
    </row>
    <row r="150" spans="1:4">
      <c r="A150" t="s">
        <v>97</v>
      </c>
      <c r="B150" t="s">
        <v>81</v>
      </c>
      <c r="C150" s="11">
        <v>2035</v>
      </c>
      <c r="D150">
        <f t="array" ref="D150">_xlfn._xlws.FILTER(_xlfn._xlws.FILTER(Demand!$G$2:$X$66,(Demand!$E$2:$E$66=$A150),""),Demand!$G$1:$X$1=$C150,"")</f>
        <v>3.833184378256496</v>
      </c>
    </row>
    <row r="151" spans="1:4">
      <c r="A151" t="s">
        <v>97</v>
      </c>
      <c r="B151" t="s">
        <v>81</v>
      </c>
      <c r="C151" s="11">
        <v>2040</v>
      </c>
      <c r="D151">
        <f t="array" ref="D151">_xlfn._xlws.FILTER(_xlfn._xlws.FILTER(Demand!$G$2:$X$66,(Demand!$E$2:$E$66=$A151),""),Demand!$G$1:$X$1=$C151,"")</f>
        <v>5.0310544964616506</v>
      </c>
    </row>
    <row r="152" spans="1:4">
      <c r="A152" t="s">
        <v>97</v>
      </c>
      <c r="B152" t="s">
        <v>81</v>
      </c>
      <c r="C152" s="11">
        <v>2045</v>
      </c>
      <c r="D152">
        <f t="array" ref="D152">_xlfn._xlws.FILTER(_xlfn._xlws.FILTER(Demand!$G$2:$X$66,(Demand!$E$2:$E$66=$A152),""),Demand!$G$1:$X$1=$C152,"")</f>
        <v>6.2289246146668056</v>
      </c>
    </row>
    <row r="153" spans="1:4">
      <c r="A153" t="s">
        <v>97</v>
      </c>
      <c r="B153" t="s">
        <v>81</v>
      </c>
      <c r="C153" s="11">
        <v>2050</v>
      </c>
      <c r="D153">
        <f t="array" ref="D153">_xlfn._xlws.FILTER(_xlfn._xlws.FILTER(Demand!$G$2:$X$66,(Demand!$E$2:$E$66=$A153),""),Demand!$G$1:$X$1=$C153,"")</f>
        <v>7.4267947328719606</v>
      </c>
    </row>
    <row r="154" spans="1:4">
      <c r="A154" t="s">
        <v>97</v>
      </c>
      <c r="B154" t="s">
        <v>81</v>
      </c>
      <c r="C154" s="11">
        <v>2055</v>
      </c>
      <c r="D154">
        <f t="array" ref="D154">_xlfn._xlws.FILTER(_xlfn._xlws.FILTER(Demand!$G$2:$X$66,(Demand!$E$2:$E$66=$A154),""),Demand!$G$1:$X$1=$C154,"")</f>
        <v>8.6246648510771173</v>
      </c>
    </row>
    <row r="155" spans="1:4">
      <c r="A155" t="s">
        <v>97</v>
      </c>
      <c r="B155" t="s">
        <v>81</v>
      </c>
      <c r="C155" s="11">
        <v>2060</v>
      </c>
      <c r="D155">
        <f t="array" ref="D155">_xlfn._xlws.FILTER(_xlfn._xlws.FILTER(Demand!$G$2:$X$66,(Demand!$E$2:$E$66=$A155),""),Demand!$G$1:$X$1=$C155,"")</f>
        <v>9.8225349692822732</v>
      </c>
    </row>
    <row r="156" spans="1:4">
      <c r="A156" t="s">
        <v>97</v>
      </c>
      <c r="B156" t="s">
        <v>81</v>
      </c>
      <c r="C156" s="11">
        <v>2065</v>
      </c>
      <c r="D156">
        <f t="array" ref="D156">_xlfn._xlws.FILTER(_xlfn._xlws.FILTER(Demand!$G$2:$X$66,(Demand!$E$2:$E$66=$A156),""),Demand!$G$1:$X$1=$C156,"")</f>
        <v>11.020405087487431</v>
      </c>
    </row>
    <row r="157" spans="1:4">
      <c r="A157" t="s">
        <v>97</v>
      </c>
      <c r="B157" t="s">
        <v>81</v>
      </c>
      <c r="C157" s="11">
        <v>2070</v>
      </c>
      <c r="D157">
        <f t="array" ref="D157">_xlfn._xlws.FILTER(_xlfn._xlws.FILTER(Demand!$G$2:$X$66,(Demand!$E$2:$E$66=$A157),""),Demand!$G$1:$X$1=$C157,"")</f>
        <v>12.21827520569258</v>
      </c>
    </row>
    <row r="158" spans="1:4">
      <c r="A158" t="s">
        <v>97</v>
      </c>
      <c r="B158" t="s">
        <v>81</v>
      </c>
      <c r="C158" s="11">
        <v>2075</v>
      </c>
      <c r="D158">
        <f t="array" ref="D158">_xlfn._xlws.FILTER(_xlfn._xlws.FILTER(Demand!$G$2:$X$66,(Demand!$E$2:$E$66=$A158),""),Demand!$G$1:$X$1=$C158,"")</f>
        <v>13.416145323897741</v>
      </c>
    </row>
    <row r="159" spans="1:4">
      <c r="A159" t="s">
        <v>97</v>
      </c>
      <c r="B159" t="s">
        <v>81</v>
      </c>
      <c r="C159" s="11">
        <v>2080</v>
      </c>
      <c r="D159">
        <f t="array" ref="D159">_xlfn._xlws.FILTER(_xlfn._xlws.FILTER(Demand!$G$2:$X$66,(Demand!$E$2:$E$66=$A159),""),Demand!$G$1:$X$1=$C159,"")</f>
        <v>14.6140154421029</v>
      </c>
    </row>
    <row r="160" spans="1:4">
      <c r="A160" t="s">
        <v>97</v>
      </c>
      <c r="B160" t="s">
        <v>81</v>
      </c>
      <c r="C160" s="11">
        <v>2085</v>
      </c>
      <c r="D160">
        <f t="array" ref="D160">_xlfn._xlws.FILTER(_xlfn._xlws.FILTER(Demand!$G$2:$X$66,(Demand!$E$2:$E$66=$A160),""),Demand!$G$1:$X$1=$C160,"")</f>
        <v>15.811885560308051</v>
      </c>
    </row>
    <row r="161" spans="1:4">
      <c r="A161" t="s">
        <v>97</v>
      </c>
      <c r="B161" t="s">
        <v>81</v>
      </c>
      <c r="C161" s="11">
        <v>2090</v>
      </c>
      <c r="D161">
        <f t="array" ref="D161">_xlfn._xlws.FILTER(_xlfn._xlws.FILTER(Demand!$G$2:$X$66,(Demand!$E$2:$E$66=$A161),""),Demand!$G$1:$X$1=$C161,"")</f>
        <v>17.009755678513208</v>
      </c>
    </row>
    <row r="162" spans="1:4">
      <c r="A162" t="s">
        <v>97</v>
      </c>
      <c r="B162" t="s">
        <v>81</v>
      </c>
      <c r="C162" s="11">
        <v>2095</v>
      </c>
      <c r="D162">
        <f t="array" ref="D162">_xlfn._xlws.FILTER(_xlfn._xlws.FILTER(Demand!$G$2:$X$66,(Demand!$E$2:$E$66=$A162),""),Demand!$G$1:$X$1=$C162,"")</f>
        <v>18.207625796718361</v>
      </c>
    </row>
    <row r="163" spans="1:4">
      <c r="A163" t="s">
        <v>97</v>
      </c>
      <c r="B163" t="s">
        <v>81</v>
      </c>
      <c r="C163" s="11">
        <v>2100</v>
      </c>
      <c r="D163">
        <f t="array" ref="D163">_xlfn._xlws.FILTER(_xlfn._xlws.FILTER(Demand!$G$2:$X$66,(Demand!$E$2:$E$66=$A163),""),Demand!$G$1:$X$1=$C163,"")</f>
        <v>19.40549591492352</v>
      </c>
    </row>
    <row r="164" spans="1:4">
      <c r="A164" t="s">
        <v>98</v>
      </c>
      <c r="B164" t="s">
        <v>81</v>
      </c>
      <c r="C164" s="11">
        <v>2019</v>
      </c>
      <c r="D164">
        <f t="array" ref="D164">_xlfn._xlws.FILTER(_xlfn._xlws.FILTER(Demand!$G$2:$X$66,(Demand!$E$2:$E$66=$A164),""),Demand!$G$1:$X$1=$C164,"")</f>
        <v>0</v>
      </c>
    </row>
    <row r="165" spans="1:4">
      <c r="A165" t="s">
        <v>98</v>
      </c>
      <c r="B165" t="s">
        <v>81</v>
      </c>
      <c r="C165" s="11">
        <v>2020</v>
      </c>
      <c r="D165">
        <f t="array" ref="D165">_xlfn._xlws.FILTER(_xlfn._xlws.FILTER(Demand!$G$2:$X$66,(Demand!$E$2:$E$66=$A165),""),Demand!$G$1:$X$1=$C165,"")</f>
        <v>0.46162112907409131</v>
      </c>
    </row>
    <row r="166" spans="1:4">
      <c r="A166" t="s">
        <v>98</v>
      </c>
      <c r="B166" t="s">
        <v>81</v>
      </c>
      <c r="C166" s="11">
        <v>2025</v>
      </c>
      <c r="D166">
        <f t="array" ref="D166">_xlfn._xlws.FILTER(_xlfn._xlws.FILTER(Demand!$G$2:$X$66,(Demand!$E$2:$E$66=$A166),""),Demand!$G$1:$X$1=$C166,"")</f>
        <v>2.7697267744445471</v>
      </c>
    </row>
    <row r="167" spans="1:4">
      <c r="A167" t="s">
        <v>98</v>
      </c>
      <c r="B167" t="s">
        <v>81</v>
      </c>
      <c r="C167" s="11">
        <v>2030</v>
      </c>
      <c r="D167">
        <f t="array" ref="D167">_xlfn._xlws.FILTER(_xlfn._xlws.FILTER(Demand!$G$2:$X$66,(Demand!$E$2:$E$66=$A167),""),Demand!$G$1:$X$1=$C167,"")</f>
        <v>5.0778324198150031</v>
      </c>
    </row>
    <row r="168" spans="1:4">
      <c r="A168" t="s">
        <v>98</v>
      </c>
      <c r="B168" t="s">
        <v>81</v>
      </c>
      <c r="C168" s="11">
        <v>2035</v>
      </c>
      <c r="D168">
        <f t="array" ref="D168">_xlfn._xlws.FILTER(_xlfn._xlws.FILTER(Demand!$G$2:$X$66,(Demand!$E$2:$E$66=$A168),""),Demand!$G$1:$X$1=$C168,"")</f>
        <v>7.3859380651854591</v>
      </c>
    </row>
    <row r="169" spans="1:4">
      <c r="A169" t="s">
        <v>98</v>
      </c>
      <c r="B169" t="s">
        <v>81</v>
      </c>
      <c r="C169" s="11">
        <v>2040</v>
      </c>
      <c r="D169">
        <f t="array" ref="D169">_xlfn._xlws.FILTER(_xlfn._xlws.FILTER(Demand!$G$2:$X$66,(Demand!$E$2:$E$66=$A169),""),Demand!$G$1:$X$1=$C169,"")</f>
        <v>9.6940437105559152</v>
      </c>
    </row>
    <row r="170" spans="1:4">
      <c r="A170" t="s">
        <v>98</v>
      </c>
      <c r="B170" t="s">
        <v>81</v>
      </c>
      <c r="C170" s="11">
        <v>2045</v>
      </c>
      <c r="D170">
        <f t="array" ref="D170">_xlfn._xlws.FILTER(_xlfn._xlws.FILTER(Demand!$G$2:$X$66,(Demand!$E$2:$E$66=$A170),""),Demand!$G$1:$X$1=$C170,"")</f>
        <v>12.00214935592637</v>
      </c>
    </row>
    <row r="171" spans="1:4">
      <c r="A171" t="s">
        <v>98</v>
      </c>
      <c r="B171" t="s">
        <v>81</v>
      </c>
      <c r="C171" s="11">
        <v>2050</v>
      </c>
      <c r="D171">
        <f t="array" ref="D171">_xlfn._xlws.FILTER(_xlfn._xlws.FILTER(Demand!$G$2:$X$66,(Demand!$E$2:$E$66=$A171),""),Demand!$G$1:$X$1=$C171,"")</f>
        <v>14.310255001296831</v>
      </c>
    </row>
    <row r="172" spans="1:4">
      <c r="A172" t="s">
        <v>98</v>
      </c>
      <c r="B172" t="s">
        <v>81</v>
      </c>
      <c r="C172" s="11">
        <v>2055</v>
      </c>
      <c r="D172">
        <f t="array" ref="D172">_xlfn._xlws.FILTER(_xlfn._xlws.FILTER(Demand!$G$2:$X$66,(Demand!$E$2:$E$66=$A172),""),Demand!$G$1:$X$1=$C172,"")</f>
        <v>16.618360646667281</v>
      </c>
    </row>
    <row r="173" spans="1:4">
      <c r="A173" t="s">
        <v>98</v>
      </c>
      <c r="B173" t="s">
        <v>81</v>
      </c>
      <c r="C173" s="11">
        <v>2060</v>
      </c>
      <c r="D173">
        <f t="array" ref="D173">_xlfn._xlws.FILTER(_xlfn._xlws.FILTER(Demand!$G$2:$X$66,(Demand!$E$2:$E$66=$A173),""),Demand!$G$1:$X$1=$C173,"")</f>
        <v>18.926466292037741</v>
      </c>
    </row>
    <row r="174" spans="1:4">
      <c r="A174" t="s">
        <v>98</v>
      </c>
      <c r="B174" t="s">
        <v>81</v>
      </c>
      <c r="C174" s="11">
        <v>2065</v>
      </c>
      <c r="D174">
        <f t="array" ref="D174">_xlfn._xlws.FILTER(_xlfn._xlws.FILTER(Demand!$G$2:$X$66,(Demand!$E$2:$E$66=$A174),""),Demand!$G$1:$X$1=$C174,"")</f>
        <v>21.234571937408202</v>
      </c>
    </row>
    <row r="175" spans="1:4">
      <c r="A175" t="s">
        <v>98</v>
      </c>
      <c r="B175" t="s">
        <v>81</v>
      </c>
      <c r="C175" s="11">
        <v>2070</v>
      </c>
      <c r="D175">
        <f t="array" ref="D175">_xlfn._xlws.FILTER(_xlfn._xlws.FILTER(Demand!$G$2:$X$66,(Demand!$E$2:$E$66=$A175),""),Demand!$G$1:$X$1=$C175,"")</f>
        <v>23.542677582778651</v>
      </c>
    </row>
    <row r="176" spans="1:4">
      <c r="A176" t="s">
        <v>98</v>
      </c>
      <c r="B176" t="s">
        <v>81</v>
      </c>
      <c r="C176" s="11">
        <v>2075</v>
      </c>
      <c r="D176">
        <f t="array" ref="D176">_xlfn._xlws.FILTER(_xlfn._xlws.FILTER(Demand!$G$2:$X$66,(Demand!$E$2:$E$66=$A176),""),Demand!$G$1:$X$1=$C176,"")</f>
        <v>25.850783228149108</v>
      </c>
    </row>
    <row r="177" spans="1:4">
      <c r="A177" t="s">
        <v>98</v>
      </c>
      <c r="B177" t="s">
        <v>81</v>
      </c>
      <c r="C177" s="11">
        <v>2080</v>
      </c>
      <c r="D177">
        <f t="array" ref="D177">_xlfn._xlws.FILTER(_xlfn._xlws.FILTER(Demand!$G$2:$X$66,(Demand!$E$2:$E$66=$A177),""),Demand!$G$1:$X$1=$C177,"")</f>
        <v>28.158888873519569</v>
      </c>
    </row>
    <row r="178" spans="1:4">
      <c r="A178" t="s">
        <v>98</v>
      </c>
      <c r="B178" t="s">
        <v>81</v>
      </c>
      <c r="C178" s="11">
        <v>2085</v>
      </c>
      <c r="D178">
        <f t="array" ref="D178">_xlfn._xlws.FILTER(_xlfn._xlws.FILTER(Demand!$G$2:$X$66,(Demand!$E$2:$E$66=$A178),""),Demand!$G$1:$X$1=$C178,"")</f>
        <v>30.466994518890029</v>
      </c>
    </row>
    <row r="179" spans="1:4">
      <c r="A179" t="s">
        <v>98</v>
      </c>
      <c r="B179" t="s">
        <v>81</v>
      </c>
      <c r="C179" s="11">
        <v>2090</v>
      </c>
      <c r="D179">
        <f t="array" ref="D179">_xlfn._xlws.FILTER(_xlfn._xlws.FILTER(Demand!$G$2:$X$66,(Demand!$E$2:$E$66=$A179),""),Demand!$G$1:$X$1=$C179,"")</f>
        <v>32.775100164260479</v>
      </c>
    </row>
    <row r="180" spans="1:4">
      <c r="A180" t="s">
        <v>98</v>
      </c>
      <c r="B180" t="s">
        <v>81</v>
      </c>
      <c r="C180" s="11">
        <v>2095</v>
      </c>
      <c r="D180">
        <f t="array" ref="D180">_xlfn._xlws.FILTER(_xlfn._xlws.FILTER(Demand!$G$2:$X$66,(Demand!$E$2:$E$66=$A180),""),Demand!$G$1:$X$1=$C180,"")</f>
        <v>35.083205809630932</v>
      </c>
    </row>
    <row r="181" spans="1:4">
      <c r="A181" t="s">
        <v>98</v>
      </c>
      <c r="B181" t="s">
        <v>81</v>
      </c>
      <c r="C181" s="11">
        <v>2100</v>
      </c>
      <c r="D181">
        <f t="array" ref="D181">_xlfn._xlws.FILTER(_xlfn._xlws.FILTER(Demand!$G$2:$X$66,(Demand!$E$2:$E$66=$A181),""),Demand!$G$1:$X$1=$C181,"")</f>
        <v>37.391311455001393</v>
      </c>
    </row>
    <row r="182" spans="1:4">
      <c r="A182" t="s">
        <v>99</v>
      </c>
      <c r="B182" t="s">
        <v>81</v>
      </c>
      <c r="C182" s="11">
        <v>2019</v>
      </c>
      <c r="D182">
        <f t="array" ref="D182">_xlfn._xlws.FILTER(_xlfn._xlws.FILTER(Demand!$G$2:$X$66,(Demand!$E$2:$E$66=$A182),""),Demand!$G$1:$X$1=$C182,"")</f>
        <v>0</v>
      </c>
    </row>
    <row r="183" spans="1:4">
      <c r="A183" t="s">
        <v>99</v>
      </c>
      <c r="B183" t="s">
        <v>81</v>
      </c>
      <c r="C183" s="11">
        <v>2020</v>
      </c>
      <c r="D183">
        <f t="array" ref="D183">_xlfn._xlws.FILTER(_xlfn._xlws.FILTER(Demand!$G$2:$X$66,(Demand!$E$2:$E$66=$A183),""),Demand!$G$1:$X$1=$C183,"")</f>
        <v>1.463296379292889</v>
      </c>
    </row>
    <row r="184" spans="1:4">
      <c r="A184" t="s">
        <v>99</v>
      </c>
      <c r="B184" t="s">
        <v>81</v>
      </c>
      <c r="C184" s="11">
        <v>2025</v>
      </c>
      <c r="D184">
        <f t="array" ref="D184">_xlfn._xlws.FILTER(_xlfn._xlws.FILTER(Demand!$G$2:$X$66,(Demand!$E$2:$E$66=$A184),""),Demand!$G$1:$X$1=$C184,"")</f>
        <v>8.7797782757573319</v>
      </c>
    </row>
    <row r="185" spans="1:4">
      <c r="A185" t="s">
        <v>99</v>
      </c>
      <c r="B185" t="s">
        <v>81</v>
      </c>
      <c r="C185" s="11">
        <v>2030</v>
      </c>
      <c r="D185">
        <f t="array" ref="D185">_xlfn._xlws.FILTER(_xlfn._xlws.FILTER(Demand!$G$2:$X$66,(Demand!$E$2:$E$66=$A185),""),Demand!$G$1:$X$1=$C185,"")</f>
        <v>16.096260172221779</v>
      </c>
    </row>
    <row r="186" spans="1:4">
      <c r="A186" t="s">
        <v>99</v>
      </c>
      <c r="B186" t="s">
        <v>81</v>
      </c>
      <c r="C186" s="11">
        <v>2035</v>
      </c>
      <c r="D186">
        <f t="array" ref="D186">_xlfn._xlws.FILTER(_xlfn._xlws.FILTER(Demand!$G$2:$X$66,(Demand!$E$2:$E$66=$A186),""),Demand!$G$1:$X$1=$C186,"")</f>
        <v>23.412742068686221</v>
      </c>
    </row>
    <row r="187" spans="1:4">
      <c r="A187" t="s">
        <v>99</v>
      </c>
      <c r="B187" t="s">
        <v>81</v>
      </c>
      <c r="C187" s="11">
        <v>2040</v>
      </c>
      <c r="D187">
        <f t="array" ref="D187">_xlfn._xlws.FILTER(_xlfn._xlws.FILTER(Demand!$G$2:$X$66,(Demand!$E$2:$E$66=$A187),""),Demand!$G$1:$X$1=$C187,"")</f>
        <v>30.72922396515067</v>
      </c>
    </row>
    <row r="188" spans="1:4">
      <c r="A188" t="s">
        <v>99</v>
      </c>
      <c r="B188" t="s">
        <v>81</v>
      </c>
      <c r="C188" s="11">
        <v>2045</v>
      </c>
      <c r="D188">
        <f t="array" ref="D188">_xlfn._xlws.FILTER(_xlfn._xlws.FILTER(Demand!$G$2:$X$66,(Demand!$E$2:$E$66=$A188),""),Demand!$G$1:$X$1=$C188,"")</f>
        <v>38.045705861615112</v>
      </c>
    </row>
    <row r="189" spans="1:4">
      <c r="A189" t="s">
        <v>99</v>
      </c>
      <c r="B189" t="s">
        <v>81</v>
      </c>
      <c r="C189" s="11">
        <v>2050</v>
      </c>
      <c r="D189">
        <f t="array" ref="D189">_xlfn._xlws.FILTER(_xlfn._xlws.FILTER(Demand!$G$2:$X$66,(Demand!$E$2:$E$66=$A189),""),Demand!$G$1:$X$1=$C189,"")</f>
        <v>45.362187758079557</v>
      </c>
    </row>
    <row r="190" spans="1:4">
      <c r="A190" t="s">
        <v>99</v>
      </c>
      <c r="B190" t="s">
        <v>81</v>
      </c>
      <c r="C190" s="11">
        <v>2055</v>
      </c>
      <c r="D190">
        <f t="array" ref="D190">_xlfn._xlws.FILTER(_xlfn._xlws.FILTER(Demand!$G$2:$X$66,(Demand!$E$2:$E$66=$A190),""),Demand!$G$1:$X$1=$C190,"")</f>
        <v>52.678669654544002</v>
      </c>
    </row>
    <row r="191" spans="1:4">
      <c r="A191" t="s">
        <v>99</v>
      </c>
      <c r="B191" t="s">
        <v>81</v>
      </c>
      <c r="C191" s="11">
        <v>2060</v>
      </c>
      <c r="D191">
        <f t="array" ref="D191">_xlfn._xlws.FILTER(_xlfn._xlws.FILTER(Demand!$G$2:$X$66,(Demand!$E$2:$E$66=$A191),""),Demand!$G$1:$X$1=$C191,"")</f>
        <v>59.995151551008448</v>
      </c>
    </row>
    <row r="192" spans="1:4">
      <c r="A192" t="s">
        <v>99</v>
      </c>
      <c r="B192" t="s">
        <v>81</v>
      </c>
      <c r="C192" s="11">
        <v>2065</v>
      </c>
      <c r="D192">
        <f t="array" ref="D192">_xlfn._xlws.FILTER(_xlfn._xlws.FILTER(Demand!$G$2:$X$66,(Demand!$E$2:$E$66=$A192),""),Demand!$G$1:$X$1=$C192,"")</f>
        <v>67.311633447472886</v>
      </c>
    </row>
    <row r="193" spans="1:4">
      <c r="A193" t="s">
        <v>99</v>
      </c>
      <c r="B193" t="s">
        <v>81</v>
      </c>
      <c r="C193" s="11">
        <v>2070</v>
      </c>
      <c r="D193">
        <f t="array" ref="D193">_xlfn._xlws.FILTER(_xlfn._xlws.FILTER(Demand!$G$2:$X$66,(Demand!$E$2:$E$66=$A193),""),Demand!$G$1:$X$1=$C193,"")</f>
        <v>74.628115343937324</v>
      </c>
    </row>
    <row r="194" spans="1:4">
      <c r="A194" t="s">
        <v>99</v>
      </c>
      <c r="B194" t="s">
        <v>81</v>
      </c>
      <c r="C194" s="11">
        <v>2075</v>
      </c>
      <c r="D194">
        <f t="array" ref="D194">_xlfn._xlws.FILTER(_xlfn._xlws.FILTER(Demand!$G$2:$X$66,(Demand!$E$2:$E$66=$A194),""),Demand!$G$1:$X$1=$C194,"")</f>
        <v>81.944597240401762</v>
      </c>
    </row>
    <row r="195" spans="1:4">
      <c r="A195" t="s">
        <v>99</v>
      </c>
      <c r="B195" t="s">
        <v>81</v>
      </c>
      <c r="C195" s="11">
        <v>2080</v>
      </c>
      <c r="D195">
        <f t="array" ref="D195">_xlfn._xlws.FILTER(_xlfn._xlws.FILTER(Demand!$G$2:$X$66,(Demand!$E$2:$E$66=$A195),""),Demand!$G$1:$X$1=$C195,"")</f>
        <v>89.261079136866201</v>
      </c>
    </row>
    <row r="196" spans="1:4">
      <c r="A196" t="s">
        <v>99</v>
      </c>
      <c r="B196" t="s">
        <v>81</v>
      </c>
      <c r="C196" s="11">
        <v>2085</v>
      </c>
      <c r="D196">
        <f t="array" ref="D196">_xlfn._xlws.FILTER(_xlfn._xlws.FILTER(Demand!$G$2:$X$66,(Demand!$E$2:$E$66=$A196),""),Demand!$G$1:$X$1=$C196,"")</f>
        <v>96.577561033330639</v>
      </c>
    </row>
    <row r="197" spans="1:4">
      <c r="A197" t="s">
        <v>99</v>
      </c>
      <c r="B197" t="s">
        <v>81</v>
      </c>
      <c r="C197" s="11">
        <v>2090</v>
      </c>
      <c r="D197">
        <f t="array" ref="D197">_xlfn._xlws.FILTER(_xlfn._xlws.FILTER(Demand!$G$2:$X$66,(Demand!$E$2:$E$66=$A197),""),Demand!$G$1:$X$1=$C197,"")</f>
        <v>103.89404292979511</v>
      </c>
    </row>
    <row r="198" spans="1:4">
      <c r="A198" t="s">
        <v>99</v>
      </c>
      <c r="B198" t="s">
        <v>81</v>
      </c>
      <c r="C198" s="11">
        <v>2095</v>
      </c>
      <c r="D198">
        <f t="array" ref="D198">_xlfn._xlws.FILTER(_xlfn._xlws.FILTER(Demand!$G$2:$X$66,(Demand!$E$2:$E$66=$A198),""),Demand!$G$1:$X$1=$C198,"")</f>
        <v>111.2105248262595</v>
      </c>
    </row>
    <row r="199" spans="1:4">
      <c r="A199" t="s">
        <v>99</v>
      </c>
      <c r="B199" t="s">
        <v>81</v>
      </c>
      <c r="C199" s="11">
        <v>2100</v>
      </c>
      <c r="D199">
        <f t="array" ref="D199">_xlfn._xlws.FILTER(_xlfn._xlws.FILTER(Demand!$G$2:$X$66,(Demand!$E$2:$E$66=$A199),""),Demand!$G$1:$X$1=$C199,"")</f>
        <v>118.527006722724</v>
      </c>
    </row>
    <row r="200" spans="1:4">
      <c r="A200" t="s">
        <v>100</v>
      </c>
      <c r="B200" t="s">
        <v>81</v>
      </c>
      <c r="C200" s="11">
        <v>2019</v>
      </c>
      <c r="D200">
        <f t="array" ref="D200">_xlfn._xlws.FILTER(_xlfn._xlws.FILTER(Demand!$G$2:$X$66,(Demand!$E$2:$E$66=$A200),""),Demand!$G$1:$X$1=$C200,"")</f>
        <v>0</v>
      </c>
    </row>
    <row r="201" spans="1:4">
      <c r="A201" t="s">
        <v>100</v>
      </c>
      <c r="B201" t="s">
        <v>81</v>
      </c>
      <c r="C201" s="11">
        <v>2020</v>
      </c>
      <c r="D201">
        <f t="array" ref="D201">_xlfn._xlws.FILTER(_xlfn._xlws.FILTER(Demand!$G$2:$X$66,(Demand!$E$2:$E$66=$A201),""),Demand!$G$1:$X$1=$C201,"")</f>
        <v>0.8876451856733294</v>
      </c>
    </row>
    <row r="202" spans="1:4">
      <c r="A202" t="s">
        <v>100</v>
      </c>
      <c r="B202" t="s">
        <v>81</v>
      </c>
      <c r="C202" s="11">
        <v>2025</v>
      </c>
      <c r="D202">
        <f t="array" ref="D202">_xlfn._xlws.FILTER(_xlfn._xlws.FILTER(Demand!$G$2:$X$66,(Demand!$E$2:$E$66=$A202),""),Demand!$G$1:$X$1=$C202,"")</f>
        <v>5.3258711140399759</v>
      </c>
    </row>
    <row r="203" spans="1:4">
      <c r="A203" t="s">
        <v>100</v>
      </c>
      <c r="B203" t="s">
        <v>81</v>
      </c>
      <c r="C203" s="11">
        <v>2030</v>
      </c>
      <c r="D203">
        <f t="array" ref="D203">_xlfn._xlws.FILTER(_xlfn._xlws.FILTER(Demand!$G$2:$X$66,(Demand!$E$2:$E$66=$A203),""),Demand!$G$1:$X$1=$C203,"")</f>
        <v>9.7640970424066218</v>
      </c>
    </row>
    <row r="204" spans="1:4">
      <c r="A204" t="s">
        <v>100</v>
      </c>
      <c r="B204" t="s">
        <v>81</v>
      </c>
      <c r="C204" s="11">
        <v>2035</v>
      </c>
      <c r="D204">
        <f t="array" ref="D204">_xlfn._xlws.FILTER(_xlfn._xlws.FILTER(Demand!$G$2:$X$66,(Demand!$E$2:$E$66=$A204),""),Demand!$G$1:$X$1=$C204,"")</f>
        <v>14.20232297077327</v>
      </c>
    </row>
    <row r="205" spans="1:4">
      <c r="A205" t="s">
        <v>100</v>
      </c>
      <c r="B205" t="s">
        <v>81</v>
      </c>
      <c r="C205" s="11">
        <v>2040</v>
      </c>
      <c r="D205">
        <f t="array" ref="D205">_xlfn._xlws.FILTER(_xlfn._xlws.FILTER(Demand!$G$2:$X$66,(Demand!$E$2:$E$66=$A205),""),Demand!$G$1:$X$1=$C205,"")</f>
        <v>18.640548899139919</v>
      </c>
    </row>
    <row r="206" spans="1:4">
      <c r="A206" t="s">
        <v>100</v>
      </c>
      <c r="B206" t="s">
        <v>81</v>
      </c>
      <c r="C206" s="11">
        <v>2045</v>
      </c>
      <c r="D206">
        <f t="array" ref="D206">_xlfn._xlws.FILTER(_xlfn._xlws.FILTER(Demand!$G$2:$X$66,(Demand!$E$2:$E$66=$A206),""),Demand!$G$1:$X$1=$C206,"")</f>
        <v>23.07877482750656</v>
      </c>
    </row>
    <row r="207" spans="1:4">
      <c r="A207" t="s">
        <v>100</v>
      </c>
      <c r="B207" t="s">
        <v>81</v>
      </c>
      <c r="C207" s="11">
        <v>2050</v>
      </c>
      <c r="D207">
        <f t="array" ref="D207">_xlfn._xlws.FILTER(_xlfn._xlws.FILTER(Demand!$G$2:$X$66,(Demand!$E$2:$E$66=$A207),""),Demand!$G$1:$X$1=$C207,"")</f>
        <v>27.517000755873209</v>
      </c>
    </row>
    <row r="208" spans="1:4">
      <c r="A208" t="s">
        <v>100</v>
      </c>
      <c r="B208" t="s">
        <v>81</v>
      </c>
      <c r="C208" s="11">
        <v>2055</v>
      </c>
      <c r="D208">
        <f t="array" ref="D208">_xlfn._xlws.FILTER(_xlfn._xlws.FILTER(Demand!$G$2:$X$66,(Demand!$E$2:$E$66=$A208),""),Demand!$G$1:$X$1=$C208,"")</f>
        <v>31.955226684239861</v>
      </c>
    </row>
    <row r="209" spans="1:4">
      <c r="A209" t="s">
        <v>100</v>
      </c>
      <c r="B209" t="s">
        <v>81</v>
      </c>
      <c r="C209" s="11">
        <v>2060</v>
      </c>
      <c r="D209">
        <f t="array" ref="D209">_xlfn._xlws.FILTER(_xlfn._xlws.FILTER(Demand!$G$2:$X$66,(Demand!$E$2:$E$66=$A209),""),Demand!$G$1:$X$1=$C209,"")</f>
        <v>36.393452612606509</v>
      </c>
    </row>
    <row r="210" spans="1:4">
      <c r="A210" t="s">
        <v>100</v>
      </c>
      <c r="B210" t="s">
        <v>81</v>
      </c>
      <c r="C210" s="11">
        <v>2065</v>
      </c>
      <c r="D210">
        <f t="array" ref="D210">_xlfn._xlws.FILTER(_xlfn._xlws.FILTER(Demand!$G$2:$X$66,(Demand!$E$2:$E$66=$A210),""),Demand!$G$1:$X$1=$C210,"")</f>
        <v>40.831678540973158</v>
      </c>
    </row>
    <row r="211" spans="1:4">
      <c r="A211" t="s">
        <v>100</v>
      </c>
      <c r="B211" t="s">
        <v>81</v>
      </c>
      <c r="C211" s="11">
        <v>2070</v>
      </c>
      <c r="D211">
        <f t="array" ref="D211">_xlfn._xlws.FILTER(_xlfn._xlws.FILTER(Demand!$G$2:$X$66,(Demand!$E$2:$E$66=$A211),""),Demand!$G$1:$X$1=$C211,"")</f>
        <v>45.269904469339806</v>
      </c>
    </row>
    <row r="212" spans="1:4">
      <c r="A212" t="s">
        <v>100</v>
      </c>
      <c r="B212" t="s">
        <v>81</v>
      </c>
      <c r="C212" s="11">
        <v>2075</v>
      </c>
      <c r="D212">
        <f t="array" ref="D212">_xlfn._xlws.FILTER(_xlfn._xlws.FILTER(Demand!$G$2:$X$66,(Demand!$E$2:$E$66=$A212),""),Demand!$G$1:$X$1=$C212,"")</f>
        <v>49.708130397706462</v>
      </c>
    </row>
    <row r="213" spans="1:4">
      <c r="A213" t="s">
        <v>100</v>
      </c>
      <c r="B213" t="s">
        <v>81</v>
      </c>
      <c r="C213" s="11">
        <v>2080</v>
      </c>
      <c r="D213">
        <f t="array" ref="D213">_xlfn._xlws.FILTER(_xlfn._xlws.FILTER(Demand!$G$2:$X$66,(Demand!$E$2:$E$66=$A213),""),Demand!$G$1:$X$1=$C213,"")</f>
        <v>54.146356326073096</v>
      </c>
    </row>
    <row r="214" spans="1:4">
      <c r="A214" t="s">
        <v>100</v>
      </c>
      <c r="B214" t="s">
        <v>81</v>
      </c>
      <c r="C214" s="11">
        <v>2085</v>
      </c>
      <c r="D214">
        <f t="array" ref="D214">_xlfn._xlws.FILTER(_xlfn._xlws.FILTER(Demand!$G$2:$X$66,(Demand!$E$2:$E$66=$A214),""),Demand!$G$1:$X$1=$C214,"")</f>
        <v>58.584582254439752</v>
      </c>
    </row>
    <row r="215" spans="1:4">
      <c r="A215" t="s">
        <v>100</v>
      </c>
      <c r="B215" t="s">
        <v>81</v>
      </c>
      <c r="C215" s="11">
        <v>2090</v>
      </c>
      <c r="D215">
        <f t="array" ref="D215">_xlfn._xlws.FILTER(_xlfn._xlws.FILTER(Demand!$G$2:$X$66,(Demand!$E$2:$E$66=$A215),""),Demand!$G$1:$X$1=$C215,"")</f>
        <v>63.022808182806401</v>
      </c>
    </row>
    <row r="216" spans="1:4">
      <c r="A216" t="s">
        <v>100</v>
      </c>
      <c r="B216" t="s">
        <v>81</v>
      </c>
      <c r="C216" s="11">
        <v>2095</v>
      </c>
      <c r="D216">
        <f t="array" ref="D216">_xlfn._xlws.FILTER(_xlfn._xlws.FILTER(Demand!$G$2:$X$66,(Demand!$E$2:$E$66=$A216),""),Demand!$G$1:$X$1=$C216,"")</f>
        <v>67.461034111173049</v>
      </c>
    </row>
    <row r="217" spans="1:4">
      <c r="A217" t="s">
        <v>100</v>
      </c>
      <c r="B217" t="s">
        <v>81</v>
      </c>
      <c r="C217" s="11">
        <v>2100</v>
      </c>
      <c r="D217">
        <f t="array" ref="D217">_xlfn._xlws.FILTER(_xlfn._xlws.FILTER(Demand!$G$2:$X$66,(Demand!$E$2:$E$66=$A217),""),Demand!$G$1:$X$1=$C217,"")</f>
        <v>71.899260039539698</v>
      </c>
    </row>
    <row r="218" spans="1:4">
      <c r="A218" t="s">
        <v>101</v>
      </c>
      <c r="B218" t="s">
        <v>81</v>
      </c>
      <c r="C218" s="11">
        <v>2019</v>
      </c>
      <c r="D218">
        <f t="array" ref="D218">_xlfn._xlws.FILTER(_xlfn._xlws.FILTER(Demand!$G$2:$X$66,(Demand!$E$2:$E$66=$A218),""),Demand!$G$1:$X$1=$C218,"")</f>
        <v>0</v>
      </c>
    </row>
    <row r="219" spans="1:4">
      <c r="A219" t="s">
        <v>101</v>
      </c>
      <c r="B219" t="s">
        <v>81</v>
      </c>
      <c r="C219" s="11">
        <v>2020</v>
      </c>
      <c r="D219">
        <f t="array" ref="D219">_xlfn._xlws.FILTER(_xlfn._xlws.FILTER(Demand!$G$2:$X$66,(Demand!$E$2:$E$66=$A219),""),Demand!$G$1:$X$1=$C219,"")</f>
        <v>0.97130992551778672</v>
      </c>
    </row>
    <row r="220" spans="1:4">
      <c r="A220" t="s">
        <v>101</v>
      </c>
      <c r="B220" t="s">
        <v>81</v>
      </c>
      <c r="C220" s="11">
        <v>2025</v>
      </c>
      <c r="D220">
        <f t="array" ref="D220">_xlfn._xlws.FILTER(_xlfn._xlws.FILTER(Demand!$G$2:$X$66,(Demand!$E$2:$E$66=$A220),""),Demand!$G$1:$X$1=$C220,"")</f>
        <v>5.8278595531067214</v>
      </c>
    </row>
    <row r="221" spans="1:4">
      <c r="A221" t="s">
        <v>101</v>
      </c>
      <c r="B221" t="s">
        <v>81</v>
      </c>
      <c r="C221" s="11">
        <v>2030</v>
      </c>
      <c r="D221">
        <f t="array" ref="D221">_xlfn._xlws.FILTER(_xlfn._xlws.FILTER(Demand!$G$2:$X$66,(Demand!$E$2:$E$66=$A221),""),Demand!$G$1:$X$1=$C221,"")</f>
        <v>10.684409180695649</v>
      </c>
    </row>
    <row r="222" spans="1:4">
      <c r="A222" t="s">
        <v>101</v>
      </c>
      <c r="B222" t="s">
        <v>81</v>
      </c>
      <c r="C222" s="11">
        <v>2035</v>
      </c>
      <c r="D222">
        <f t="array" ref="D222">_xlfn._xlws.FILTER(_xlfn._xlws.FILTER(Demand!$G$2:$X$66,(Demand!$E$2:$E$66=$A222),""),Demand!$G$1:$X$1=$C222,"")</f>
        <v>15.540958808284589</v>
      </c>
    </row>
    <row r="223" spans="1:4">
      <c r="A223" t="s">
        <v>101</v>
      </c>
      <c r="B223" t="s">
        <v>81</v>
      </c>
      <c r="C223" s="11">
        <v>2040</v>
      </c>
      <c r="D223">
        <f t="array" ref="D223">_xlfn._xlws.FILTER(_xlfn._xlws.FILTER(Demand!$G$2:$X$66,(Demand!$E$2:$E$66=$A223),""),Demand!$G$1:$X$1=$C223,"")</f>
        <v>20.397508435873519</v>
      </c>
    </row>
    <row r="224" spans="1:4">
      <c r="A224" t="s">
        <v>101</v>
      </c>
      <c r="B224" t="s">
        <v>81</v>
      </c>
      <c r="C224" s="11">
        <v>2045</v>
      </c>
      <c r="D224">
        <f t="array" ref="D224">_xlfn._xlws.FILTER(_xlfn._xlws.FILTER(Demand!$G$2:$X$66,(Demand!$E$2:$E$66=$A224),""),Demand!$G$1:$X$1=$C224,"")</f>
        <v>25.254058063462459</v>
      </c>
    </row>
    <row r="225" spans="1:4">
      <c r="A225" t="s">
        <v>101</v>
      </c>
      <c r="B225" t="s">
        <v>81</v>
      </c>
      <c r="C225" s="11">
        <v>2050</v>
      </c>
      <c r="D225">
        <f t="array" ref="D225">_xlfn._xlws.FILTER(_xlfn._xlws.FILTER(Demand!$G$2:$X$66,(Demand!$E$2:$E$66=$A225),""),Demand!$G$1:$X$1=$C225,"")</f>
        <v>30.110607691051388</v>
      </c>
    </row>
    <row r="226" spans="1:4">
      <c r="A226" t="s">
        <v>101</v>
      </c>
      <c r="B226" t="s">
        <v>81</v>
      </c>
      <c r="C226" s="11">
        <v>2055</v>
      </c>
      <c r="D226">
        <f t="array" ref="D226">_xlfn._xlws.FILTER(_xlfn._xlws.FILTER(Demand!$G$2:$X$66,(Demand!$E$2:$E$66=$A226),""),Demand!$G$1:$X$1=$C226,"")</f>
        <v>34.967157318640332</v>
      </c>
    </row>
    <row r="227" spans="1:4">
      <c r="A227" t="s">
        <v>101</v>
      </c>
      <c r="B227" t="s">
        <v>81</v>
      </c>
      <c r="C227" s="11">
        <v>2060</v>
      </c>
      <c r="D227">
        <f t="array" ref="D227">_xlfn._xlws.FILTER(_xlfn._xlws.FILTER(Demand!$G$2:$X$66,(Demand!$E$2:$E$66=$A227),""),Demand!$G$1:$X$1=$C227,"")</f>
        <v>39.823706946229258</v>
      </c>
    </row>
    <row r="228" spans="1:4">
      <c r="A228" t="s">
        <v>101</v>
      </c>
      <c r="B228" t="s">
        <v>81</v>
      </c>
      <c r="C228" s="11">
        <v>2065</v>
      </c>
      <c r="D228">
        <f t="array" ref="D228">_xlfn._xlws.FILTER(_xlfn._xlws.FILTER(Demand!$G$2:$X$66,(Demand!$E$2:$E$66=$A228),""),Demand!$G$1:$X$1=$C228,"")</f>
        <v>44.680256573818191</v>
      </c>
    </row>
    <row r="229" spans="1:4">
      <c r="A229" t="s">
        <v>101</v>
      </c>
      <c r="B229" t="s">
        <v>81</v>
      </c>
      <c r="C229" s="11">
        <v>2070</v>
      </c>
      <c r="D229">
        <f t="array" ref="D229">_xlfn._xlws.FILTER(_xlfn._xlws.FILTER(Demand!$G$2:$X$66,(Demand!$E$2:$E$66=$A229),""),Demand!$G$1:$X$1=$C229,"")</f>
        <v>49.536806201407117</v>
      </c>
    </row>
    <row r="230" spans="1:4">
      <c r="A230" t="s">
        <v>101</v>
      </c>
      <c r="B230" t="s">
        <v>81</v>
      </c>
      <c r="C230" s="11">
        <v>2075</v>
      </c>
      <c r="D230">
        <f t="array" ref="D230">_xlfn._xlws.FILTER(_xlfn._xlws.FILTER(Demand!$G$2:$X$66,(Demand!$E$2:$E$66=$A230),""),Demand!$G$1:$X$1=$C230,"")</f>
        <v>54.393355828996057</v>
      </c>
    </row>
    <row r="231" spans="1:4">
      <c r="A231" t="s">
        <v>101</v>
      </c>
      <c r="B231" t="s">
        <v>81</v>
      </c>
      <c r="C231" s="11">
        <v>2080</v>
      </c>
      <c r="D231">
        <f t="array" ref="D231">_xlfn._xlws.FILTER(_xlfn._xlws.FILTER(Demand!$G$2:$X$66,(Demand!$E$2:$E$66=$A231),""),Demand!$G$1:$X$1=$C231,"")</f>
        <v>59.24990545658499</v>
      </c>
    </row>
    <row r="232" spans="1:4">
      <c r="A232" t="s">
        <v>101</v>
      </c>
      <c r="B232" t="s">
        <v>81</v>
      </c>
      <c r="C232" s="11">
        <v>2085</v>
      </c>
      <c r="D232">
        <f t="array" ref="D232">_xlfn._xlws.FILTER(_xlfn._xlws.FILTER(Demand!$G$2:$X$66,(Demand!$E$2:$E$66=$A232),""),Demand!$G$1:$X$1=$C232,"")</f>
        <v>64.10645508417393</v>
      </c>
    </row>
    <row r="233" spans="1:4">
      <c r="A233" t="s">
        <v>101</v>
      </c>
      <c r="B233" t="s">
        <v>81</v>
      </c>
      <c r="C233" s="11">
        <v>2090</v>
      </c>
      <c r="D233">
        <f t="array" ref="D233">_xlfn._xlws.FILTER(_xlfn._xlws.FILTER(Demand!$G$2:$X$66,(Demand!$E$2:$E$66=$A233),""),Demand!$G$1:$X$1=$C233,"")</f>
        <v>68.963004711762864</v>
      </c>
    </row>
    <row r="234" spans="1:4">
      <c r="A234" t="s">
        <v>101</v>
      </c>
      <c r="B234" t="s">
        <v>81</v>
      </c>
      <c r="C234" s="11">
        <v>2095</v>
      </c>
      <c r="D234">
        <f t="array" ref="D234">_xlfn._xlws.FILTER(_xlfn._xlws.FILTER(Demand!$G$2:$X$66,(Demand!$E$2:$E$66=$A234),""),Demand!$G$1:$X$1=$C234,"")</f>
        <v>73.819554339351797</v>
      </c>
    </row>
    <row r="235" spans="1:4">
      <c r="A235" t="s">
        <v>101</v>
      </c>
      <c r="B235" t="s">
        <v>81</v>
      </c>
      <c r="C235" s="11">
        <v>2100</v>
      </c>
      <c r="D235">
        <f t="array" ref="D235">_xlfn._xlws.FILTER(_xlfn._xlws.FILTER(Demand!$G$2:$X$66,(Demand!$E$2:$E$66=$A235),""),Demand!$G$1:$X$1=$C235,"")</f>
        <v>78.67610396694073</v>
      </c>
    </row>
    <row r="236" spans="1:4">
      <c r="A236" t="s">
        <v>102</v>
      </c>
      <c r="B236" t="s">
        <v>81</v>
      </c>
      <c r="C236" s="11">
        <v>2019</v>
      </c>
      <c r="D236">
        <f t="array" ref="D236">_xlfn._xlws.FILTER(_xlfn._xlws.FILTER(Demand!$G$2:$X$66,(Demand!$E$2:$E$66=$A236),""),Demand!$G$1:$X$1=$C236,"")</f>
        <v>0</v>
      </c>
    </row>
    <row r="237" spans="1:4">
      <c r="A237" t="s">
        <v>102</v>
      </c>
      <c r="B237" t="s">
        <v>81</v>
      </c>
      <c r="C237" s="11">
        <v>2020</v>
      </c>
      <c r="D237">
        <f t="array" ref="D237">_xlfn._xlws.FILTER(_xlfn._xlws.FILTER(Demand!$G$2:$X$66,(Demand!$E$2:$E$66=$A237),""),Demand!$G$1:$X$1=$C237,"")</f>
        <v>0.65467173047735006</v>
      </c>
    </row>
    <row r="238" spans="1:4">
      <c r="A238" t="s">
        <v>102</v>
      </c>
      <c r="B238" t="s">
        <v>81</v>
      </c>
      <c r="C238" s="11">
        <v>2025</v>
      </c>
      <c r="D238">
        <f t="array" ref="D238">_xlfn._xlws.FILTER(_xlfn._xlws.FILTER(Demand!$G$2:$X$66,(Demand!$E$2:$E$66=$A238),""),Demand!$G$1:$X$1=$C238,"")</f>
        <v>3.928030382864101</v>
      </c>
    </row>
    <row r="239" spans="1:4">
      <c r="A239" t="s">
        <v>102</v>
      </c>
      <c r="B239" t="s">
        <v>81</v>
      </c>
      <c r="C239" s="11">
        <v>2030</v>
      </c>
      <c r="D239">
        <f t="array" ref="D239">_xlfn._xlws.FILTER(_xlfn._xlws.FILTER(Demand!$G$2:$X$66,(Demand!$E$2:$E$66=$A239),""),Demand!$G$1:$X$1=$C239,"")</f>
        <v>7.2013890352508509</v>
      </c>
    </row>
    <row r="240" spans="1:4">
      <c r="A240" t="s">
        <v>102</v>
      </c>
      <c r="B240" t="s">
        <v>81</v>
      </c>
      <c r="C240" s="11">
        <v>2035</v>
      </c>
      <c r="D240">
        <f t="array" ref="D240">_xlfn._xlws.FILTER(_xlfn._xlws.FILTER(Demand!$G$2:$X$66,(Demand!$E$2:$E$66=$A240),""),Demand!$G$1:$X$1=$C240,"")</f>
        <v>10.474747687637599</v>
      </c>
    </row>
    <row r="241" spans="1:4">
      <c r="A241" t="s">
        <v>102</v>
      </c>
      <c r="B241" t="s">
        <v>81</v>
      </c>
      <c r="C241" s="11">
        <v>2040</v>
      </c>
      <c r="D241">
        <f t="array" ref="D241">_xlfn._xlws.FILTER(_xlfn._xlws.FILTER(Demand!$G$2:$X$66,(Demand!$E$2:$E$66=$A241),""),Demand!$G$1:$X$1=$C241,"")</f>
        <v>13.74810634002435</v>
      </c>
    </row>
    <row r="242" spans="1:4">
      <c r="A242" t="s">
        <v>102</v>
      </c>
      <c r="B242" t="s">
        <v>81</v>
      </c>
      <c r="C242" s="11">
        <v>2045</v>
      </c>
      <c r="D242">
        <f t="array" ref="D242">_xlfn._xlws.FILTER(_xlfn._xlws.FILTER(Demand!$G$2:$X$66,(Demand!$E$2:$E$66=$A242),""),Demand!$G$1:$X$1=$C242,"")</f>
        <v>17.021464992411101</v>
      </c>
    </row>
    <row r="243" spans="1:4">
      <c r="A243" t="s">
        <v>102</v>
      </c>
      <c r="B243" t="s">
        <v>81</v>
      </c>
      <c r="C243" s="11">
        <v>2050</v>
      </c>
      <c r="D243">
        <f t="array" ref="D243">_xlfn._xlws.FILTER(_xlfn._xlws.FILTER(Demand!$G$2:$X$66,(Demand!$E$2:$E$66=$A243),""),Demand!$G$1:$X$1=$C243,"")</f>
        <v>20.294823644797852</v>
      </c>
    </row>
    <row r="244" spans="1:4">
      <c r="A244" t="s">
        <v>102</v>
      </c>
      <c r="B244" t="s">
        <v>81</v>
      </c>
      <c r="C244" s="11">
        <v>2055</v>
      </c>
      <c r="D244">
        <f t="array" ref="D244">_xlfn._xlws.FILTER(_xlfn._xlws.FILTER(Demand!$G$2:$X$66,(Demand!$E$2:$E$66=$A244),""),Demand!$G$1:$X$1=$C244,"")</f>
        <v>23.568182297184599</v>
      </c>
    </row>
    <row r="245" spans="1:4">
      <c r="A245" t="s">
        <v>102</v>
      </c>
      <c r="B245" t="s">
        <v>81</v>
      </c>
      <c r="C245" s="11">
        <v>2060</v>
      </c>
      <c r="D245">
        <f t="array" ref="D245">_xlfn._xlws.FILTER(_xlfn._xlws.FILTER(Demand!$G$2:$X$66,(Demand!$E$2:$E$66=$A245),""),Demand!$G$1:$X$1=$C245,"")</f>
        <v>26.84154094957135</v>
      </c>
    </row>
    <row r="246" spans="1:4">
      <c r="A246" t="s">
        <v>102</v>
      </c>
      <c r="B246" t="s">
        <v>81</v>
      </c>
      <c r="C246" s="11">
        <v>2065</v>
      </c>
      <c r="D246">
        <f t="array" ref="D246">_xlfn._xlws.FILTER(_xlfn._xlws.FILTER(Demand!$G$2:$X$66,(Demand!$E$2:$E$66=$A246),""),Demand!$G$1:$X$1=$C246,"")</f>
        <v>30.114899601958101</v>
      </c>
    </row>
    <row r="247" spans="1:4">
      <c r="A247" t="s">
        <v>102</v>
      </c>
      <c r="B247" t="s">
        <v>81</v>
      </c>
      <c r="C247" s="11">
        <v>2070</v>
      </c>
      <c r="D247">
        <f t="array" ref="D247">_xlfn._xlws.FILTER(_xlfn._xlws.FILTER(Demand!$G$2:$X$66,(Demand!$E$2:$E$66=$A247),""),Demand!$G$1:$X$1=$C247,"")</f>
        <v>33.388258254344848</v>
      </c>
    </row>
    <row r="248" spans="1:4">
      <c r="A248" t="s">
        <v>102</v>
      </c>
      <c r="B248" t="s">
        <v>81</v>
      </c>
      <c r="C248" s="11">
        <v>2075</v>
      </c>
      <c r="D248">
        <f t="array" ref="D248">_xlfn._xlws.FILTER(_xlfn._xlws.FILTER(Demand!$G$2:$X$66,(Demand!$E$2:$E$66=$A248),""),Demand!$G$1:$X$1=$C248,"")</f>
        <v>36.661616906731602</v>
      </c>
    </row>
    <row r="249" spans="1:4">
      <c r="A249" t="s">
        <v>102</v>
      </c>
      <c r="B249" t="s">
        <v>81</v>
      </c>
      <c r="C249" s="11">
        <v>2080</v>
      </c>
      <c r="D249">
        <f t="array" ref="D249">_xlfn._xlws.FILTER(_xlfn._xlws.FILTER(Demand!$G$2:$X$66,(Demand!$E$2:$E$66=$A249),""),Demand!$G$1:$X$1=$C249,"")</f>
        <v>39.93497555911835</v>
      </c>
    </row>
    <row r="250" spans="1:4">
      <c r="A250" t="s">
        <v>102</v>
      </c>
      <c r="B250" t="s">
        <v>81</v>
      </c>
      <c r="C250" s="11">
        <v>2085</v>
      </c>
      <c r="D250">
        <f t="array" ref="D250">_xlfn._xlws.FILTER(_xlfn._xlws.FILTER(Demand!$G$2:$X$66,(Demand!$E$2:$E$66=$A250),""),Demand!$G$1:$X$1=$C250,"")</f>
        <v>43.208334211505097</v>
      </c>
    </row>
    <row r="251" spans="1:4">
      <c r="A251" t="s">
        <v>102</v>
      </c>
      <c r="B251" t="s">
        <v>81</v>
      </c>
      <c r="C251" s="11">
        <v>2090</v>
      </c>
      <c r="D251">
        <f t="array" ref="D251">_xlfn._xlws.FILTER(_xlfn._xlws.FILTER(Demand!$G$2:$X$66,(Demand!$E$2:$E$66=$A251),""),Demand!$G$1:$X$1=$C251,"")</f>
        <v>46.481692863891837</v>
      </c>
    </row>
    <row r="252" spans="1:4">
      <c r="A252" t="s">
        <v>102</v>
      </c>
      <c r="B252" t="s">
        <v>81</v>
      </c>
      <c r="C252" s="11">
        <v>2095</v>
      </c>
      <c r="D252">
        <f t="array" ref="D252">_xlfn._xlws.FILTER(_xlfn._xlws.FILTER(Demand!$G$2:$X$66,(Demand!$E$2:$E$66=$A252),""),Demand!$G$1:$X$1=$C252,"")</f>
        <v>49.755051516278591</v>
      </c>
    </row>
    <row r="253" spans="1:4">
      <c r="A253" t="s">
        <v>102</v>
      </c>
      <c r="B253" t="s">
        <v>81</v>
      </c>
      <c r="C253" s="11">
        <v>2100</v>
      </c>
      <c r="D253">
        <f t="array" ref="D253">_xlfn._xlws.FILTER(_xlfn._xlws.FILTER(Demand!$G$2:$X$66,(Demand!$E$2:$E$66=$A253),""),Demand!$G$1:$X$1=$C253,"")</f>
        <v>53.028410168665339</v>
      </c>
    </row>
    <row r="254" spans="1:4">
      <c r="A254" t="s">
        <v>103</v>
      </c>
      <c r="B254" t="s">
        <v>81</v>
      </c>
      <c r="C254" s="11">
        <v>2019</v>
      </c>
      <c r="D254">
        <f t="array" ref="D254">_xlfn._xlws.FILTER(_xlfn._xlws.FILTER(Demand!$G$2:$X$66,(Demand!$E$2:$E$66=$A254),""),Demand!$G$1:$X$1=$C254,"")</f>
        <v>0</v>
      </c>
    </row>
    <row r="255" spans="1:4">
      <c r="A255" t="s">
        <v>103</v>
      </c>
      <c r="B255" t="s">
        <v>81</v>
      </c>
      <c r="C255" s="11">
        <v>2020</v>
      </c>
      <c r="D255">
        <f t="array" ref="D255">_xlfn._xlws.FILTER(_xlfn._xlws.FILTER(Demand!$G$2:$X$66,(Demand!$E$2:$E$66=$A255),""),Demand!$G$1:$X$1=$C255,"")</f>
        <v>0.33682665691832597</v>
      </c>
    </row>
    <row r="256" spans="1:4">
      <c r="A256" t="s">
        <v>103</v>
      </c>
      <c r="B256" t="s">
        <v>81</v>
      </c>
      <c r="C256" s="11">
        <v>2025</v>
      </c>
      <c r="D256">
        <f t="array" ref="D256">_xlfn._xlws.FILTER(_xlfn._xlws.FILTER(Demand!$G$2:$X$66,(Demand!$E$2:$E$66=$A256),""),Demand!$G$1:$X$1=$C256,"")</f>
        <v>2.0209599415099562</v>
      </c>
    </row>
    <row r="257" spans="1:4">
      <c r="A257" t="s">
        <v>103</v>
      </c>
      <c r="B257" t="s">
        <v>81</v>
      </c>
      <c r="C257" s="11">
        <v>2030</v>
      </c>
      <c r="D257">
        <f t="array" ref="D257">_xlfn._xlws.FILTER(_xlfn._xlws.FILTER(Demand!$G$2:$X$66,(Demand!$E$2:$E$66=$A257),""),Demand!$G$1:$X$1=$C257,"")</f>
        <v>3.7050932261015861</v>
      </c>
    </row>
    <row r="258" spans="1:4">
      <c r="A258" t="s">
        <v>103</v>
      </c>
      <c r="B258" t="s">
        <v>81</v>
      </c>
      <c r="C258" s="11">
        <v>2035</v>
      </c>
      <c r="D258">
        <f t="array" ref="D258">_xlfn._xlws.FILTER(_xlfn._xlws.FILTER(Demand!$G$2:$X$66,(Demand!$E$2:$E$66=$A258),""),Demand!$G$1:$X$1=$C258,"")</f>
        <v>5.3892265106932156</v>
      </c>
    </row>
    <row r="259" spans="1:4">
      <c r="A259" t="s">
        <v>103</v>
      </c>
      <c r="B259" t="s">
        <v>81</v>
      </c>
      <c r="C259" s="11">
        <v>2040</v>
      </c>
      <c r="D259">
        <f t="array" ref="D259">_xlfn._xlws.FILTER(_xlfn._xlws.FILTER(Demand!$G$2:$X$66,(Demand!$E$2:$E$66=$A259),""),Demand!$G$1:$X$1=$C259,"")</f>
        <v>7.0733597952848468</v>
      </c>
    </row>
    <row r="260" spans="1:4">
      <c r="A260" t="s">
        <v>103</v>
      </c>
      <c r="B260" t="s">
        <v>81</v>
      </c>
      <c r="C260" s="11">
        <v>2045</v>
      </c>
      <c r="D260">
        <f t="array" ref="D260">_xlfn._xlws.FILTER(_xlfn._xlws.FILTER(Demand!$G$2:$X$66,(Demand!$E$2:$E$66=$A260),""),Demand!$G$1:$X$1=$C260,"")</f>
        <v>8.7574930798764772</v>
      </c>
    </row>
    <row r="261" spans="1:4">
      <c r="A261" t="s">
        <v>103</v>
      </c>
      <c r="B261" t="s">
        <v>81</v>
      </c>
      <c r="C261" s="11">
        <v>2050</v>
      </c>
      <c r="D261">
        <f t="array" ref="D261">_xlfn._xlws.FILTER(_xlfn._xlws.FILTER(Demand!$G$2:$X$66,(Demand!$E$2:$E$66=$A261),""),Demand!$G$1:$X$1=$C261,"")</f>
        <v>10.44162636446811</v>
      </c>
    </row>
    <row r="262" spans="1:4">
      <c r="A262" t="s">
        <v>103</v>
      </c>
      <c r="B262" t="s">
        <v>81</v>
      </c>
      <c r="C262" s="11">
        <v>2055</v>
      </c>
      <c r="D262">
        <f t="array" ref="D262">_xlfn._xlws.FILTER(_xlfn._xlws.FILTER(Demand!$G$2:$X$66,(Demand!$E$2:$E$66=$A262),""),Demand!$G$1:$X$1=$C262,"")</f>
        <v>12.12575964905974</v>
      </c>
    </row>
    <row r="263" spans="1:4">
      <c r="A263" t="s">
        <v>103</v>
      </c>
      <c r="B263" t="s">
        <v>81</v>
      </c>
      <c r="C263" s="11">
        <v>2060</v>
      </c>
      <c r="D263">
        <f t="array" ref="D263">_xlfn._xlws.FILTER(_xlfn._xlws.FILTER(Demand!$G$2:$X$66,(Demand!$E$2:$E$66=$A263),""),Demand!$G$1:$X$1=$C263,"")</f>
        <v>13.809892933651369</v>
      </c>
    </row>
    <row r="264" spans="1:4">
      <c r="A264" t="s">
        <v>103</v>
      </c>
      <c r="B264" t="s">
        <v>81</v>
      </c>
      <c r="C264" s="11">
        <v>2065</v>
      </c>
      <c r="D264">
        <f t="array" ref="D264">_xlfn._xlws.FILTER(_xlfn._xlws.FILTER(Demand!$G$2:$X$66,(Demand!$E$2:$E$66=$A264),""),Demand!$G$1:$X$1=$C264,"")</f>
        <v>15.494026218243</v>
      </c>
    </row>
    <row r="265" spans="1:4">
      <c r="A265" t="s">
        <v>103</v>
      </c>
      <c r="B265" t="s">
        <v>81</v>
      </c>
      <c r="C265" s="11">
        <v>2070</v>
      </c>
      <c r="D265">
        <f t="array" ref="D265">_xlfn._xlws.FILTER(_xlfn._xlws.FILTER(Demand!$G$2:$X$66,(Demand!$E$2:$E$66=$A265),""),Demand!$G$1:$X$1=$C265,"")</f>
        <v>17.178159502834621</v>
      </c>
    </row>
    <row r="266" spans="1:4">
      <c r="A266" t="s">
        <v>103</v>
      </c>
      <c r="B266" t="s">
        <v>81</v>
      </c>
      <c r="C266" s="11">
        <v>2075</v>
      </c>
      <c r="D266">
        <f t="array" ref="D266">_xlfn._xlws.FILTER(_xlfn._xlws.FILTER(Demand!$G$2:$X$66,(Demand!$E$2:$E$66=$A266),""),Demand!$G$1:$X$1=$C266,"")</f>
        <v>18.862292787426259</v>
      </c>
    </row>
    <row r="267" spans="1:4">
      <c r="A267" t="s">
        <v>103</v>
      </c>
      <c r="B267" t="s">
        <v>81</v>
      </c>
      <c r="C267" s="11">
        <v>2080</v>
      </c>
      <c r="D267">
        <f t="array" ref="D267">_xlfn._xlws.FILTER(_xlfn._xlws.FILTER(Demand!$G$2:$X$66,(Demand!$E$2:$E$66=$A267),""),Demand!$G$1:$X$1=$C267,"")</f>
        <v>20.546426072017891</v>
      </c>
    </row>
    <row r="268" spans="1:4">
      <c r="A268" t="s">
        <v>103</v>
      </c>
      <c r="B268" t="s">
        <v>81</v>
      </c>
      <c r="C268" s="11">
        <v>2085</v>
      </c>
      <c r="D268">
        <f t="array" ref="D268">_xlfn._xlws.FILTER(_xlfn._xlws.FILTER(Demand!$G$2:$X$66,(Demand!$E$2:$E$66=$A268),""),Demand!$G$1:$X$1=$C268,"")</f>
        <v>22.230559356609518</v>
      </c>
    </row>
    <row r="269" spans="1:4">
      <c r="A269" t="s">
        <v>103</v>
      </c>
      <c r="B269" t="s">
        <v>81</v>
      </c>
      <c r="C269" s="11">
        <v>2090</v>
      </c>
      <c r="D269">
        <f t="array" ref="D269">_xlfn._xlws.FILTER(_xlfn._xlws.FILTER(Demand!$G$2:$X$66,(Demand!$E$2:$E$66=$A269),""),Demand!$G$1:$X$1=$C269,"")</f>
        <v>23.91469264120115</v>
      </c>
    </row>
    <row r="270" spans="1:4">
      <c r="A270" t="s">
        <v>103</v>
      </c>
      <c r="B270" t="s">
        <v>81</v>
      </c>
      <c r="C270" s="11">
        <v>2095</v>
      </c>
      <c r="D270">
        <f t="array" ref="D270">_xlfn._xlws.FILTER(_xlfn._xlws.FILTER(Demand!$G$2:$X$66,(Demand!$E$2:$E$66=$A270),""),Demand!$G$1:$X$1=$C270,"")</f>
        <v>25.598825925792781</v>
      </c>
    </row>
    <row r="271" spans="1:4">
      <c r="A271" t="s">
        <v>103</v>
      </c>
      <c r="B271" t="s">
        <v>81</v>
      </c>
      <c r="C271" s="11">
        <v>2100</v>
      </c>
      <c r="D271">
        <f t="array" ref="D271">_xlfn._xlws.FILTER(_xlfn._xlws.FILTER(Demand!$G$2:$X$66,(Demand!$E$2:$E$66=$A271),""),Demand!$G$1:$X$1=$C271,"")</f>
        <v>27.282959210384409</v>
      </c>
    </row>
    <row r="272" spans="1:4">
      <c r="A272" t="s">
        <v>104</v>
      </c>
      <c r="B272" t="s">
        <v>81</v>
      </c>
      <c r="C272" s="11">
        <v>2019</v>
      </c>
      <c r="D272">
        <f t="array" ref="D272">_xlfn._xlws.FILTER(_xlfn._xlws.FILTER(Demand!$G$2:$X$66,(Demand!$E$2:$E$66=$A272),""),Demand!$G$1:$X$1=$C272,"")</f>
        <v>0</v>
      </c>
    </row>
    <row r="273" spans="1:4">
      <c r="A273" t="s">
        <v>104</v>
      </c>
      <c r="B273" t="s">
        <v>81</v>
      </c>
      <c r="C273" s="11">
        <v>2020</v>
      </c>
      <c r="D273">
        <f t="array" ref="D273">_xlfn._xlws.FILTER(_xlfn._xlws.FILTER(Demand!$G$2:$X$66,(Demand!$E$2:$E$66=$A273),""),Demand!$G$1:$X$1=$C273,"")</f>
        <v>0.17520560891415529</v>
      </c>
    </row>
    <row r="274" spans="1:4">
      <c r="A274" t="s">
        <v>104</v>
      </c>
      <c r="B274" t="s">
        <v>81</v>
      </c>
      <c r="C274" s="11">
        <v>2025</v>
      </c>
      <c r="D274">
        <f t="array" ref="D274">_xlfn._xlws.FILTER(_xlfn._xlws.FILTER(Demand!$G$2:$X$66,(Demand!$E$2:$E$66=$A274),""),Demand!$G$1:$X$1=$C274,"")</f>
        <v>1.051233653484932</v>
      </c>
    </row>
    <row r="275" spans="1:4">
      <c r="A275" t="s">
        <v>104</v>
      </c>
      <c r="B275" t="s">
        <v>81</v>
      </c>
      <c r="C275" s="11">
        <v>2030</v>
      </c>
      <c r="D275">
        <f t="array" ref="D275">_xlfn._xlws.FILTER(_xlfn._xlws.FILTER(Demand!$G$2:$X$66,(Demand!$E$2:$E$66=$A275),""),Demand!$G$1:$X$1=$C275,"")</f>
        <v>1.9272616980557089</v>
      </c>
    </row>
    <row r="276" spans="1:4">
      <c r="A276" t="s">
        <v>104</v>
      </c>
      <c r="B276" t="s">
        <v>81</v>
      </c>
      <c r="C276" s="11">
        <v>2035</v>
      </c>
      <c r="D276">
        <f t="array" ref="D276">_xlfn._xlws.FILTER(_xlfn._xlws.FILTER(Demand!$G$2:$X$66,(Demand!$E$2:$E$66=$A276),""),Demand!$G$1:$X$1=$C276,"")</f>
        <v>2.8032897426264851</v>
      </c>
    </row>
    <row r="277" spans="1:4">
      <c r="A277" t="s">
        <v>104</v>
      </c>
      <c r="B277" t="s">
        <v>81</v>
      </c>
      <c r="C277" s="11">
        <v>2040</v>
      </c>
      <c r="D277">
        <f t="array" ref="D277">_xlfn._xlws.FILTER(_xlfn._xlws.FILTER(Demand!$G$2:$X$66,(Demand!$E$2:$E$66=$A277),""),Demand!$G$1:$X$1=$C277,"")</f>
        <v>3.6793177871972622</v>
      </c>
    </row>
    <row r="278" spans="1:4">
      <c r="A278" t="s">
        <v>104</v>
      </c>
      <c r="B278" t="s">
        <v>81</v>
      </c>
      <c r="C278" s="11">
        <v>2045</v>
      </c>
      <c r="D278">
        <f t="array" ref="D278">_xlfn._xlws.FILTER(_xlfn._xlws.FILTER(Demand!$G$2:$X$66,(Demand!$E$2:$E$66=$A278),""),Demand!$G$1:$X$1=$C278,"")</f>
        <v>4.5553458317680384</v>
      </c>
    </row>
    <row r="279" spans="1:4">
      <c r="A279" t="s">
        <v>104</v>
      </c>
      <c r="B279" t="s">
        <v>81</v>
      </c>
      <c r="C279" s="11">
        <v>2050</v>
      </c>
      <c r="D279">
        <f t="array" ref="D279">_xlfn._xlws.FILTER(_xlfn._xlws.FILTER(Demand!$G$2:$X$66,(Demand!$E$2:$E$66=$A279),""),Demand!$G$1:$X$1=$C279,"")</f>
        <v>5.4313738763388164</v>
      </c>
    </row>
    <row r="280" spans="1:4">
      <c r="A280" t="s">
        <v>104</v>
      </c>
      <c r="B280" t="s">
        <v>81</v>
      </c>
      <c r="C280" s="11">
        <v>2055</v>
      </c>
      <c r="D280">
        <f t="array" ref="D280">_xlfn._xlws.FILTER(_xlfn._xlws.FILTER(Demand!$G$2:$X$66,(Demand!$E$2:$E$66=$A280),""),Demand!$G$1:$X$1=$C280,"")</f>
        <v>6.3074019209095926</v>
      </c>
    </row>
    <row r="281" spans="1:4">
      <c r="A281" t="s">
        <v>104</v>
      </c>
      <c r="B281" t="s">
        <v>81</v>
      </c>
      <c r="C281" s="11">
        <v>2060</v>
      </c>
      <c r="D281">
        <f t="array" ref="D281">_xlfn._xlws.FILTER(_xlfn._xlws.FILTER(Demand!$G$2:$X$66,(Demand!$E$2:$E$66=$A281),""),Demand!$G$1:$X$1=$C281,"")</f>
        <v>7.1834299654803697</v>
      </c>
    </row>
    <row r="282" spans="1:4">
      <c r="A282" t="s">
        <v>104</v>
      </c>
      <c r="B282" t="s">
        <v>81</v>
      </c>
      <c r="C282" s="11">
        <v>2065</v>
      </c>
      <c r="D282">
        <f t="array" ref="D282">_xlfn._xlws.FILTER(_xlfn._xlws.FILTER(Demand!$G$2:$X$66,(Demand!$E$2:$E$66=$A282),""),Demand!$G$1:$X$1=$C282,"")</f>
        <v>8.0594580100511468</v>
      </c>
    </row>
    <row r="283" spans="1:4">
      <c r="A283" t="s">
        <v>104</v>
      </c>
      <c r="B283" t="s">
        <v>81</v>
      </c>
      <c r="C283" s="11">
        <v>2070</v>
      </c>
      <c r="D283">
        <f t="array" ref="D283">_xlfn._xlws.FILTER(_xlfn._xlws.FILTER(Demand!$G$2:$X$66,(Demand!$E$2:$E$66=$A283),""),Demand!$G$1:$X$1=$C283,"")</f>
        <v>8.9354860546219239</v>
      </c>
    </row>
    <row r="284" spans="1:4">
      <c r="A284" t="s">
        <v>104</v>
      </c>
      <c r="B284" t="s">
        <v>81</v>
      </c>
      <c r="C284" s="11">
        <v>2075</v>
      </c>
      <c r="D284">
        <f t="array" ref="D284">_xlfn._xlws.FILTER(_xlfn._xlws.FILTER(Demand!$G$2:$X$66,(Demand!$E$2:$E$66=$A284),""),Demand!$G$1:$X$1=$C284,"")</f>
        <v>9.811514099192701</v>
      </c>
    </row>
    <row r="285" spans="1:4">
      <c r="A285" t="s">
        <v>104</v>
      </c>
      <c r="B285" t="s">
        <v>81</v>
      </c>
      <c r="C285" s="11">
        <v>2080</v>
      </c>
      <c r="D285">
        <f t="array" ref="D285">_xlfn._xlws.FILTER(_xlfn._xlws.FILTER(Demand!$G$2:$X$66,(Demand!$E$2:$E$66=$A285),""),Demand!$G$1:$X$1=$C285,"")</f>
        <v>10.68754214376348</v>
      </c>
    </row>
    <row r="286" spans="1:4">
      <c r="A286" t="s">
        <v>104</v>
      </c>
      <c r="B286" t="s">
        <v>81</v>
      </c>
      <c r="C286" s="11">
        <v>2085</v>
      </c>
      <c r="D286">
        <f t="array" ref="D286">_xlfn._xlws.FILTER(_xlfn._xlws.FILTER(Demand!$G$2:$X$66,(Demand!$E$2:$E$66=$A286),""),Demand!$G$1:$X$1=$C286,"")</f>
        <v>11.563570188334261</v>
      </c>
    </row>
    <row r="287" spans="1:4">
      <c r="A287" t="s">
        <v>104</v>
      </c>
      <c r="B287" t="s">
        <v>81</v>
      </c>
      <c r="C287" s="11">
        <v>2090</v>
      </c>
      <c r="D287">
        <f t="array" ref="D287">_xlfn._xlws.FILTER(_xlfn._xlws.FILTER(Demand!$G$2:$X$66,(Demand!$E$2:$E$66=$A287),""),Demand!$G$1:$X$1=$C287,"")</f>
        <v>12.439598232905031</v>
      </c>
    </row>
    <row r="288" spans="1:4">
      <c r="A288" t="s">
        <v>104</v>
      </c>
      <c r="B288" t="s">
        <v>81</v>
      </c>
      <c r="C288" s="11">
        <v>2095</v>
      </c>
      <c r="D288">
        <f t="array" ref="D288">_xlfn._xlws.FILTER(_xlfn._xlws.FILTER(Demand!$G$2:$X$66,(Demand!$E$2:$E$66=$A288),""),Demand!$G$1:$X$1=$C288,"")</f>
        <v>13.315626277475809</v>
      </c>
    </row>
    <row r="289" spans="1:4">
      <c r="A289" t="s">
        <v>104</v>
      </c>
      <c r="B289" t="s">
        <v>81</v>
      </c>
      <c r="C289" s="11">
        <v>2100</v>
      </c>
      <c r="D289">
        <f t="array" ref="D289">_xlfn._xlws.FILTER(_xlfn._xlws.FILTER(Demand!$G$2:$X$66,(Demand!$E$2:$E$66=$A289),""),Demand!$G$1:$X$1=$C289,"")</f>
        <v>14.19165432204659</v>
      </c>
    </row>
    <row r="290" spans="1:4">
      <c r="A290" t="s">
        <v>108</v>
      </c>
      <c r="B290" t="s">
        <v>81</v>
      </c>
      <c r="C290" s="11">
        <v>2019</v>
      </c>
      <c r="D290">
        <f t="array" ref="D290">_xlfn._xlws.FILTER(_xlfn._xlws.FILTER(Demand!$G$2:$X$66,(Demand!$E$2:$E$66=$A290),""),Demand!$G$1:$X$1=$C290,"")</f>
        <v>51.80787747749153</v>
      </c>
    </row>
    <row r="291" spans="1:4">
      <c r="A291" t="s">
        <v>108</v>
      </c>
      <c r="B291" t="s">
        <v>81</v>
      </c>
      <c r="C291" s="11">
        <v>2020</v>
      </c>
      <c r="D291">
        <f t="array" ref="D291">_xlfn._xlws.FILTER(_xlfn._xlws.FILTER(Demand!$G$2:$X$66,(Demand!$E$2:$E$66=$A291),""),Demand!$G$1:$X$1=$C291,"")</f>
        <v>51.80787747749153</v>
      </c>
    </row>
    <row r="292" spans="1:4">
      <c r="A292" t="s">
        <v>108</v>
      </c>
      <c r="B292" t="s">
        <v>81</v>
      </c>
      <c r="C292" s="11">
        <v>2025</v>
      </c>
      <c r="D292">
        <f t="array" ref="D292">_xlfn._xlws.FILTER(_xlfn._xlws.FILTER(Demand!$G$2:$X$66,(Demand!$E$2:$E$66=$A292),""),Demand!$G$1:$X$1=$C292,"")</f>
        <v>51.80787747749153</v>
      </c>
    </row>
    <row r="293" spans="1:4">
      <c r="A293" t="s">
        <v>108</v>
      </c>
      <c r="B293" t="s">
        <v>81</v>
      </c>
      <c r="C293" s="11">
        <v>2030</v>
      </c>
      <c r="D293">
        <f t="array" ref="D293">_xlfn._xlws.FILTER(_xlfn._xlws.FILTER(Demand!$G$2:$X$66,(Demand!$E$2:$E$66=$A293),""),Demand!$G$1:$X$1=$C293,"")</f>
        <v>51.80787747749153</v>
      </c>
    </row>
    <row r="294" spans="1:4">
      <c r="A294" t="s">
        <v>108</v>
      </c>
      <c r="B294" t="s">
        <v>81</v>
      </c>
      <c r="C294" s="11">
        <v>2035</v>
      </c>
      <c r="D294">
        <f t="array" ref="D294">_xlfn._xlws.FILTER(_xlfn._xlws.FILTER(Demand!$G$2:$X$66,(Demand!$E$2:$E$66=$A294),""),Demand!$G$1:$X$1=$C294,"")</f>
        <v>51.80787747749153</v>
      </c>
    </row>
    <row r="295" spans="1:4">
      <c r="A295" t="s">
        <v>108</v>
      </c>
      <c r="B295" t="s">
        <v>81</v>
      </c>
      <c r="C295" s="11">
        <v>2040</v>
      </c>
      <c r="D295">
        <f t="array" ref="D295">_xlfn._xlws.FILTER(_xlfn._xlws.FILTER(Demand!$G$2:$X$66,(Demand!$E$2:$E$66=$A295),""),Demand!$G$1:$X$1=$C295,"")</f>
        <v>51.80787747749153</v>
      </c>
    </row>
    <row r="296" spans="1:4">
      <c r="A296" t="s">
        <v>108</v>
      </c>
      <c r="B296" t="s">
        <v>81</v>
      </c>
      <c r="C296" s="11">
        <v>2045</v>
      </c>
      <c r="D296">
        <f t="array" ref="D296">_xlfn._xlws.FILTER(_xlfn._xlws.FILTER(Demand!$G$2:$X$66,(Demand!$E$2:$E$66=$A296),""),Demand!$G$1:$X$1=$C296,"")</f>
        <v>51.80787747749153</v>
      </c>
    </row>
    <row r="297" spans="1:4">
      <c r="A297" t="s">
        <v>108</v>
      </c>
      <c r="B297" t="s">
        <v>81</v>
      </c>
      <c r="C297" s="11">
        <v>2050</v>
      </c>
      <c r="D297">
        <f t="array" ref="D297">_xlfn._xlws.FILTER(_xlfn._xlws.FILTER(Demand!$G$2:$X$66,(Demand!$E$2:$E$66=$A297),""),Demand!$G$1:$X$1=$C297,"")</f>
        <v>51.80787747749153</v>
      </c>
    </row>
    <row r="298" spans="1:4">
      <c r="A298" t="s">
        <v>108</v>
      </c>
      <c r="B298" t="s">
        <v>81</v>
      </c>
      <c r="C298" s="11">
        <v>2055</v>
      </c>
      <c r="D298">
        <f t="array" ref="D298">_xlfn._xlws.FILTER(_xlfn._xlws.FILTER(Demand!$G$2:$X$66,(Demand!$E$2:$E$66=$A298),""),Demand!$G$1:$X$1=$C298,"")</f>
        <v>51.80787747749153</v>
      </c>
    </row>
    <row r="299" spans="1:4">
      <c r="A299" t="s">
        <v>108</v>
      </c>
      <c r="B299" t="s">
        <v>81</v>
      </c>
      <c r="C299" s="11">
        <v>2060</v>
      </c>
      <c r="D299">
        <f t="array" ref="D299">_xlfn._xlws.FILTER(_xlfn._xlws.FILTER(Demand!$G$2:$X$66,(Demand!$E$2:$E$66=$A299),""),Demand!$G$1:$X$1=$C299,"")</f>
        <v>51.80787747749153</v>
      </c>
    </row>
    <row r="300" spans="1:4">
      <c r="A300" t="s">
        <v>108</v>
      </c>
      <c r="B300" t="s">
        <v>81</v>
      </c>
      <c r="C300" s="11">
        <v>2065</v>
      </c>
      <c r="D300">
        <f t="array" ref="D300">_xlfn._xlws.FILTER(_xlfn._xlws.FILTER(Demand!$G$2:$X$66,(Demand!$E$2:$E$66=$A300),""),Demand!$G$1:$X$1=$C300,"")</f>
        <v>51.80787747749153</v>
      </c>
    </row>
    <row r="301" spans="1:4">
      <c r="A301" t="s">
        <v>108</v>
      </c>
      <c r="B301" t="s">
        <v>81</v>
      </c>
      <c r="C301" s="11">
        <v>2070</v>
      </c>
      <c r="D301">
        <f t="array" ref="D301">_xlfn._xlws.FILTER(_xlfn._xlws.FILTER(Demand!$G$2:$X$66,(Demand!$E$2:$E$66=$A301),""),Demand!$G$1:$X$1=$C301,"")</f>
        <v>51.80787747749153</v>
      </c>
    </row>
    <row r="302" spans="1:4">
      <c r="A302" t="s">
        <v>108</v>
      </c>
      <c r="B302" t="s">
        <v>81</v>
      </c>
      <c r="C302" s="11">
        <v>2075</v>
      </c>
      <c r="D302">
        <f t="array" ref="D302">_xlfn._xlws.FILTER(_xlfn._xlws.FILTER(Demand!$G$2:$X$66,(Demand!$E$2:$E$66=$A302),""),Demand!$G$1:$X$1=$C302,"")</f>
        <v>51.80787747749153</v>
      </c>
    </row>
    <row r="303" spans="1:4">
      <c r="A303" t="s">
        <v>108</v>
      </c>
      <c r="B303" t="s">
        <v>81</v>
      </c>
      <c r="C303" s="11">
        <v>2080</v>
      </c>
      <c r="D303">
        <f t="array" ref="D303">_xlfn._xlws.FILTER(_xlfn._xlws.FILTER(Demand!$G$2:$X$66,(Demand!$E$2:$E$66=$A303),""),Demand!$G$1:$X$1=$C303,"")</f>
        <v>51.80787747749153</v>
      </c>
    </row>
    <row r="304" spans="1:4">
      <c r="A304" t="s">
        <v>108</v>
      </c>
      <c r="B304" t="s">
        <v>81</v>
      </c>
      <c r="C304" s="11">
        <v>2085</v>
      </c>
      <c r="D304">
        <f t="array" ref="D304">_xlfn._xlws.FILTER(_xlfn._xlws.FILTER(Demand!$G$2:$X$66,(Demand!$E$2:$E$66=$A304),""),Demand!$G$1:$X$1=$C304,"")</f>
        <v>51.80787747749153</v>
      </c>
    </row>
    <row r="305" spans="1:4">
      <c r="A305" t="s">
        <v>108</v>
      </c>
      <c r="B305" t="s">
        <v>81</v>
      </c>
      <c r="C305" s="11">
        <v>2090</v>
      </c>
      <c r="D305">
        <f t="array" ref="D305">_xlfn._xlws.FILTER(_xlfn._xlws.FILTER(Demand!$G$2:$X$66,(Demand!$E$2:$E$66=$A305),""),Demand!$G$1:$X$1=$C305,"")</f>
        <v>51.80787747749153</v>
      </c>
    </row>
    <row r="306" spans="1:4">
      <c r="A306" t="s">
        <v>108</v>
      </c>
      <c r="B306" t="s">
        <v>81</v>
      </c>
      <c r="C306" s="11">
        <v>2095</v>
      </c>
      <c r="D306">
        <f t="array" ref="D306">_xlfn._xlws.FILTER(_xlfn._xlws.FILTER(Demand!$G$2:$X$66,(Demand!$E$2:$E$66=$A306),""),Demand!$G$1:$X$1=$C306,"")</f>
        <v>51.80787747749153</v>
      </c>
    </row>
    <row r="307" spans="1:4">
      <c r="A307" t="s">
        <v>108</v>
      </c>
      <c r="B307" t="s">
        <v>81</v>
      </c>
      <c r="C307" s="11">
        <v>2100</v>
      </c>
      <c r="D307">
        <f t="array" ref="D307">_xlfn._xlws.FILTER(_xlfn._xlws.FILTER(Demand!$G$2:$X$66,(Demand!$E$2:$E$66=$A307),""),Demand!$G$1:$X$1=$C307,"")</f>
        <v>51.80787747749153</v>
      </c>
    </row>
    <row r="308" spans="1:4">
      <c r="A308" t="s">
        <v>110</v>
      </c>
      <c r="B308" t="s">
        <v>81</v>
      </c>
      <c r="C308" s="11">
        <v>2019</v>
      </c>
      <c r="D308">
        <f t="array" ref="D308">_xlfn._xlws.FILTER(_xlfn._xlws.FILTER(Demand!$G$2:$X$66,(Demand!$E$2:$E$66=$A308),""),Demand!$G$1:$X$1=$C308,"")</f>
        <v>14.956798014988321</v>
      </c>
    </row>
    <row r="309" spans="1:4">
      <c r="A309" t="s">
        <v>110</v>
      </c>
      <c r="B309" t="s">
        <v>81</v>
      </c>
      <c r="C309" s="11">
        <v>2020</v>
      </c>
      <c r="D309">
        <f t="array" ref="D309">_xlfn._xlws.FILTER(_xlfn._xlws.FILTER(Demand!$G$2:$X$66,(Demand!$E$2:$E$66=$A309),""),Demand!$G$1:$X$1=$C309,"")</f>
        <v>14.956798014988321</v>
      </c>
    </row>
    <row r="310" spans="1:4">
      <c r="A310" t="s">
        <v>110</v>
      </c>
      <c r="B310" t="s">
        <v>81</v>
      </c>
      <c r="C310" s="11">
        <v>2025</v>
      </c>
      <c r="D310">
        <f t="array" ref="D310">_xlfn._xlws.FILTER(_xlfn._xlws.FILTER(Demand!$G$2:$X$66,(Demand!$E$2:$E$66=$A310),""),Demand!$G$1:$X$1=$C310,"")</f>
        <v>14.956798014988321</v>
      </c>
    </row>
    <row r="311" spans="1:4">
      <c r="A311" t="s">
        <v>110</v>
      </c>
      <c r="B311" t="s">
        <v>81</v>
      </c>
      <c r="C311" s="11">
        <v>2030</v>
      </c>
      <c r="D311">
        <f t="array" ref="D311">_xlfn._xlws.FILTER(_xlfn._xlws.FILTER(Demand!$G$2:$X$66,(Demand!$E$2:$E$66=$A311),""),Demand!$G$1:$X$1=$C311,"")</f>
        <v>14.956798014988321</v>
      </c>
    </row>
    <row r="312" spans="1:4">
      <c r="A312" t="s">
        <v>110</v>
      </c>
      <c r="B312" t="s">
        <v>81</v>
      </c>
      <c r="C312" s="11">
        <v>2035</v>
      </c>
      <c r="D312">
        <f t="array" ref="D312">_xlfn._xlws.FILTER(_xlfn._xlws.FILTER(Demand!$G$2:$X$66,(Demand!$E$2:$E$66=$A312),""),Demand!$G$1:$X$1=$C312,"")</f>
        <v>14.956798014988321</v>
      </c>
    </row>
    <row r="313" spans="1:4">
      <c r="A313" t="s">
        <v>110</v>
      </c>
      <c r="B313" t="s">
        <v>81</v>
      </c>
      <c r="C313" s="11">
        <v>2040</v>
      </c>
      <c r="D313">
        <f t="array" ref="D313">_xlfn._xlws.FILTER(_xlfn._xlws.FILTER(Demand!$G$2:$X$66,(Demand!$E$2:$E$66=$A313),""),Demand!$G$1:$X$1=$C313,"")</f>
        <v>14.956798014988321</v>
      </c>
    </row>
    <row r="314" spans="1:4">
      <c r="A314" t="s">
        <v>110</v>
      </c>
      <c r="B314" t="s">
        <v>81</v>
      </c>
      <c r="C314" s="11">
        <v>2045</v>
      </c>
      <c r="D314">
        <f t="array" ref="D314">_xlfn._xlws.FILTER(_xlfn._xlws.FILTER(Demand!$G$2:$X$66,(Demand!$E$2:$E$66=$A314),""),Demand!$G$1:$X$1=$C314,"")</f>
        <v>14.956798014988321</v>
      </c>
    </row>
    <row r="315" spans="1:4">
      <c r="A315" t="s">
        <v>110</v>
      </c>
      <c r="B315" t="s">
        <v>81</v>
      </c>
      <c r="C315" s="11">
        <v>2050</v>
      </c>
      <c r="D315">
        <f t="array" ref="D315">_xlfn._xlws.FILTER(_xlfn._xlws.FILTER(Demand!$G$2:$X$66,(Demand!$E$2:$E$66=$A315),""),Demand!$G$1:$X$1=$C315,"")</f>
        <v>14.956798014988321</v>
      </c>
    </row>
    <row r="316" spans="1:4">
      <c r="A316" t="s">
        <v>110</v>
      </c>
      <c r="B316" t="s">
        <v>81</v>
      </c>
      <c r="C316" s="11">
        <v>2055</v>
      </c>
      <c r="D316">
        <f t="array" ref="D316">_xlfn._xlws.FILTER(_xlfn._xlws.FILTER(Demand!$G$2:$X$66,(Demand!$E$2:$E$66=$A316),""),Demand!$G$1:$X$1=$C316,"")</f>
        <v>14.956798014988321</v>
      </c>
    </row>
    <row r="317" spans="1:4">
      <c r="A317" t="s">
        <v>110</v>
      </c>
      <c r="B317" t="s">
        <v>81</v>
      </c>
      <c r="C317" s="11">
        <v>2060</v>
      </c>
      <c r="D317">
        <f t="array" ref="D317">_xlfn._xlws.FILTER(_xlfn._xlws.FILTER(Demand!$G$2:$X$66,(Demand!$E$2:$E$66=$A317),""),Demand!$G$1:$X$1=$C317,"")</f>
        <v>14.956798014988321</v>
      </c>
    </row>
    <row r="318" spans="1:4">
      <c r="A318" t="s">
        <v>110</v>
      </c>
      <c r="B318" t="s">
        <v>81</v>
      </c>
      <c r="C318" s="11">
        <v>2065</v>
      </c>
      <c r="D318">
        <f t="array" ref="D318">_xlfn._xlws.FILTER(_xlfn._xlws.FILTER(Demand!$G$2:$X$66,(Demand!$E$2:$E$66=$A318),""),Demand!$G$1:$X$1=$C318,"")</f>
        <v>14.956798014988321</v>
      </c>
    </row>
    <row r="319" spans="1:4">
      <c r="A319" t="s">
        <v>110</v>
      </c>
      <c r="B319" t="s">
        <v>81</v>
      </c>
      <c r="C319" s="11">
        <v>2070</v>
      </c>
      <c r="D319">
        <f t="array" ref="D319">_xlfn._xlws.FILTER(_xlfn._xlws.FILTER(Demand!$G$2:$X$66,(Demand!$E$2:$E$66=$A319),""),Demand!$G$1:$X$1=$C319,"")</f>
        <v>14.956798014988321</v>
      </c>
    </row>
    <row r="320" spans="1:4">
      <c r="A320" t="s">
        <v>110</v>
      </c>
      <c r="B320" t="s">
        <v>81</v>
      </c>
      <c r="C320" s="11">
        <v>2075</v>
      </c>
      <c r="D320">
        <f t="array" ref="D320">_xlfn._xlws.FILTER(_xlfn._xlws.FILTER(Demand!$G$2:$X$66,(Demand!$E$2:$E$66=$A320),""),Demand!$G$1:$X$1=$C320,"")</f>
        <v>14.956798014988321</v>
      </c>
    </row>
    <row r="321" spans="1:4">
      <c r="A321" t="s">
        <v>110</v>
      </c>
      <c r="B321" t="s">
        <v>81</v>
      </c>
      <c r="C321" s="11">
        <v>2080</v>
      </c>
      <c r="D321">
        <f t="array" ref="D321">_xlfn._xlws.FILTER(_xlfn._xlws.FILTER(Demand!$G$2:$X$66,(Demand!$E$2:$E$66=$A321),""),Demand!$G$1:$X$1=$C321,"")</f>
        <v>14.956798014988321</v>
      </c>
    </row>
    <row r="322" spans="1:4">
      <c r="A322" t="s">
        <v>110</v>
      </c>
      <c r="B322" t="s">
        <v>81</v>
      </c>
      <c r="C322" s="11">
        <v>2085</v>
      </c>
      <c r="D322">
        <f t="array" ref="D322">_xlfn._xlws.FILTER(_xlfn._xlws.FILTER(Demand!$G$2:$X$66,(Demand!$E$2:$E$66=$A322),""),Demand!$G$1:$X$1=$C322,"")</f>
        <v>14.956798014988321</v>
      </c>
    </row>
    <row r="323" spans="1:4">
      <c r="A323" t="s">
        <v>110</v>
      </c>
      <c r="B323" t="s">
        <v>81</v>
      </c>
      <c r="C323" s="11">
        <v>2090</v>
      </c>
      <c r="D323">
        <f t="array" ref="D323">_xlfn._xlws.FILTER(_xlfn._xlws.FILTER(Demand!$G$2:$X$66,(Demand!$E$2:$E$66=$A323),""),Demand!$G$1:$X$1=$C323,"")</f>
        <v>14.956798014988321</v>
      </c>
    </row>
    <row r="324" spans="1:4">
      <c r="A324" t="s">
        <v>110</v>
      </c>
      <c r="B324" t="s">
        <v>81</v>
      </c>
      <c r="C324" s="11">
        <v>2095</v>
      </c>
      <c r="D324">
        <f t="array" ref="D324">_xlfn._xlws.FILTER(_xlfn._xlws.FILTER(Demand!$G$2:$X$66,(Demand!$E$2:$E$66=$A324),""),Demand!$G$1:$X$1=$C324,"")</f>
        <v>14.956798014988321</v>
      </c>
    </row>
    <row r="325" spans="1:4">
      <c r="A325" t="s">
        <v>110</v>
      </c>
      <c r="B325" t="s">
        <v>81</v>
      </c>
      <c r="C325" s="11">
        <v>2100</v>
      </c>
      <c r="D325">
        <f t="array" ref="D325">_xlfn._xlws.FILTER(_xlfn._xlws.FILTER(Demand!$G$2:$X$66,(Demand!$E$2:$E$66=$A325),""),Demand!$G$1:$X$1=$C325,"")</f>
        <v>14.956798014988321</v>
      </c>
    </row>
    <row r="326" spans="1:4">
      <c r="A326" t="s">
        <v>112</v>
      </c>
      <c r="B326" t="s">
        <v>81</v>
      </c>
      <c r="C326" s="11">
        <v>2019</v>
      </c>
      <c r="D326">
        <f t="array" ref="D326">_xlfn._xlws.FILTER(_xlfn._xlws.FILTER(Demand!$G$2:$X$66,(Demand!$E$2:$E$66=$A326),""),Demand!$G$1:$X$1=$C326,"")</f>
        <v>57.121976335841403</v>
      </c>
    </row>
    <row r="327" spans="1:4">
      <c r="A327" t="s">
        <v>112</v>
      </c>
      <c r="B327" t="s">
        <v>81</v>
      </c>
      <c r="C327" s="11">
        <v>2020</v>
      </c>
      <c r="D327">
        <f t="array" ref="D327">_xlfn._xlws.FILTER(_xlfn._xlws.FILTER(Demand!$G$2:$X$66,(Demand!$E$2:$E$66=$A327),""),Demand!$G$1:$X$1=$C327,"")</f>
        <v>57.121976335841403</v>
      </c>
    </row>
    <row r="328" spans="1:4">
      <c r="A328" t="s">
        <v>112</v>
      </c>
      <c r="B328" t="s">
        <v>81</v>
      </c>
      <c r="C328" s="11">
        <v>2025</v>
      </c>
      <c r="D328">
        <f t="array" ref="D328">_xlfn._xlws.FILTER(_xlfn._xlws.FILTER(Demand!$G$2:$X$66,(Demand!$E$2:$E$66=$A328),""),Demand!$G$1:$X$1=$C328,"")</f>
        <v>57.121976335841403</v>
      </c>
    </row>
    <row r="329" spans="1:4">
      <c r="A329" t="s">
        <v>112</v>
      </c>
      <c r="B329" t="s">
        <v>81</v>
      </c>
      <c r="C329" s="11">
        <v>2030</v>
      </c>
      <c r="D329">
        <f t="array" ref="D329">_xlfn._xlws.FILTER(_xlfn._xlws.FILTER(Demand!$G$2:$X$66,(Demand!$E$2:$E$66=$A329),""),Demand!$G$1:$X$1=$C329,"")</f>
        <v>57.121976335841403</v>
      </c>
    </row>
    <row r="330" spans="1:4">
      <c r="A330" t="s">
        <v>112</v>
      </c>
      <c r="B330" t="s">
        <v>81</v>
      </c>
      <c r="C330" s="11">
        <v>2035</v>
      </c>
      <c r="D330">
        <f t="array" ref="D330">_xlfn._xlws.FILTER(_xlfn._xlws.FILTER(Demand!$G$2:$X$66,(Demand!$E$2:$E$66=$A330),""),Demand!$G$1:$X$1=$C330,"")</f>
        <v>57.121976335841403</v>
      </c>
    </row>
    <row r="331" spans="1:4">
      <c r="A331" t="s">
        <v>112</v>
      </c>
      <c r="B331" t="s">
        <v>81</v>
      </c>
      <c r="C331" s="11">
        <v>2040</v>
      </c>
      <c r="D331">
        <f t="array" ref="D331">_xlfn._xlws.FILTER(_xlfn._xlws.FILTER(Demand!$G$2:$X$66,(Demand!$E$2:$E$66=$A331),""),Demand!$G$1:$X$1=$C331,"")</f>
        <v>57.121976335841403</v>
      </c>
    </row>
    <row r="332" spans="1:4">
      <c r="A332" t="s">
        <v>112</v>
      </c>
      <c r="B332" t="s">
        <v>81</v>
      </c>
      <c r="C332" s="11">
        <v>2045</v>
      </c>
      <c r="D332">
        <f t="array" ref="D332">_xlfn._xlws.FILTER(_xlfn._xlws.FILTER(Demand!$G$2:$X$66,(Demand!$E$2:$E$66=$A332),""),Demand!$G$1:$X$1=$C332,"")</f>
        <v>57.121976335841403</v>
      </c>
    </row>
    <row r="333" spans="1:4">
      <c r="A333" t="s">
        <v>112</v>
      </c>
      <c r="B333" t="s">
        <v>81</v>
      </c>
      <c r="C333" s="11">
        <v>2050</v>
      </c>
      <c r="D333">
        <f t="array" ref="D333">_xlfn._xlws.FILTER(_xlfn._xlws.FILTER(Demand!$G$2:$X$66,(Demand!$E$2:$E$66=$A333),""),Demand!$G$1:$X$1=$C333,"")</f>
        <v>57.121976335841403</v>
      </c>
    </row>
    <row r="334" spans="1:4">
      <c r="A334" t="s">
        <v>112</v>
      </c>
      <c r="B334" t="s">
        <v>81</v>
      </c>
      <c r="C334" s="11">
        <v>2055</v>
      </c>
      <c r="D334">
        <f t="array" ref="D334">_xlfn._xlws.FILTER(_xlfn._xlws.FILTER(Demand!$G$2:$X$66,(Demand!$E$2:$E$66=$A334),""),Demand!$G$1:$X$1=$C334,"")</f>
        <v>57.121976335841403</v>
      </c>
    </row>
    <row r="335" spans="1:4">
      <c r="A335" t="s">
        <v>112</v>
      </c>
      <c r="B335" t="s">
        <v>81</v>
      </c>
      <c r="C335" s="11">
        <v>2060</v>
      </c>
      <c r="D335">
        <f t="array" ref="D335">_xlfn._xlws.FILTER(_xlfn._xlws.FILTER(Demand!$G$2:$X$66,(Demand!$E$2:$E$66=$A335),""),Demand!$G$1:$X$1=$C335,"")</f>
        <v>57.121976335841403</v>
      </c>
    </row>
    <row r="336" spans="1:4">
      <c r="A336" t="s">
        <v>112</v>
      </c>
      <c r="B336" t="s">
        <v>81</v>
      </c>
      <c r="C336" s="11">
        <v>2065</v>
      </c>
      <c r="D336">
        <f t="array" ref="D336">_xlfn._xlws.FILTER(_xlfn._xlws.FILTER(Demand!$G$2:$X$66,(Demand!$E$2:$E$66=$A336),""),Demand!$G$1:$X$1=$C336,"")</f>
        <v>57.121976335841403</v>
      </c>
    </row>
    <row r="337" spans="1:4">
      <c r="A337" t="s">
        <v>112</v>
      </c>
      <c r="B337" t="s">
        <v>81</v>
      </c>
      <c r="C337" s="11">
        <v>2070</v>
      </c>
      <c r="D337">
        <f t="array" ref="D337">_xlfn._xlws.FILTER(_xlfn._xlws.FILTER(Demand!$G$2:$X$66,(Demand!$E$2:$E$66=$A337),""),Demand!$G$1:$X$1=$C337,"")</f>
        <v>57.121976335841403</v>
      </c>
    </row>
    <row r="338" spans="1:4">
      <c r="A338" t="s">
        <v>112</v>
      </c>
      <c r="B338" t="s">
        <v>81</v>
      </c>
      <c r="C338" s="11">
        <v>2075</v>
      </c>
      <c r="D338">
        <f t="array" ref="D338">_xlfn._xlws.FILTER(_xlfn._xlws.FILTER(Demand!$G$2:$X$66,(Demand!$E$2:$E$66=$A338),""),Demand!$G$1:$X$1=$C338,"")</f>
        <v>57.121976335841403</v>
      </c>
    </row>
    <row r="339" spans="1:4">
      <c r="A339" t="s">
        <v>112</v>
      </c>
      <c r="B339" t="s">
        <v>81</v>
      </c>
      <c r="C339" s="11">
        <v>2080</v>
      </c>
      <c r="D339">
        <f t="array" ref="D339">_xlfn._xlws.FILTER(_xlfn._xlws.FILTER(Demand!$G$2:$X$66,(Demand!$E$2:$E$66=$A339),""),Demand!$G$1:$X$1=$C339,"")</f>
        <v>57.121976335841403</v>
      </c>
    </row>
    <row r="340" spans="1:4">
      <c r="A340" t="s">
        <v>112</v>
      </c>
      <c r="B340" t="s">
        <v>81</v>
      </c>
      <c r="C340" s="11">
        <v>2085</v>
      </c>
      <c r="D340">
        <f t="array" ref="D340">_xlfn._xlws.FILTER(_xlfn._xlws.FILTER(Demand!$G$2:$X$66,(Demand!$E$2:$E$66=$A340),""),Demand!$G$1:$X$1=$C340,"")</f>
        <v>57.121976335841403</v>
      </c>
    </row>
    <row r="341" spans="1:4">
      <c r="A341" t="s">
        <v>112</v>
      </c>
      <c r="B341" t="s">
        <v>81</v>
      </c>
      <c r="C341" s="11">
        <v>2090</v>
      </c>
      <c r="D341">
        <f t="array" ref="D341">_xlfn._xlws.FILTER(_xlfn._xlws.FILTER(Demand!$G$2:$X$66,(Demand!$E$2:$E$66=$A341),""),Demand!$G$1:$X$1=$C341,"")</f>
        <v>57.121976335841403</v>
      </c>
    </row>
    <row r="342" spans="1:4">
      <c r="A342" t="s">
        <v>112</v>
      </c>
      <c r="B342" t="s">
        <v>81</v>
      </c>
      <c r="C342" s="11">
        <v>2095</v>
      </c>
      <c r="D342">
        <f t="array" ref="D342">_xlfn._xlws.FILTER(_xlfn._xlws.FILTER(Demand!$G$2:$X$66,(Demand!$E$2:$E$66=$A342),""),Demand!$G$1:$X$1=$C342,"")</f>
        <v>57.121976335841403</v>
      </c>
    </row>
    <row r="343" spans="1:4">
      <c r="A343" t="s">
        <v>112</v>
      </c>
      <c r="B343" t="s">
        <v>81</v>
      </c>
      <c r="C343" s="11">
        <v>2100</v>
      </c>
      <c r="D343">
        <f t="array" ref="D343">_xlfn._xlws.FILTER(_xlfn._xlws.FILTER(Demand!$G$2:$X$66,(Demand!$E$2:$E$66=$A343),""),Demand!$G$1:$X$1=$C343,"")</f>
        <v>57.121976335841403</v>
      </c>
    </row>
    <row r="344" spans="1:4">
      <c r="A344" t="s">
        <v>113</v>
      </c>
      <c r="B344" t="s">
        <v>81</v>
      </c>
      <c r="C344" s="11">
        <v>2019</v>
      </c>
      <c r="D344">
        <f t="array" ref="D344">_xlfn._xlws.FILTER(_xlfn._xlws.FILTER(Demand!$G$2:$X$66,(Demand!$E$2:$E$66=$A344),""),Demand!$G$1:$X$1=$C344,"")</f>
        <v>38.299258577539533</v>
      </c>
    </row>
    <row r="345" spans="1:4">
      <c r="A345" t="s">
        <v>113</v>
      </c>
      <c r="B345" t="s">
        <v>81</v>
      </c>
      <c r="C345" s="11">
        <v>2020</v>
      </c>
      <c r="D345">
        <f t="array" ref="D345">_xlfn._xlws.FILTER(_xlfn._xlws.FILTER(Demand!$G$2:$X$66,(Demand!$E$2:$E$66=$A345),""),Demand!$G$1:$X$1=$C345,"")</f>
        <v>38.299258577539533</v>
      </c>
    </row>
    <row r="346" spans="1:4">
      <c r="A346" t="s">
        <v>113</v>
      </c>
      <c r="B346" t="s">
        <v>81</v>
      </c>
      <c r="C346" s="11">
        <v>2025</v>
      </c>
      <c r="D346">
        <f t="array" ref="D346">_xlfn._xlws.FILTER(_xlfn._xlws.FILTER(Demand!$G$2:$X$66,(Demand!$E$2:$E$66=$A346),""),Demand!$G$1:$X$1=$C346,"")</f>
        <v>38.299258577539533</v>
      </c>
    </row>
    <row r="347" spans="1:4">
      <c r="A347" t="s">
        <v>113</v>
      </c>
      <c r="B347" t="s">
        <v>81</v>
      </c>
      <c r="C347" s="11">
        <v>2030</v>
      </c>
      <c r="D347">
        <f t="array" ref="D347">_xlfn._xlws.FILTER(_xlfn._xlws.FILTER(Demand!$G$2:$X$66,(Demand!$E$2:$E$66=$A347),""),Demand!$G$1:$X$1=$C347,"")</f>
        <v>38.299258577539533</v>
      </c>
    </row>
    <row r="348" spans="1:4">
      <c r="A348" t="s">
        <v>113</v>
      </c>
      <c r="B348" t="s">
        <v>81</v>
      </c>
      <c r="C348" s="11">
        <v>2035</v>
      </c>
      <c r="D348">
        <f t="array" ref="D348">_xlfn._xlws.FILTER(_xlfn._xlws.FILTER(Demand!$G$2:$X$66,(Demand!$E$2:$E$66=$A348),""),Demand!$G$1:$X$1=$C348,"")</f>
        <v>38.299258577539533</v>
      </c>
    </row>
    <row r="349" spans="1:4">
      <c r="A349" t="s">
        <v>113</v>
      </c>
      <c r="B349" t="s">
        <v>81</v>
      </c>
      <c r="C349" s="11">
        <v>2040</v>
      </c>
      <c r="D349">
        <f t="array" ref="D349">_xlfn._xlws.FILTER(_xlfn._xlws.FILTER(Demand!$G$2:$X$66,(Demand!$E$2:$E$66=$A349),""),Demand!$G$1:$X$1=$C349,"")</f>
        <v>38.299258577539533</v>
      </c>
    </row>
    <row r="350" spans="1:4">
      <c r="A350" t="s">
        <v>113</v>
      </c>
      <c r="B350" t="s">
        <v>81</v>
      </c>
      <c r="C350" s="11">
        <v>2045</v>
      </c>
      <c r="D350">
        <f t="array" ref="D350">_xlfn._xlws.FILTER(_xlfn._xlws.FILTER(Demand!$G$2:$X$66,(Demand!$E$2:$E$66=$A350),""),Demand!$G$1:$X$1=$C350,"")</f>
        <v>38.299258577539533</v>
      </c>
    </row>
    <row r="351" spans="1:4">
      <c r="A351" t="s">
        <v>113</v>
      </c>
      <c r="B351" t="s">
        <v>81</v>
      </c>
      <c r="C351" s="11">
        <v>2050</v>
      </c>
      <c r="D351">
        <f t="array" ref="D351">_xlfn._xlws.FILTER(_xlfn._xlws.FILTER(Demand!$G$2:$X$66,(Demand!$E$2:$E$66=$A351),""),Demand!$G$1:$X$1=$C351,"")</f>
        <v>38.299258577539533</v>
      </c>
    </row>
    <row r="352" spans="1:4">
      <c r="A352" t="s">
        <v>113</v>
      </c>
      <c r="B352" t="s">
        <v>81</v>
      </c>
      <c r="C352" s="11">
        <v>2055</v>
      </c>
      <c r="D352">
        <f t="array" ref="D352">_xlfn._xlws.FILTER(_xlfn._xlws.FILTER(Demand!$G$2:$X$66,(Demand!$E$2:$E$66=$A352),""),Demand!$G$1:$X$1=$C352,"")</f>
        <v>38.299258577539533</v>
      </c>
    </row>
    <row r="353" spans="1:4">
      <c r="A353" t="s">
        <v>113</v>
      </c>
      <c r="B353" t="s">
        <v>81</v>
      </c>
      <c r="C353" s="11">
        <v>2060</v>
      </c>
      <c r="D353">
        <f t="array" ref="D353">_xlfn._xlws.FILTER(_xlfn._xlws.FILTER(Demand!$G$2:$X$66,(Demand!$E$2:$E$66=$A353),""),Demand!$G$1:$X$1=$C353,"")</f>
        <v>38.299258577539533</v>
      </c>
    </row>
    <row r="354" spans="1:4">
      <c r="A354" t="s">
        <v>113</v>
      </c>
      <c r="B354" t="s">
        <v>81</v>
      </c>
      <c r="C354" s="11">
        <v>2065</v>
      </c>
      <c r="D354">
        <f t="array" ref="D354">_xlfn._xlws.FILTER(_xlfn._xlws.FILTER(Demand!$G$2:$X$66,(Demand!$E$2:$E$66=$A354),""),Demand!$G$1:$X$1=$C354,"")</f>
        <v>38.299258577539533</v>
      </c>
    </row>
    <row r="355" spans="1:4">
      <c r="A355" t="s">
        <v>113</v>
      </c>
      <c r="B355" t="s">
        <v>81</v>
      </c>
      <c r="C355" s="11">
        <v>2070</v>
      </c>
      <c r="D355">
        <f t="array" ref="D355">_xlfn._xlws.FILTER(_xlfn._xlws.FILTER(Demand!$G$2:$X$66,(Demand!$E$2:$E$66=$A355),""),Demand!$G$1:$X$1=$C355,"")</f>
        <v>38.299258577539533</v>
      </c>
    </row>
    <row r="356" spans="1:4">
      <c r="A356" t="s">
        <v>113</v>
      </c>
      <c r="B356" t="s">
        <v>81</v>
      </c>
      <c r="C356" s="11">
        <v>2075</v>
      </c>
      <c r="D356">
        <f t="array" ref="D356">_xlfn._xlws.FILTER(_xlfn._xlws.FILTER(Demand!$G$2:$X$66,(Demand!$E$2:$E$66=$A356),""),Demand!$G$1:$X$1=$C356,"")</f>
        <v>38.299258577539533</v>
      </c>
    </row>
    <row r="357" spans="1:4">
      <c r="A357" t="s">
        <v>113</v>
      </c>
      <c r="B357" t="s">
        <v>81</v>
      </c>
      <c r="C357" s="11">
        <v>2080</v>
      </c>
      <c r="D357">
        <f t="array" ref="D357">_xlfn._xlws.FILTER(_xlfn._xlws.FILTER(Demand!$G$2:$X$66,(Demand!$E$2:$E$66=$A357),""),Demand!$G$1:$X$1=$C357,"")</f>
        <v>38.299258577539533</v>
      </c>
    </row>
    <row r="358" spans="1:4">
      <c r="A358" t="s">
        <v>113</v>
      </c>
      <c r="B358" t="s">
        <v>81</v>
      </c>
      <c r="C358" s="11">
        <v>2085</v>
      </c>
      <c r="D358">
        <f t="array" ref="D358">_xlfn._xlws.FILTER(_xlfn._xlws.FILTER(Demand!$G$2:$X$66,(Demand!$E$2:$E$66=$A358),""),Demand!$G$1:$X$1=$C358,"")</f>
        <v>38.299258577539533</v>
      </c>
    </row>
    <row r="359" spans="1:4">
      <c r="A359" t="s">
        <v>113</v>
      </c>
      <c r="B359" t="s">
        <v>81</v>
      </c>
      <c r="C359" s="11">
        <v>2090</v>
      </c>
      <c r="D359">
        <f t="array" ref="D359">_xlfn._xlws.FILTER(_xlfn._xlws.FILTER(Demand!$G$2:$X$66,(Demand!$E$2:$E$66=$A359),""),Demand!$G$1:$X$1=$C359,"")</f>
        <v>38.299258577539533</v>
      </c>
    </row>
    <row r="360" spans="1:4">
      <c r="A360" t="s">
        <v>113</v>
      </c>
      <c r="B360" t="s">
        <v>81</v>
      </c>
      <c r="C360" s="11">
        <v>2095</v>
      </c>
      <c r="D360">
        <f t="array" ref="D360">_xlfn._xlws.FILTER(_xlfn._xlws.FILTER(Demand!$G$2:$X$66,(Demand!$E$2:$E$66=$A360),""),Demand!$G$1:$X$1=$C360,"")</f>
        <v>38.299258577539533</v>
      </c>
    </row>
    <row r="361" spans="1:4">
      <c r="A361" t="s">
        <v>113</v>
      </c>
      <c r="B361" t="s">
        <v>81</v>
      </c>
      <c r="C361" s="11">
        <v>2100</v>
      </c>
      <c r="D361">
        <f t="array" ref="D361">_xlfn._xlws.FILTER(_xlfn._xlws.FILTER(Demand!$G$2:$X$66,(Demand!$E$2:$E$66=$A361),""),Demand!$G$1:$X$1=$C361,"")</f>
        <v>38.299258577539533</v>
      </c>
    </row>
    <row r="362" spans="1:4">
      <c r="A362" t="s">
        <v>115</v>
      </c>
      <c r="B362" t="s">
        <v>81</v>
      </c>
      <c r="C362" s="11">
        <v>2019</v>
      </c>
      <c r="D362">
        <f t="array" ref="D362">_xlfn._xlws.FILTER(_xlfn._xlws.FILTER(Demand!$G$2:$X$66,(Demand!$E$2:$E$66=$A362),""),Demand!$G$1:$X$1=$C362,"")</f>
        <v>15.495887810194001</v>
      </c>
    </row>
    <row r="363" spans="1:4">
      <c r="A363" t="s">
        <v>115</v>
      </c>
      <c r="B363" t="s">
        <v>81</v>
      </c>
      <c r="C363" s="11">
        <v>2020</v>
      </c>
      <c r="D363">
        <f t="array" ref="D363">_xlfn._xlws.FILTER(_xlfn._xlws.FILTER(Demand!$G$2:$X$66,(Demand!$E$2:$E$66=$A363),""),Demand!$G$1:$X$1=$C363,"")</f>
        <v>15.495887810194001</v>
      </c>
    </row>
    <row r="364" spans="1:4">
      <c r="A364" t="s">
        <v>115</v>
      </c>
      <c r="B364" t="s">
        <v>81</v>
      </c>
      <c r="C364" s="11">
        <v>2025</v>
      </c>
      <c r="D364">
        <f t="array" ref="D364">_xlfn._xlws.FILTER(_xlfn._xlws.FILTER(Demand!$G$2:$X$66,(Demand!$E$2:$E$66=$A364),""),Demand!$G$1:$X$1=$C364,"")</f>
        <v>15.495887810194001</v>
      </c>
    </row>
    <row r="365" spans="1:4">
      <c r="A365" t="s">
        <v>115</v>
      </c>
      <c r="B365" t="s">
        <v>81</v>
      </c>
      <c r="C365" s="11">
        <v>2030</v>
      </c>
      <c r="D365">
        <f t="array" ref="D365">_xlfn._xlws.FILTER(_xlfn._xlws.FILTER(Demand!$G$2:$X$66,(Demand!$E$2:$E$66=$A365),""),Demand!$G$1:$X$1=$C365,"")</f>
        <v>15.495887810194001</v>
      </c>
    </row>
    <row r="366" spans="1:4">
      <c r="A366" t="s">
        <v>115</v>
      </c>
      <c r="B366" t="s">
        <v>81</v>
      </c>
      <c r="C366" s="11">
        <v>2035</v>
      </c>
      <c r="D366">
        <f t="array" ref="D366">_xlfn._xlws.FILTER(_xlfn._xlws.FILTER(Demand!$G$2:$X$66,(Demand!$E$2:$E$66=$A366),""),Demand!$G$1:$X$1=$C366,"")</f>
        <v>15.495887810194001</v>
      </c>
    </row>
    <row r="367" spans="1:4">
      <c r="A367" t="s">
        <v>115</v>
      </c>
      <c r="B367" t="s">
        <v>81</v>
      </c>
      <c r="C367" s="11">
        <v>2040</v>
      </c>
      <c r="D367">
        <f t="array" ref="D367">_xlfn._xlws.FILTER(_xlfn._xlws.FILTER(Demand!$G$2:$X$66,(Demand!$E$2:$E$66=$A367),""),Demand!$G$1:$X$1=$C367,"")</f>
        <v>15.495887810194001</v>
      </c>
    </row>
    <row r="368" spans="1:4">
      <c r="A368" t="s">
        <v>115</v>
      </c>
      <c r="B368" t="s">
        <v>81</v>
      </c>
      <c r="C368" s="11">
        <v>2045</v>
      </c>
      <c r="D368">
        <f t="array" ref="D368">_xlfn._xlws.FILTER(_xlfn._xlws.FILTER(Demand!$G$2:$X$66,(Demand!$E$2:$E$66=$A368),""),Demand!$G$1:$X$1=$C368,"")</f>
        <v>15.495887810194001</v>
      </c>
    </row>
    <row r="369" spans="1:4">
      <c r="A369" t="s">
        <v>115</v>
      </c>
      <c r="B369" t="s">
        <v>81</v>
      </c>
      <c r="C369" s="11">
        <v>2050</v>
      </c>
      <c r="D369">
        <f t="array" ref="D369">_xlfn._xlws.FILTER(_xlfn._xlws.FILTER(Demand!$G$2:$X$66,(Demand!$E$2:$E$66=$A369),""),Demand!$G$1:$X$1=$C369,"")</f>
        <v>15.495887810194001</v>
      </c>
    </row>
    <row r="370" spans="1:4">
      <c r="A370" t="s">
        <v>115</v>
      </c>
      <c r="B370" t="s">
        <v>81</v>
      </c>
      <c r="C370" s="11">
        <v>2055</v>
      </c>
      <c r="D370">
        <f t="array" ref="D370">_xlfn._xlws.FILTER(_xlfn._xlws.FILTER(Demand!$G$2:$X$66,(Demand!$E$2:$E$66=$A370),""),Demand!$G$1:$X$1=$C370,"")</f>
        <v>15.495887810194001</v>
      </c>
    </row>
    <row r="371" spans="1:4">
      <c r="A371" t="s">
        <v>115</v>
      </c>
      <c r="B371" t="s">
        <v>81</v>
      </c>
      <c r="C371" s="11">
        <v>2060</v>
      </c>
      <c r="D371">
        <f t="array" ref="D371">_xlfn._xlws.FILTER(_xlfn._xlws.FILTER(Demand!$G$2:$X$66,(Demand!$E$2:$E$66=$A371),""),Demand!$G$1:$X$1=$C371,"")</f>
        <v>15.495887810194001</v>
      </c>
    </row>
    <row r="372" spans="1:4">
      <c r="A372" t="s">
        <v>115</v>
      </c>
      <c r="B372" t="s">
        <v>81</v>
      </c>
      <c r="C372" s="11">
        <v>2065</v>
      </c>
      <c r="D372">
        <f t="array" ref="D372">_xlfn._xlws.FILTER(_xlfn._xlws.FILTER(Demand!$G$2:$X$66,(Demand!$E$2:$E$66=$A372),""),Demand!$G$1:$X$1=$C372,"")</f>
        <v>15.495887810194001</v>
      </c>
    </row>
    <row r="373" spans="1:4">
      <c r="A373" t="s">
        <v>115</v>
      </c>
      <c r="B373" t="s">
        <v>81</v>
      </c>
      <c r="C373" s="11">
        <v>2070</v>
      </c>
      <c r="D373">
        <f t="array" ref="D373">_xlfn._xlws.FILTER(_xlfn._xlws.FILTER(Demand!$G$2:$X$66,(Demand!$E$2:$E$66=$A373),""),Demand!$G$1:$X$1=$C373,"")</f>
        <v>15.495887810194001</v>
      </c>
    </row>
    <row r="374" spans="1:4">
      <c r="A374" t="s">
        <v>115</v>
      </c>
      <c r="B374" t="s">
        <v>81</v>
      </c>
      <c r="C374" s="11">
        <v>2075</v>
      </c>
      <c r="D374">
        <f t="array" ref="D374">_xlfn._xlws.FILTER(_xlfn._xlws.FILTER(Demand!$G$2:$X$66,(Demand!$E$2:$E$66=$A374),""),Demand!$G$1:$X$1=$C374,"")</f>
        <v>15.495887810194001</v>
      </c>
    </row>
    <row r="375" spans="1:4">
      <c r="A375" t="s">
        <v>115</v>
      </c>
      <c r="B375" t="s">
        <v>81</v>
      </c>
      <c r="C375" s="11">
        <v>2080</v>
      </c>
      <c r="D375">
        <f t="array" ref="D375">_xlfn._xlws.FILTER(_xlfn._xlws.FILTER(Demand!$G$2:$X$66,(Demand!$E$2:$E$66=$A375),""),Demand!$G$1:$X$1=$C375,"")</f>
        <v>15.495887810194001</v>
      </c>
    </row>
    <row r="376" spans="1:4">
      <c r="A376" t="s">
        <v>115</v>
      </c>
      <c r="B376" t="s">
        <v>81</v>
      </c>
      <c r="C376" s="11">
        <v>2085</v>
      </c>
      <c r="D376">
        <f t="array" ref="D376">_xlfn._xlws.FILTER(_xlfn._xlws.FILTER(Demand!$G$2:$X$66,(Demand!$E$2:$E$66=$A376),""),Demand!$G$1:$X$1=$C376,"")</f>
        <v>15.495887810194001</v>
      </c>
    </row>
    <row r="377" spans="1:4">
      <c r="A377" t="s">
        <v>115</v>
      </c>
      <c r="B377" t="s">
        <v>81</v>
      </c>
      <c r="C377" s="11">
        <v>2090</v>
      </c>
      <c r="D377">
        <f t="array" ref="D377">_xlfn._xlws.FILTER(_xlfn._xlws.FILTER(Demand!$G$2:$X$66,(Demand!$E$2:$E$66=$A377),""),Demand!$G$1:$X$1=$C377,"")</f>
        <v>15.495887810194001</v>
      </c>
    </row>
    <row r="378" spans="1:4">
      <c r="A378" t="s">
        <v>115</v>
      </c>
      <c r="B378" t="s">
        <v>81</v>
      </c>
      <c r="C378" s="11">
        <v>2095</v>
      </c>
      <c r="D378">
        <f t="array" ref="D378">_xlfn._xlws.FILTER(_xlfn._xlws.FILTER(Demand!$G$2:$X$66,(Demand!$E$2:$E$66=$A378),""),Demand!$G$1:$X$1=$C378,"")</f>
        <v>15.495887810194001</v>
      </c>
    </row>
    <row r="379" spans="1:4">
      <c r="A379" t="s">
        <v>115</v>
      </c>
      <c r="B379" t="s">
        <v>81</v>
      </c>
      <c r="C379" s="11">
        <v>2100</v>
      </c>
      <c r="D379">
        <f t="array" ref="D379">_xlfn._xlws.FILTER(_xlfn._xlws.FILTER(Demand!$G$2:$X$66,(Demand!$E$2:$E$66=$A379),""),Demand!$G$1:$X$1=$C379,"")</f>
        <v>15.495887810194001</v>
      </c>
    </row>
    <row r="380" spans="1:4">
      <c r="A380" t="s">
        <v>116</v>
      </c>
      <c r="B380" t="s">
        <v>81</v>
      </c>
      <c r="C380" s="11">
        <v>2019</v>
      </c>
      <c r="D380">
        <f t="array" ref="D380">_xlfn._xlws.FILTER(_xlfn._xlws.FILTER(Demand!$G$2:$X$66,(Demand!$E$2:$E$66=$A380),""),Demand!$G$1:$X$1=$C380,"")</f>
        <v>19.187214429670199</v>
      </c>
    </row>
    <row r="381" spans="1:4">
      <c r="A381" t="s">
        <v>116</v>
      </c>
      <c r="B381" t="s">
        <v>81</v>
      </c>
      <c r="C381" s="11">
        <v>2020</v>
      </c>
      <c r="D381">
        <f t="array" ref="D381">_xlfn._xlws.FILTER(_xlfn._xlws.FILTER(Demand!$G$2:$X$66,(Demand!$E$2:$E$66=$A381),""),Demand!$G$1:$X$1=$C381,"")</f>
        <v>19.187214429670199</v>
      </c>
    </row>
    <row r="382" spans="1:4">
      <c r="A382" t="s">
        <v>116</v>
      </c>
      <c r="B382" t="s">
        <v>81</v>
      </c>
      <c r="C382" s="11">
        <v>2025</v>
      </c>
      <c r="D382">
        <f t="array" ref="D382">_xlfn._xlws.FILTER(_xlfn._xlws.FILTER(Demand!$G$2:$X$66,(Demand!$E$2:$E$66=$A382),""),Demand!$G$1:$X$1=$C382,"")</f>
        <v>19.187214429670199</v>
      </c>
    </row>
    <row r="383" spans="1:4">
      <c r="A383" t="s">
        <v>116</v>
      </c>
      <c r="B383" t="s">
        <v>81</v>
      </c>
      <c r="C383" s="11">
        <v>2030</v>
      </c>
      <c r="D383">
        <f t="array" ref="D383">_xlfn._xlws.FILTER(_xlfn._xlws.FILTER(Demand!$G$2:$X$66,(Demand!$E$2:$E$66=$A383),""),Demand!$G$1:$X$1=$C383,"")</f>
        <v>19.187214429670199</v>
      </c>
    </row>
    <row r="384" spans="1:4">
      <c r="A384" t="s">
        <v>116</v>
      </c>
      <c r="B384" t="s">
        <v>81</v>
      </c>
      <c r="C384" s="11">
        <v>2035</v>
      </c>
      <c r="D384">
        <f t="array" ref="D384">_xlfn._xlws.FILTER(_xlfn._xlws.FILTER(Demand!$G$2:$X$66,(Demand!$E$2:$E$66=$A384),""),Demand!$G$1:$X$1=$C384,"")</f>
        <v>19.187214429670199</v>
      </c>
    </row>
    <row r="385" spans="1:4">
      <c r="A385" t="s">
        <v>116</v>
      </c>
      <c r="B385" t="s">
        <v>81</v>
      </c>
      <c r="C385" s="11">
        <v>2040</v>
      </c>
      <c r="D385">
        <f t="array" ref="D385">_xlfn._xlws.FILTER(_xlfn._xlws.FILTER(Demand!$G$2:$X$66,(Demand!$E$2:$E$66=$A385),""),Demand!$G$1:$X$1=$C385,"")</f>
        <v>19.187214429670199</v>
      </c>
    </row>
    <row r="386" spans="1:4">
      <c r="A386" t="s">
        <v>116</v>
      </c>
      <c r="B386" t="s">
        <v>81</v>
      </c>
      <c r="C386" s="11">
        <v>2045</v>
      </c>
      <c r="D386">
        <f t="array" ref="D386">_xlfn._xlws.FILTER(_xlfn._xlws.FILTER(Demand!$G$2:$X$66,(Demand!$E$2:$E$66=$A386),""),Demand!$G$1:$X$1=$C386,"")</f>
        <v>19.187214429670199</v>
      </c>
    </row>
    <row r="387" spans="1:4">
      <c r="A387" t="s">
        <v>116</v>
      </c>
      <c r="B387" t="s">
        <v>81</v>
      </c>
      <c r="C387" s="11">
        <v>2050</v>
      </c>
      <c r="D387">
        <f t="array" ref="D387">_xlfn._xlws.FILTER(_xlfn._xlws.FILTER(Demand!$G$2:$X$66,(Demand!$E$2:$E$66=$A387),""),Demand!$G$1:$X$1=$C387,"")</f>
        <v>19.187214429670199</v>
      </c>
    </row>
    <row r="388" spans="1:4">
      <c r="A388" t="s">
        <v>116</v>
      </c>
      <c r="B388" t="s">
        <v>81</v>
      </c>
      <c r="C388" s="11">
        <v>2055</v>
      </c>
      <c r="D388">
        <f t="array" ref="D388">_xlfn._xlws.FILTER(_xlfn._xlws.FILTER(Demand!$G$2:$X$66,(Demand!$E$2:$E$66=$A388),""),Demand!$G$1:$X$1=$C388,"")</f>
        <v>19.187214429670199</v>
      </c>
    </row>
    <row r="389" spans="1:4">
      <c r="A389" t="s">
        <v>116</v>
      </c>
      <c r="B389" t="s">
        <v>81</v>
      </c>
      <c r="C389" s="11">
        <v>2060</v>
      </c>
      <c r="D389">
        <f t="array" ref="D389">_xlfn._xlws.FILTER(_xlfn._xlws.FILTER(Demand!$G$2:$X$66,(Demand!$E$2:$E$66=$A389),""),Demand!$G$1:$X$1=$C389,"")</f>
        <v>19.187214429670199</v>
      </c>
    </row>
    <row r="390" spans="1:4">
      <c r="A390" t="s">
        <v>116</v>
      </c>
      <c r="B390" t="s">
        <v>81</v>
      </c>
      <c r="C390" s="11">
        <v>2065</v>
      </c>
      <c r="D390">
        <f t="array" ref="D390">_xlfn._xlws.FILTER(_xlfn._xlws.FILTER(Demand!$G$2:$X$66,(Demand!$E$2:$E$66=$A390),""),Demand!$G$1:$X$1=$C390,"")</f>
        <v>19.187214429670199</v>
      </c>
    </row>
    <row r="391" spans="1:4">
      <c r="A391" t="s">
        <v>116</v>
      </c>
      <c r="B391" t="s">
        <v>81</v>
      </c>
      <c r="C391" s="11">
        <v>2070</v>
      </c>
      <c r="D391">
        <f t="array" ref="D391">_xlfn._xlws.FILTER(_xlfn._xlws.FILTER(Demand!$G$2:$X$66,(Demand!$E$2:$E$66=$A391),""),Demand!$G$1:$X$1=$C391,"")</f>
        <v>19.187214429670199</v>
      </c>
    </row>
    <row r="392" spans="1:4">
      <c r="A392" t="s">
        <v>116</v>
      </c>
      <c r="B392" t="s">
        <v>81</v>
      </c>
      <c r="C392" s="11">
        <v>2075</v>
      </c>
      <c r="D392">
        <f t="array" ref="D392">_xlfn._xlws.FILTER(_xlfn._xlws.FILTER(Demand!$G$2:$X$66,(Demand!$E$2:$E$66=$A392),""),Demand!$G$1:$X$1=$C392,"")</f>
        <v>19.187214429670199</v>
      </c>
    </row>
    <row r="393" spans="1:4">
      <c r="A393" t="s">
        <v>116</v>
      </c>
      <c r="B393" t="s">
        <v>81</v>
      </c>
      <c r="C393" s="11">
        <v>2080</v>
      </c>
      <c r="D393">
        <f t="array" ref="D393">_xlfn._xlws.FILTER(_xlfn._xlws.FILTER(Demand!$G$2:$X$66,(Demand!$E$2:$E$66=$A393),""),Demand!$G$1:$X$1=$C393,"")</f>
        <v>19.187214429670199</v>
      </c>
    </row>
    <row r="394" spans="1:4">
      <c r="A394" t="s">
        <v>116</v>
      </c>
      <c r="B394" t="s">
        <v>81</v>
      </c>
      <c r="C394" s="11">
        <v>2085</v>
      </c>
      <c r="D394">
        <f t="array" ref="D394">_xlfn._xlws.FILTER(_xlfn._xlws.FILTER(Demand!$G$2:$X$66,(Demand!$E$2:$E$66=$A394),""),Demand!$G$1:$X$1=$C394,"")</f>
        <v>19.187214429670199</v>
      </c>
    </row>
    <row r="395" spans="1:4">
      <c r="A395" t="s">
        <v>116</v>
      </c>
      <c r="B395" t="s">
        <v>81</v>
      </c>
      <c r="C395" s="11">
        <v>2090</v>
      </c>
      <c r="D395">
        <f t="array" ref="D395">_xlfn._xlws.FILTER(_xlfn._xlws.FILTER(Demand!$G$2:$X$66,(Demand!$E$2:$E$66=$A395),""),Demand!$G$1:$X$1=$C395,"")</f>
        <v>19.187214429670199</v>
      </c>
    </row>
    <row r="396" spans="1:4">
      <c r="A396" t="s">
        <v>116</v>
      </c>
      <c r="B396" t="s">
        <v>81</v>
      </c>
      <c r="C396" s="11">
        <v>2095</v>
      </c>
      <c r="D396">
        <f t="array" ref="D396">_xlfn._xlws.FILTER(_xlfn._xlws.FILTER(Demand!$G$2:$X$66,(Demand!$E$2:$E$66=$A396),""),Demand!$G$1:$X$1=$C396,"")</f>
        <v>19.187214429670199</v>
      </c>
    </row>
    <row r="397" spans="1:4">
      <c r="A397" t="s">
        <v>116</v>
      </c>
      <c r="B397" t="s">
        <v>81</v>
      </c>
      <c r="C397" s="11">
        <v>2100</v>
      </c>
      <c r="D397">
        <f t="array" ref="D397">_xlfn._xlws.FILTER(_xlfn._xlws.FILTER(Demand!$G$2:$X$66,(Demand!$E$2:$E$66=$A397),""),Demand!$G$1:$X$1=$C397,"")</f>
        <v>19.187214429670199</v>
      </c>
    </row>
    <row r="398" spans="1:4">
      <c r="A398" t="s">
        <v>118</v>
      </c>
      <c r="B398" t="s">
        <v>81</v>
      </c>
      <c r="C398" s="11">
        <v>2019</v>
      </c>
      <c r="D398">
        <f t="array" ref="D398">_xlfn._xlws.FILTER(_xlfn._xlws.FILTER(Demand!$G$2:$X$66,(Demand!$E$2:$E$66=$A398),""),Demand!$G$1:$X$1=$C398,"")</f>
        <v>66.398717380854961</v>
      </c>
    </row>
    <row r="399" spans="1:4">
      <c r="A399" t="s">
        <v>118</v>
      </c>
      <c r="B399" t="s">
        <v>81</v>
      </c>
      <c r="C399" s="11">
        <v>2020</v>
      </c>
      <c r="D399">
        <f t="array" ref="D399">_xlfn._xlws.FILTER(_xlfn._xlws.FILTER(Demand!$G$2:$X$66,(Demand!$E$2:$E$66=$A399),""),Demand!$G$1:$X$1=$C399,"")</f>
        <v>66.398717380854961</v>
      </c>
    </row>
    <row r="400" spans="1:4">
      <c r="A400" t="s">
        <v>118</v>
      </c>
      <c r="B400" t="s">
        <v>81</v>
      </c>
      <c r="C400" s="11">
        <v>2025</v>
      </c>
      <c r="D400">
        <f t="array" ref="D400">_xlfn._xlws.FILTER(_xlfn._xlws.FILTER(Demand!$G$2:$X$66,(Demand!$E$2:$E$66=$A400),""),Demand!$G$1:$X$1=$C400,"")</f>
        <v>66.398717380854961</v>
      </c>
    </row>
    <row r="401" spans="1:4">
      <c r="A401" t="s">
        <v>118</v>
      </c>
      <c r="B401" t="s">
        <v>81</v>
      </c>
      <c r="C401" s="11">
        <v>2030</v>
      </c>
      <c r="D401">
        <f t="array" ref="D401">_xlfn._xlws.FILTER(_xlfn._xlws.FILTER(Demand!$G$2:$X$66,(Demand!$E$2:$E$66=$A401),""),Demand!$G$1:$X$1=$C401,"")</f>
        <v>66.398717380854961</v>
      </c>
    </row>
    <row r="402" spans="1:4">
      <c r="A402" t="s">
        <v>118</v>
      </c>
      <c r="B402" t="s">
        <v>81</v>
      </c>
      <c r="C402" s="11">
        <v>2035</v>
      </c>
      <c r="D402">
        <f t="array" ref="D402">_xlfn._xlws.FILTER(_xlfn._xlws.FILTER(Demand!$G$2:$X$66,(Demand!$E$2:$E$66=$A402),""),Demand!$G$1:$X$1=$C402,"")</f>
        <v>66.398717380854961</v>
      </c>
    </row>
    <row r="403" spans="1:4">
      <c r="A403" t="s">
        <v>118</v>
      </c>
      <c r="B403" t="s">
        <v>81</v>
      </c>
      <c r="C403" s="11">
        <v>2040</v>
      </c>
      <c r="D403">
        <f t="array" ref="D403">_xlfn._xlws.FILTER(_xlfn._xlws.FILTER(Demand!$G$2:$X$66,(Demand!$E$2:$E$66=$A403),""),Demand!$G$1:$X$1=$C403,"")</f>
        <v>66.398717380854961</v>
      </c>
    </row>
    <row r="404" spans="1:4">
      <c r="A404" t="s">
        <v>118</v>
      </c>
      <c r="B404" t="s">
        <v>81</v>
      </c>
      <c r="C404" s="11">
        <v>2045</v>
      </c>
      <c r="D404">
        <f t="array" ref="D404">_xlfn._xlws.FILTER(_xlfn._xlws.FILTER(Demand!$G$2:$X$66,(Demand!$E$2:$E$66=$A404),""),Demand!$G$1:$X$1=$C404,"")</f>
        <v>66.398717380854961</v>
      </c>
    </row>
    <row r="405" spans="1:4">
      <c r="A405" t="s">
        <v>118</v>
      </c>
      <c r="B405" t="s">
        <v>81</v>
      </c>
      <c r="C405" s="11">
        <v>2050</v>
      </c>
      <c r="D405">
        <f t="array" ref="D405">_xlfn._xlws.FILTER(_xlfn._xlws.FILTER(Demand!$G$2:$X$66,(Demand!$E$2:$E$66=$A405),""),Demand!$G$1:$X$1=$C405,"")</f>
        <v>66.398717380854961</v>
      </c>
    </row>
    <row r="406" spans="1:4">
      <c r="A406" t="s">
        <v>118</v>
      </c>
      <c r="B406" t="s">
        <v>81</v>
      </c>
      <c r="C406" s="11">
        <v>2055</v>
      </c>
      <c r="D406">
        <f t="array" ref="D406">_xlfn._xlws.FILTER(_xlfn._xlws.FILTER(Demand!$G$2:$X$66,(Demand!$E$2:$E$66=$A406),""),Demand!$G$1:$X$1=$C406,"")</f>
        <v>66.398717380854961</v>
      </c>
    </row>
    <row r="407" spans="1:4">
      <c r="A407" t="s">
        <v>118</v>
      </c>
      <c r="B407" t="s">
        <v>81</v>
      </c>
      <c r="C407" s="11">
        <v>2060</v>
      </c>
      <c r="D407">
        <f t="array" ref="D407">_xlfn._xlws.FILTER(_xlfn._xlws.FILTER(Demand!$G$2:$X$66,(Demand!$E$2:$E$66=$A407),""),Demand!$G$1:$X$1=$C407,"")</f>
        <v>66.398717380854961</v>
      </c>
    </row>
    <row r="408" spans="1:4">
      <c r="A408" t="s">
        <v>118</v>
      </c>
      <c r="B408" t="s">
        <v>81</v>
      </c>
      <c r="C408" s="11">
        <v>2065</v>
      </c>
      <c r="D408">
        <f t="array" ref="D408">_xlfn._xlws.FILTER(_xlfn._xlws.FILTER(Demand!$G$2:$X$66,(Demand!$E$2:$E$66=$A408),""),Demand!$G$1:$X$1=$C408,"")</f>
        <v>66.398717380854961</v>
      </c>
    </row>
    <row r="409" spans="1:4">
      <c r="A409" t="s">
        <v>118</v>
      </c>
      <c r="B409" t="s">
        <v>81</v>
      </c>
      <c r="C409" s="11">
        <v>2070</v>
      </c>
      <c r="D409">
        <f t="array" ref="D409">_xlfn._xlws.FILTER(_xlfn._xlws.FILTER(Demand!$G$2:$X$66,(Demand!$E$2:$E$66=$A409),""),Demand!$G$1:$X$1=$C409,"")</f>
        <v>66.398717380854961</v>
      </c>
    </row>
    <row r="410" spans="1:4">
      <c r="A410" t="s">
        <v>118</v>
      </c>
      <c r="B410" t="s">
        <v>81</v>
      </c>
      <c r="C410" s="11">
        <v>2075</v>
      </c>
      <c r="D410">
        <f t="array" ref="D410">_xlfn._xlws.FILTER(_xlfn._xlws.FILTER(Demand!$G$2:$X$66,(Demand!$E$2:$E$66=$A410),""),Demand!$G$1:$X$1=$C410,"")</f>
        <v>66.398717380854961</v>
      </c>
    </row>
    <row r="411" spans="1:4">
      <c r="A411" t="s">
        <v>118</v>
      </c>
      <c r="B411" t="s">
        <v>81</v>
      </c>
      <c r="C411" s="11">
        <v>2080</v>
      </c>
      <c r="D411">
        <f t="array" ref="D411">_xlfn._xlws.FILTER(_xlfn._xlws.FILTER(Demand!$G$2:$X$66,(Demand!$E$2:$E$66=$A411),""),Demand!$G$1:$X$1=$C411,"")</f>
        <v>66.398717380854961</v>
      </c>
    </row>
    <row r="412" spans="1:4">
      <c r="A412" t="s">
        <v>118</v>
      </c>
      <c r="B412" t="s">
        <v>81</v>
      </c>
      <c r="C412" s="11">
        <v>2085</v>
      </c>
      <c r="D412">
        <f t="array" ref="D412">_xlfn._xlws.FILTER(_xlfn._xlws.FILTER(Demand!$G$2:$X$66,(Demand!$E$2:$E$66=$A412),""),Demand!$G$1:$X$1=$C412,"")</f>
        <v>66.398717380854961</v>
      </c>
    </row>
    <row r="413" spans="1:4">
      <c r="A413" t="s">
        <v>118</v>
      </c>
      <c r="B413" t="s">
        <v>81</v>
      </c>
      <c r="C413" s="11">
        <v>2090</v>
      </c>
      <c r="D413">
        <f t="array" ref="D413">_xlfn._xlws.FILTER(_xlfn._xlws.FILTER(Demand!$G$2:$X$66,(Demand!$E$2:$E$66=$A413),""),Demand!$G$1:$X$1=$C413,"")</f>
        <v>66.398717380854961</v>
      </c>
    </row>
    <row r="414" spans="1:4">
      <c r="A414" t="s">
        <v>118</v>
      </c>
      <c r="B414" t="s">
        <v>81</v>
      </c>
      <c r="C414" s="11">
        <v>2095</v>
      </c>
      <c r="D414">
        <f t="array" ref="D414">_xlfn._xlws.FILTER(_xlfn._xlws.FILTER(Demand!$G$2:$X$66,(Demand!$E$2:$E$66=$A414),""),Demand!$G$1:$X$1=$C414,"")</f>
        <v>66.398717380854961</v>
      </c>
    </row>
    <row r="415" spans="1:4">
      <c r="A415" t="s">
        <v>118</v>
      </c>
      <c r="B415" t="s">
        <v>81</v>
      </c>
      <c r="C415" s="11">
        <v>2100</v>
      </c>
      <c r="D415">
        <f t="array" ref="D415">_xlfn._xlws.FILTER(_xlfn._xlws.FILTER(Demand!$G$2:$X$66,(Demand!$E$2:$E$66=$A415),""),Demand!$G$1:$X$1=$C415,"")</f>
        <v>66.398717380854961</v>
      </c>
    </row>
    <row r="416" spans="1:4">
      <c r="A416" t="s">
        <v>119</v>
      </c>
      <c r="B416" t="s">
        <v>81</v>
      </c>
      <c r="C416" s="11">
        <v>2019</v>
      </c>
      <c r="D416">
        <f t="array" ref="D416">_xlfn._xlws.FILTER(_xlfn._xlws.FILTER(Demand!$G$2:$X$66,(Demand!$E$2:$E$66=$A416),""),Demand!$G$1:$X$1=$C416,"")</f>
        <v>96.552050846441404</v>
      </c>
    </row>
    <row r="417" spans="1:4">
      <c r="A417" t="s">
        <v>119</v>
      </c>
      <c r="B417" t="s">
        <v>81</v>
      </c>
      <c r="C417" s="11">
        <v>2020</v>
      </c>
      <c r="D417">
        <f t="array" ref="D417">_xlfn._xlws.FILTER(_xlfn._xlws.FILTER(Demand!$G$2:$X$66,(Demand!$E$2:$E$66=$A417),""),Demand!$G$1:$X$1=$C417,"")</f>
        <v>96.552050846441404</v>
      </c>
    </row>
    <row r="418" spans="1:4">
      <c r="A418" t="s">
        <v>119</v>
      </c>
      <c r="B418" t="s">
        <v>81</v>
      </c>
      <c r="C418" s="11">
        <v>2025</v>
      </c>
      <c r="D418">
        <f t="array" ref="D418">_xlfn._xlws.FILTER(_xlfn._xlws.FILTER(Demand!$G$2:$X$66,(Demand!$E$2:$E$66=$A418),""),Demand!$G$1:$X$1=$C418,"")</f>
        <v>96.552050846441404</v>
      </c>
    </row>
    <row r="419" spans="1:4">
      <c r="A419" t="s">
        <v>119</v>
      </c>
      <c r="B419" t="s">
        <v>81</v>
      </c>
      <c r="C419" s="11">
        <v>2030</v>
      </c>
      <c r="D419">
        <f t="array" ref="D419">_xlfn._xlws.FILTER(_xlfn._xlws.FILTER(Demand!$G$2:$X$66,(Demand!$E$2:$E$66=$A419),""),Demand!$G$1:$X$1=$C419,"")</f>
        <v>96.552050846441404</v>
      </c>
    </row>
    <row r="420" spans="1:4">
      <c r="A420" t="s">
        <v>119</v>
      </c>
      <c r="B420" t="s">
        <v>81</v>
      </c>
      <c r="C420" s="11">
        <v>2035</v>
      </c>
      <c r="D420">
        <f t="array" ref="D420">_xlfn._xlws.FILTER(_xlfn._xlws.FILTER(Demand!$G$2:$X$66,(Demand!$E$2:$E$66=$A420),""),Demand!$G$1:$X$1=$C420,"")</f>
        <v>96.552050846441404</v>
      </c>
    </row>
    <row r="421" spans="1:4">
      <c r="A421" t="s">
        <v>119</v>
      </c>
      <c r="B421" t="s">
        <v>81</v>
      </c>
      <c r="C421" s="11">
        <v>2040</v>
      </c>
      <c r="D421">
        <f t="array" ref="D421">_xlfn._xlws.FILTER(_xlfn._xlws.FILTER(Demand!$G$2:$X$66,(Demand!$E$2:$E$66=$A421),""),Demand!$G$1:$X$1=$C421,"")</f>
        <v>96.552050846441404</v>
      </c>
    </row>
    <row r="422" spans="1:4">
      <c r="A422" t="s">
        <v>119</v>
      </c>
      <c r="B422" t="s">
        <v>81</v>
      </c>
      <c r="C422" s="11">
        <v>2045</v>
      </c>
      <c r="D422">
        <f t="array" ref="D422">_xlfn._xlws.FILTER(_xlfn._xlws.FILTER(Demand!$G$2:$X$66,(Demand!$E$2:$E$66=$A422),""),Demand!$G$1:$X$1=$C422,"")</f>
        <v>96.552050846441404</v>
      </c>
    </row>
    <row r="423" spans="1:4">
      <c r="A423" t="s">
        <v>119</v>
      </c>
      <c r="B423" t="s">
        <v>81</v>
      </c>
      <c r="C423" s="11">
        <v>2050</v>
      </c>
      <c r="D423">
        <f t="array" ref="D423">_xlfn._xlws.FILTER(_xlfn._xlws.FILTER(Demand!$G$2:$X$66,(Demand!$E$2:$E$66=$A423),""),Demand!$G$1:$X$1=$C423,"")</f>
        <v>96.552050846441404</v>
      </c>
    </row>
    <row r="424" spans="1:4">
      <c r="A424" t="s">
        <v>119</v>
      </c>
      <c r="B424" t="s">
        <v>81</v>
      </c>
      <c r="C424" s="11">
        <v>2055</v>
      </c>
      <c r="D424">
        <f t="array" ref="D424">_xlfn._xlws.FILTER(_xlfn._xlws.FILTER(Demand!$G$2:$X$66,(Demand!$E$2:$E$66=$A424),""),Demand!$G$1:$X$1=$C424,"")</f>
        <v>96.552050846441404</v>
      </c>
    </row>
    <row r="425" spans="1:4">
      <c r="A425" t="s">
        <v>119</v>
      </c>
      <c r="B425" t="s">
        <v>81</v>
      </c>
      <c r="C425" s="11">
        <v>2060</v>
      </c>
      <c r="D425">
        <f t="array" ref="D425">_xlfn._xlws.FILTER(_xlfn._xlws.FILTER(Demand!$G$2:$X$66,(Demand!$E$2:$E$66=$A425),""),Demand!$G$1:$X$1=$C425,"")</f>
        <v>96.552050846441404</v>
      </c>
    </row>
    <row r="426" spans="1:4">
      <c r="A426" t="s">
        <v>119</v>
      </c>
      <c r="B426" t="s">
        <v>81</v>
      </c>
      <c r="C426" s="11">
        <v>2065</v>
      </c>
      <c r="D426">
        <f t="array" ref="D426">_xlfn._xlws.FILTER(_xlfn._xlws.FILTER(Demand!$G$2:$X$66,(Demand!$E$2:$E$66=$A426),""),Demand!$G$1:$X$1=$C426,"")</f>
        <v>96.552050846441404</v>
      </c>
    </row>
    <row r="427" spans="1:4">
      <c r="A427" t="s">
        <v>119</v>
      </c>
      <c r="B427" t="s">
        <v>81</v>
      </c>
      <c r="C427" s="11">
        <v>2070</v>
      </c>
      <c r="D427">
        <f t="array" ref="D427">_xlfn._xlws.FILTER(_xlfn._xlws.FILTER(Demand!$G$2:$X$66,(Demand!$E$2:$E$66=$A427),""),Demand!$G$1:$X$1=$C427,"")</f>
        <v>96.552050846441404</v>
      </c>
    </row>
    <row r="428" spans="1:4">
      <c r="A428" t="s">
        <v>119</v>
      </c>
      <c r="B428" t="s">
        <v>81</v>
      </c>
      <c r="C428" s="11">
        <v>2075</v>
      </c>
      <c r="D428">
        <f t="array" ref="D428">_xlfn._xlws.FILTER(_xlfn._xlws.FILTER(Demand!$G$2:$X$66,(Demand!$E$2:$E$66=$A428),""),Demand!$G$1:$X$1=$C428,"")</f>
        <v>96.552050846441404</v>
      </c>
    </row>
    <row r="429" spans="1:4">
      <c r="A429" t="s">
        <v>119</v>
      </c>
      <c r="B429" t="s">
        <v>81</v>
      </c>
      <c r="C429" s="11">
        <v>2080</v>
      </c>
      <c r="D429">
        <f t="array" ref="D429">_xlfn._xlws.FILTER(_xlfn._xlws.FILTER(Demand!$G$2:$X$66,(Demand!$E$2:$E$66=$A429),""),Demand!$G$1:$X$1=$C429,"")</f>
        <v>96.552050846441404</v>
      </c>
    </row>
    <row r="430" spans="1:4">
      <c r="A430" t="s">
        <v>119</v>
      </c>
      <c r="B430" t="s">
        <v>81</v>
      </c>
      <c r="C430" s="11">
        <v>2085</v>
      </c>
      <c r="D430">
        <f t="array" ref="D430">_xlfn._xlws.FILTER(_xlfn._xlws.FILTER(Demand!$G$2:$X$66,(Demand!$E$2:$E$66=$A430),""),Demand!$G$1:$X$1=$C430,"")</f>
        <v>96.552050846441404</v>
      </c>
    </row>
    <row r="431" spans="1:4">
      <c r="A431" t="s">
        <v>119</v>
      </c>
      <c r="B431" t="s">
        <v>81</v>
      </c>
      <c r="C431" s="11">
        <v>2090</v>
      </c>
      <c r="D431">
        <f t="array" ref="D431">_xlfn._xlws.FILTER(_xlfn._xlws.FILTER(Demand!$G$2:$X$66,(Demand!$E$2:$E$66=$A431),""),Demand!$G$1:$X$1=$C431,"")</f>
        <v>96.552050846441404</v>
      </c>
    </row>
    <row r="432" spans="1:4">
      <c r="A432" t="s">
        <v>119</v>
      </c>
      <c r="B432" t="s">
        <v>81</v>
      </c>
      <c r="C432" s="11">
        <v>2095</v>
      </c>
      <c r="D432">
        <f t="array" ref="D432">_xlfn._xlws.FILTER(_xlfn._xlws.FILTER(Demand!$G$2:$X$66,(Demand!$E$2:$E$66=$A432),""),Demand!$G$1:$X$1=$C432,"")</f>
        <v>96.552050846441404</v>
      </c>
    </row>
    <row r="433" spans="1:4">
      <c r="A433" t="s">
        <v>119</v>
      </c>
      <c r="B433" t="s">
        <v>81</v>
      </c>
      <c r="C433" s="11">
        <v>2100</v>
      </c>
      <c r="D433">
        <f t="array" ref="D433">_xlfn._xlws.FILTER(_xlfn._xlws.FILTER(Demand!$G$2:$X$66,(Demand!$E$2:$E$66=$A433),""),Demand!$G$1:$X$1=$C433,"")</f>
        <v>96.552050846441404</v>
      </c>
    </row>
    <row r="434" spans="1:4">
      <c r="A434" t="s">
        <v>120</v>
      </c>
      <c r="B434" t="s">
        <v>81</v>
      </c>
      <c r="C434" s="11">
        <v>2019</v>
      </c>
      <c r="D434">
        <f t="array" ref="D434">_xlfn._xlws.FILTER(_xlfn._xlws.FILTER(Demand!$G$2:$X$66,(Demand!$E$2:$E$66=$A434),""),Demand!$G$1:$X$1=$C434,"")</f>
        <v>0</v>
      </c>
    </row>
    <row r="435" spans="1:4">
      <c r="A435" t="s">
        <v>120</v>
      </c>
      <c r="B435" t="s">
        <v>81</v>
      </c>
      <c r="C435" s="11">
        <v>2020</v>
      </c>
      <c r="D435">
        <f t="array" ref="D435">_xlfn._xlws.FILTER(_xlfn._xlws.FILTER(Demand!$G$2:$X$66,(Demand!$E$2:$E$66=$A435),""),Demand!$G$1:$X$1=$C435,"")</f>
        <v>0.25903938738745758</v>
      </c>
    </row>
    <row r="436" spans="1:4">
      <c r="A436" t="s">
        <v>120</v>
      </c>
      <c r="B436" t="s">
        <v>81</v>
      </c>
      <c r="C436" s="11">
        <v>2025</v>
      </c>
      <c r="D436">
        <f t="array" ref="D436">_xlfn._xlws.FILTER(_xlfn._xlws.FILTER(Demand!$G$2:$X$66,(Demand!$E$2:$E$66=$A436),""),Demand!$G$1:$X$1=$C436,"")</f>
        <v>1.5542363243247459</v>
      </c>
    </row>
    <row r="437" spans="1:4">
      <c r="A437" t="s">
        <v>120</v>
      </c>
      <c r="B437" t="s">
        <v>81</v>
      </c>
      <c r="C437" s="11">
        <v>2030</v>
      </c>
      <c r="D437">
        <f t="array" ref="D437">_xlfn._xlws.FILTER(_xlfn._xlws.FILTER(Demand!$G$2:$X$66,(Demand!$E$2:$E$66=$A437),""),Demand!$G$1:$X$1=$C437,"")</f>
        <v>2.8494332612620341</v>
      </c>
    </row>
    <row r="438" spans="1:4">
      <c r="A438" t="s">
        <v>120</v>
      </c>
      <c r="B438" t="s">
        <v>81</v>
      </c>
      <c r="C438" s="11">
        <v>2035</v>
      </c>
      <c r="D438">
        <f t="array" ref="D438">_xlfn._xlws.FILTER(_xlfn._xlws.FILTER(Demand!$G$2:$X$66,(Demand!$E$2:$E$66=$A438),""),Demand!$G$1:$X$1=$C438,"")</f>
        <v>4.1446301981993221</v>
      </c>
    </row>
    <row r="439" spans="1:4">
      <c r="A439" t="s">
        <v>120</v>
      </c>
      <c r="B439" t="s">
        <v>81</v>
      </c>
      <c r="C439" s="11">
        <v>2040</v>
      </c>
      <c r="D439">
        <f t="array" ref="D439">_xlfn._xlws.FILTER(_xlfn._xlws.FILTER(Demand!$G$2:$X$66,(Demand!$E$2:$E$66=$A439),""),Demand!$G$1:$X$1=$C439,"")</f>
        <v>5.4398271351366114</v>
      </c>
    </row>
    <row r="440" spans="1:4">
      <c r="A440" t="s">
        <v>120</v>
      </c>
      <c r="B440" t="s">
        <v>81</v>
      </c>
      <c r="C440" s="11">
        <v>2045</v>
      </c>
      <c r="D440">
        <f t="array" ref="D440">_xlfn._xlws.FILTER(_xlfn._xlws.FILTER(Demand!$G$2:$X$66,(Demand!$E$2:$E$66=$A440),""),Demand!$G$1:$X$1=$C440,"")</f>
        <v>6.735024072073899</v>
      </c>
    </row>
    <row r="441" spans="1:4">
      <c r="A441" t="s">
        <v>120</v>
      </c>
      <c r="B441" t="s">
        <v>81</v>
      </c>
      <c r="C441" s="11">
        <v>2050</v>
      </c>
      <c r="D441">
        <f t="array" ref="D441">_xlfn._xlws.FILTER(_xlfn._xlws.FILTER(Demand!$G$2:$X$66,(Demand!$E$2:$E$66=$A441),""),Demand!$G$1:$X$1=$C441,"")</f>
        <v>8.0302210090111874</v>
      </c>
    </row>
    <row r="442" spans="1:4">
      <c r="A442" t="s">
        <v>120</v>
      </c>
      <c r="B442" t="s">
        <v>81</v>
      </c>
      <c r="C442" s="11">
        <v>2055</v>
      </c>
      <c r="D442">
        <f t="array" ref="D442">_xlfn._xlws.FILTER(_xlfn._xlws.FILTER(Demand!$G$2:$X$66,(Demand!$E$2:$E$66=$A442),""),Demand!$G$1:$X$1=$C442,"")</f>
        <v>9.325417945948475</v>
      </c>
    </row>
    <row r="443" spans="1:4">
      <c r="A443" t="s">
        <v>120</v>
      </c>
      <c r="B443" t="s">
        <v>81</v>
      </c>
      <c r="C443" s="11">
        <v>2060</v>
      </c>
      <c r="D443">
        <f t="array" ref="D443">_xlfn._xlws.FILTER(_xlfn._xlws.FILTER(Demand!$G$2:$X$66,(Demand!$E$2:$E$66=$A443),""),Demand!$G$1:$X$1=$C443,"")</f>
        <v>10.620614882885761</v>
      </c>
    </row>
    <row r="444" spans="1:4">
      <c r="A444" t="s">
        <v>120</v>
      </c>
      <c r="B444" t="s">
        <v>81</v>
      </c>
      <c r="C444" s="11">
        <v>2065</v>
      </c>
      <c r="D444">
        <f t="array" ref="D444">_xlfn._xlws.FILTER(_xlfn._xlws.FILTER(Demand!$G$2:$X$66,(Demand!$E$2:$E$66=$A444),""),Demand!$G$1:$X$1=$C444,"")</f>
        <v>11.91581181982305</v>
      </c>
    </row>
    <row r="445" spans="1:4">
      <c r="A445" t="s">
        <v>120</v>
      </c>
      <c r="B445" t="s">
        <v>81</v>
      </c>
      <c r="C445" s="11">
        <v>2070</v>
      </c>
      <c r="D445">
        <f t="array" ref="D445">_xlfn._xlws.FILTER(_xlfn._xlws.FILTER(Demand!$G$2:$X$66,(Demand!$E$2:$E$66=$A445),""),Demand!$G$1:$X$1=$C445,"")</f>
        <v>13.211008756760339</v>
      </c>
    </row>
    <row r="446" spans="1:4">
      <c r="A446" t="s">
        <v>120</v>
      </c>
      <c r="B446" t="s">
        <v>81</v>
      </c>
      <c r="C446" s="11">
        <v>2075</v>
      </c>
      <c r="D446">
        <f t="array" ref="D446">_xlfn._xlws.FILTER(_xlfn._xlws.FILTER(Demand!$G$2:$X$66,(Demand!$E$2:$E$66=$A446),""),Demand!$G$1:$X$1=$C446,"")</f>
        <v>14.50620569369763</v>
      </c>
    </row>
    <row r="447" spans="1:4">
      <c r="A447" t="s">
        <v>120</v>
      </c>
      <c r="B447" t="s">
        <v>81</v>
      </c>
      <c r="C447" s="11">
        <v>2080</v>
      </c>
      <c r="D447">
        <f t="array" ref="D447">_xlfn._xlws.FILTER(_xlfn._xlws.FILTER(Demand!$G$2:$X$66,(Demand!$E$2:$E$66=$A447),""),Demand!$G$1:$X$1=$C447,"")</f>
        <v>15.801402630634909</v>
      </c>
    </row>
    <row r="448" spans="1:4">
      <c r="A448" t="s">
        <v>120</v>
      </c>
      <c r="B448" t="s">
        <v>81</v>
      </c>
      <c r="C448" s="11">
        <v>2085</v>
      </c>
      <c r="D448">
        <f t="array" ref="D448">_xlfn._xlws.FILTER(_xlfn._xlws.FILTER(Demand!$G$2:$X$66,(Demand!$E$2:$E$66=$A448),""),Demand!$G$1:$X$1=$C448,"")</f>
        <v>17.096599567572198</v>
      </c>
    </row>
    <row r="449" spans="1:4">
      <c r="A449" t="s">
        <v>120</v>
      </c>
      <c r="B449" t="s">
        <v>81</v>
      </c>
      <c r="C449" s="11">
        <v>2090</v>
      </c>
      <c r="D449">
        <f t="array" ref="D449">_xlfn._xlws.FILTER(_xlfn._xlws.FILTER(Demand!$G$2:$X$66,(Demand!$E$2:$E$66=$A449),""),Demand!$G$1:$X$1=$C449,"")</f>
        <v>18.39179650450949</v>
      </c>
    </row>
    <row r="450" spans="1:4">
      <c r="A450" t="s">
        <v>120</v>
      </c>
      <c r="B450" t="s">
        <v>81</v>
      </c>
      <c r="C450" s="11">
        <v>2095</v>
      </c>
      <c r="D450">
        <f t="array" ref="D450">_xlfn._xlws.FILTER(_xlfn._xlws.FILTER(Demand!$G$2:$X$66,(Demand!$E$2:$E$66=$A450),""),Demand!$G$1:$X$1=$C450,"")</f>
        <v>19.686993441446781</v>
      </c>
    </row>
    <row r="451" spans="1:4">
      <c r="A451" t="s">
        <v>120</v>
      </c>
      <c r="B451" t="s">
        <v>81</v>
      </c>
      <c r="C451" s="11">
        <v>2100</v>
      </c>
      <c r="D451">
        <f t="array" ref="D451">_xlfn._xlws.FILTER(_xlfn._xlws.FILTER(Demand!$G$2:$X$66,(Demand!$E$2:$E$66=$A451),""),Demand!$G$1:$X$1=$C451,"")</f>
        <v>20.982190378384061</v>
      </c>
    </row>
    <row r="452" spans="1:4">
      <c r="A452" t="s">
        <v>121</v>
      </c>
      <c r="B452" t="s">
        <v>81</v>
      </c>
      <c r="C452" s="11">
        <v>2019</v>
      </c>
      <c r="D452">
        <f t="array" ref="D452">_xlfn._xlws.FILTER(_xlfn._xlws.FILTER(Demand!$G$2:$X$66,(Demand!$E$2:$E$66=$A452),""),Demand!$G$1:$X$1=$C452,"")</f>
        <v>0</v>
      </c>
    </row>
    <row r="453" spans="1:4">
      <c r="A453" t="s">
        <v>121</v>
      </c>
      <c r="B453" t="s">
        <v>81</v>
      </c>
      <c r="C453" s="11">
        <v>2020</v>
      </c>
      <c r="D453">
        <f t="array" ref="D453">_xlfn._xlws.FILTER(_xlfn._xlws.FILTER(Demand!$G$2:$X$66,(Demand!$E$2:$E$66=$A453),""),Demand!$G$1:$X$1=$C453,"")</f>
        <v>7.4783990074941589E-2</v>
      </c>
    </row>
    <row r="454" spans="1:4">
      <c r="A454" t="s">
        <v>121</v>
      </c>
      <c r="B454" t="s">
        <v>81</v>
      </c>
      <c r="C454" s="11">
        <v>2025</v>
      </c>
      <c r="D454">
        <f t="array" ref="D454">_xlfn._xlws.FILTER(_xlfn._xlws.FILTER(Demand!$G$2:$X$66,(Demand!$E$2:$E$66=$A454),""),Demand!$G$1:$X$1=$C454,"")</f>
        <v>0.44870394044964951</v>
      </c>
    </row>
    <row r="455" spans="1:4">
      <c r="A455" t="s">
        <v>121</v>
      </c>
      <c r="B455" t="s">
        <v>81</v>
      </c>
      <c r="C455" s="11">
        <v>2030</v>
      </c>
      <c r="D455">
        <f t="array" ref="D455">_xlfn._xlws.FILTER(_xlfn._xlws.FILTER(Demand!$G$2:$X$66,(Demand!$E$2:$E$66=$A455),""),Demand!$G$1:$X$1=$C455,"")</f>
        <v>0.8226238908243575</v>
      </c>
    </row>
    <row r="456" spans="1:4">
      <c r="A456" t="s">
        <v>121</v>
      </c>
      <c r="B456" t="s">
        <v>81</v>
      </c>
      <c r="C456" s="11">
        <v>2035</v>
      </c>
      <c r="D456">
        <f t="array" ref="D456">_xlfn._xlws.FILTER(_xlfn._xlws.FILTER(Demand!$G$2:$X$66,(Demand!$E$2:$E$66=$A456),""),Demand!$G$1:$X$1=$C456,"")</f>
        <v>1.196543841199065</v>
      </c>
    </row>
    <row r="457" spans="1:4">
      <c r="A457" t="s">
        <v>121</v>
      </c>
      <c r="B457" t="s">
        <v>81</v>
      </c>
      <c r="C457" s="11">
        <v>2040</v>
      </c>
      <c r="D457">
        <f t="array" ref="D457">_xlfn._xlws.FILTER(_xlfn._xlws.FILTER(Demand!$G$2:$X$66,(Demand!$E$2:$E$66=$A457),""),Demand!$G$1:$X$1=$C457,"")</f>
        <v>1.5704637915737729</v>
      </c>
    </row>
    <row r="458" spans="1:4">
      <c r="A458" t="s">
        <v>121</v>
      </c>
      <c r="B458" t="s">
        <v>81</v>
      </c>
      <c r="C458" s="11">
        <v>2045</v>
      </c>
      <c r="D458">
        <f t="array" ref="D458">_xlfn._xlws.FILTER(_xlfn._xlws.FILTER(Demand!$G$2:$X$66,(Demand!$E$2:$E$66=$A458),""),Demand!$G$1:$X$1=$C458,"")</f>
        <v>1.9443837419484811</v>
      </c>
    </row>
    <row r="459" spans="1:4">
      <c r="A459" t="s">
        <v>121</v>
      </c>
      <c r="B459" t="s">
        <v>81</v>
      </c>
      <c r="C459" s="11">
        <v>2050</v>
      </c>
      <c r="D459">
        <f t="array" ref="D459">_xlfn._xlws.FILTER(_xlfn._xlws.FILTER(Demand!$G$2:$X$66,(Demand!$E$2:$E$66=$A459),""),Demand!$G$1:$X$1=$C459,"")</f>
        <v>2.3183036923231888</v>
      </c>
    </row>
    <row r="460" spans="1:4">
      <c r="A460" t="s">
        <v>121</v>
      </c>
      <c r="B460" t="s">
        <v>81</v>
      </c>
      <c r="C460" s="11">
        <v>2055</v>
      </c>
      <c r="D460">
        <f t="array" ref="D460">_xlfn._xlws.FILTER(_xlfn._xlws.FILTER(Demand!$G$2:$X$66,(Demand!$E$2:$E$66=$A460),""),Demand!$G$1:$X$1=$C460,"")</f>
        <v>2.6922236426978969</v>
      </c>
    </row>
    <row r="461" spans="1:4">
      <c r="A461" t="s">
        <v>121</v>
      </c>
      <c r="B461" t="s">
        <v>81</v>
      </c>
      <c r="C461" s="11">
        <v>2060</v>
      </c>
      <c r="D461">
        <f t="array" ref="D461">_xlfn._xlws.FILTER(_xlfn._xlws.FILTER(Demand!$G$2:$X$66,(Demand!$E$2:$E$66=$A461),""),Demand!$G$1:$X$1=$C461,"")</f>
        <v>3.0661435930726051</v>
      </c>
    </row>
    <row r="462" spans="1:4">
      <c r="A462" t="s">
        <v>121</v>
      </c>
      <c r="B462" t="s">
        <v>81</v>
      </c>
      <c r="C462" s="11">
        <v>2065</v>
      </c>
      <c r="D462">
        <f t="array" ref="D462">_xlfn._xlws.FILTER(_xlfn._xlws.FILTER(Demand!$G$2:$X$66,(Demand!$E$2:$E$66=$A462),""),Demand!$G$1:$X$1=$C462,"")</f>
        <v>3.4400635434473119</v>
      </c>
    </row>
    <row r="463" spans="1:4">
      <c r="A463" t="s">
        <v>121</v>
      </c>
      <c r="B463" t="s">
        <v>81</v>
      </c>
      <c r="C463" s="11">
        <v>2070</v>
      </c>
      <c r="D463">
        <f t="array" ref="D463">_xlfn._xlws.FILTER(_xlfn._xlws.FILTER(Demand!$G$2:$X$66,(Demand!$E$2:$E$66=$A463),""),Demand!$G$1:$X$1=$C463,"")</f>
        <v>3.8139834938220201</v>
      </c>
    </row>
    <row r="464" spans="1:4">
      <c r="A464" t="s">
        <v>121</v>
      </c>
      <c r="B464" t="s">
        <v>81</v>
      </c>
      <c r="C464" s="11">
        <v>2075</v>
      </c>
      <c r="D464">
        <f t="array" ref="D464">_xlfn._xlws.FILTER(_xlfn._xlws.FILTER(Demand!$G$2:$X$66,(Demand!$E$2:$E$66=$A464),""),Demand!$G$1:$X$1=$C464,"")</f>
        <v>4.1879034441967278</v>
      </c>
    </row>
    <row r="465" spans="1:4">
      <c r="A465" t="s">
        <v>121</v>
      </c>
      <c r="B465" t="s">
        <v>81</v>
      </c>
      <c r="C465" s="11">
        <v>2080</v>
      </c>
      <c r="D465">
        <f t="array" ref="D465">_xlfn._xlws.FILTER(_xlfn._xlws.FILTER(Demand!$G$2:$X$66,(Demand!$E$2:$E$66=$A465),""),Demand!$G$1:$X$1=$C465,"")</f>
        <v>4.5618233945714346</v>
      </c>
    </row>
    <row r="466" spans="1:4">
      <c r="A466" t="s">
        <v>121</v>
      </c>
      <c r="B466" t="s">
        <v>81</v>
      </c>
      <c r="C466" s="11">
        <v>2085</v>
      </c>
      <c r="D466">
        <f t="array" ref="D466">_xlfn._xlws.FILTER(_xlfn._xlws.FILTER(Demand!$G$2:$X$66,(Demand!$E$2:$E$66=$A466),""),Demand!$G$1:$X$1=$C466,"")</f>
        <v>4.9357433449461432</v>
      </c>
    </row>
    <row r="467" spans="1:4">
      <c r="A467" t="s">
        <v>121</v>
      </c>
      <c r="B467" t="s">
        <v>81</v>
      </c>
      <c r="C467" s="11">
        <v>2090</v>
      </c>
      <c r="D467">
        <f t="array" ref="D467">_xlfn._xlws.FILTER(_xlfn._xlws.FILTER(Demand!$G$2:$X$66,(Demand!$E$2:$E$66=$A467),""),Demand!$G$1:$X$1=$C467,"")</f>
        <v>5.3096632953208509</v>
      </c>
    </row>
    <row r="468" spans="1:4">
      <c r="A468" t="s">
        <v>121</v>
      </c>
      <c r="B468" t="s">
        <v>81</v>
      </c>
      <c r="C468" s="11">
        <v>2095</v>
      </c>
      <c r="D468">
        <f t="array" ref="D468">_xlfn._xlws.FILTER(_xlfn._xlws.FILTER(Demand!$G$2:$X$66,(Demand!$E$2:$E$66=$A468),""),Demand!$G$1:$X$1=$C468,"")</f>
        <v>5.6835832456955586</v>
      </c>
    </row>
    <row r="469" spans="1:4">
      <c r="A469" t="s">
        <v>121</v>
      </c>
      <c r="B469" t="s">
        <v>81</v>
      </c>
      <c r="C469" s="11">
        <v>2100</v>
      </c>
      <c r="D469">
        <f t="array" ref="D469">_xlfn._xlws.FILTER(_xlfn._xlws.FILTER(Demand!$G$2:$X$66,(Demand!$E$2:$E$66=$A469),""),Demand!$G$1:$X$1=$C469,"")</f>
        <v>6.0575031960702663</v>
      </c>
    </row>
    <row r="470" spans="1:4">
      <c r="A470" t="s">
        <v>122</v>
      </c>
      <c r="B470" t="s">
        <v>81</v>
      </c>
      <c r="C470" s="11">
        <v>2019</v>
      </c>
      <c r="D470">
        <f t="array" ref="D470">_xlfn._xlws.FILTER(_xlfn._xlws.FILTER(Demand!$G$2:$X$66,(Demand!$E$2:$E$66=$A470),""),Demand!$G$1:$X$1=$C470,"")</f>
        <v>0</v>
      </c>
    </row>
    <row r="471" spans="1:4">
      <c r="A471" t="s">
        <v>122</v>
      </c>
      <c r="B471" t="s">
        <v>81</v>
      </c>
      <c r="C471" s="11">
        <v>2020</v>
      </c>
      <c r="D471">
        <f t="array" ref="D471">_xlfn._xlws.FILTER(_xlfn._xlws.FILTER(Demand!$G$2:$X$66,(Demand!$E$2:$E$66=$A471),""),Demand!$G$1:$X$1=$C471,"")</f>
        <v>0.28560988167920698</v>
      </c>
    </row>
    <row r="472" spans="1:4">
      <c r="A472" t="s">
        <v>122</v>
      </c>
      <c r="B472" t="s">
        <v>81</v>
      </c>
      <c r="C472" s="11">
        <v>2025</v>
      </c>
      <c r="D472">
        <f t="array" ref="D472">_xlfn._xlws.FILTER(_xlfn._xlws.FILTER(Demand!$G$2:$X$66,(Demand!$E$2:$E$66=$A472),""),Demand!$G$1:$X$1=$C472,"")</f>
        <v>1.7136592900752421</v>
      </c>
    </row>
    <row r="473" spans="1:4">
      <c r="A473" t="s">
        <v>122</v>
      </c>
      <c r="B473" t="s">
        <v>81</v>
      </c>
      <c r="C473" s="11">
        <v>2030</v>
      </c>
      <c r="D473">
        <f t="array" ref="D473">_xlfn._xlws.FILTER(_xlfn._xlws.FILTER(Demand!$G$2:$X$66,(Demand!$E$2:$E$66=$A473),""),Demand!$G$1:$X$1=$C473,"")</f>
        <v>3.1417086984712772</v>
      </c>
    </row>
    <row r="474" spans="1:4">
      <c r="A474" t="s">
        <v>122</v>
      </c>
      <c r="B474" t="s">
        <v>81</v>
      </c>
      <c r="C474" s="11">
        <v>2035</v>
      </c>
      <c r="D474">
        <f t="array" ref="D474">_xlfn._xlws.FILTER(_xlfn._xlws.FILTER(Demand!$G$2:$X$66,(Demand!$E$2:$E$66=$A474),""),Demand!$G$1:$X$1=$C474,"")</f>
        <v>4.5697581068673134</v>
      </c>
    </row>
    <row r="475" spans="1:4">
      <c r="A475" t="s">
        <v>122</v>
      </c>
      <c r="B475" t="s">
        <v>81</v>
      </c>
      <c r="C475" s="11">
        <v>2040</v>
      </c>
      <c r="D475">
        <f t="array" ref="D475">_xlfn._xlws.FILTER(_xlfn._xlws.FILTER(Demand!$G$2:$X$66,(Demand!$E$2:$E$66=$A475),""),Demand!$G$1:$X$1=$C475,"")</f>
        <v>5.9978075152633474</v>
      </c>
    </row>
    <row r="476" spans="1:4">
      <c r="A476" t="s">
        <v>122</v>
      </c>
      <c r="B476" t="s">
        <v>81</v>
      </c>
      <c r="C476" s="11">
        <v>2045</v>
      </c>
      <c r="D476">
        <f t="array" ref="D476">_xlfn._xlws.FILTER(_xlfn._xlws.FILTER(Demand!$G$2:$X$66,(Demand!$E$2:$E$66=$A476),""),Demand!$G$1:$X$1=$C476,"")</f>
        <v>7.4258569236593823</v>
      </c>
    </row>
    <row r="477" spans="1:4">
      <c r="A477" t="s">
        <v>122</v>
      </c>
      <c r="B477" t="s">
        <v>81</v>
      </c>
      <c r="C477" s="11">
        <v>2050</v>
      </c>
      <c r="D477">
        <f t="array" ref="D477">_xlfn._xlws.FILTER(_xlfn._xlws.FILTER(Demand!$G$2:$X$66,(Demand!$E$2:$E$66=$A477),""),Demand!$G$1:$X$1=$C477,"")</f>
        <v>8.8539063320554181</v>
      </c>
    </row>
    <row r="478" spans="1:4">
      <c r="A478" t="s">
        <v>122</v>
      </c>
      <c r="B478" t="s">
        <v>81</v>
      </c>
      <c r="C478" s="11">
        <v>2055</v>
      </c>
      <c r="D478">
        <f t="array" ref="D478">_xlfn._xlws.FILTER(_xlfn._xlws.FILTER(Demand!$G$2:$X$66,(Demand!$E$2:$E$66=$A478),""),Demand!$G$1:$X$1=$C478,"")</f>
        <v>10.281955740451449</v>
      </c>
    </row>
    <row r="479" spans="1:4">
      <c r="A479" t="s">
        <v>122</v>
      </c>
      <c r="B479" t="s">
        <v>81</v>
      </c>
      <c r="C479" s="11">
        <v>2060</v>
      </c>
      <c r="D479">
        <f t="array" ref="D479">_xlfn._xlws.FILTER(_xlfn._xlws.FILTER(Demand!$G$2:$X$66,(Demand!$E$2:$E$66=$A479),""),Demand!$G$1:$X$1=$C479,"")</f>
        <v>11.71000514884749</v>
      </c>
    </row>
    <row r="480" spans="1:4">
      <c r="A480" t="s">
        <v>122</v>
      </c>
      <c r="B480" t="s">
        <v>81</v>
      </c>
      <c r="C480" s="11">
        <v>2065</v>
      </c>
      <c r="D480">
        <f t="array" ref="D480">_xlfn._xlws.FILTER(_xlfn._xlws.FILTER(Demand!$G$2:$X$66,(Demand!$E$2:$E$66=$A480),""),Demand!$G$1:$X$1=$C480,"")</f>
        <v>13.138054557243519</v>
      </c>
    </row>
    <row r="481" spans="1:4">
      <c r="A481" t="s">
        <v>122</v>
      </c>
      <c r="B481" t="s">
        <v>81</v>
      </c>
      <c r="C481" s="11">
        <v>2070</v>
      </c>
      <c r="D481">
        <f t="array" ref="D481">_xlfn._xlws.FILTER(_xlfn._xlws.FILTER(Demand!$G$2:$X$66,(Demand!$E$2:$E$66=$A481),""),Demand!$G$1:$X$1=$C481,"")</f>
        <v>14.566103965639559</v>
      </c>
    </row>
    <row r="482" spans="1:4">
      <c r="A482" t="s">
        <v>122</v>
      </c>
      <c r="B482" t="s">
        <v>81</v>
      </c>
      <c r="C482" s="11">
        <v>2075</v>
      </c>
      <c r="D482">
        <f t="array" ref="D482">_xlfn._xlws.FILTER(_xlfn._xlws.FILTER(Demand!$G$2:$X$66,(Demand!$E$2:$E$66=$A482),""),Demand!$G$1:$X$1=$C482,"")</f>
        <v>15.994153374035591</v>
      </c>
    </row>
    <row r="483" spans="1:4">
      <c r="A483" t="s">
        <v>122</v>
      </c>
      <c r="B483" t="s">
        <v>81</v>
      </c>
      <c r="C483" s="11">
        <v>2080</v>
      </c>
      <c r="D483">
        <f t="array" ref="D483">_xlfn._xlws.FILTER(_xlfn._xlws.FILTER(Demand!$G$2:$X$66,(Demand!$E$2:$E$66=$A483),""),Demand!$G$1:$X$1=$C483,"")</f>
        <v>17.422202782431629</v>
      </c>
    </row>
    <row r="484" spans="1:4">
      <c r="A484" t="s">
        <v>122</v>
      </c>
      <c r="B484" t="s">
        <v>81</v>
      </c>
      <c r="C484" s="11">
        <v>2085</v>
      </c>
      <c r="D484">
        <f t="array" ref="D484">_xlfn._xlws.FILTER(_xlfn._xlws.FILTER(Demand!$G$2:$X$66,(Demand!$E$2:$E$66=$A484),""),Demand!$G$1:$X$1=$C484,"")</f>
        <v>18.850252190827661</v>
      </c>
    </row>
    <row r="485" spans="1:4">
      <c r="A485" t="s">
        <v>122</v>
      </c>
      <c r="B485" t="s">
        <v>81</v>
      </c>
      <c r="C485" s="11">
        <v>2090</v>
      </c>
      <c r="D485">
        <f t="array" ref="D485">_xlfn._xlws.FILTER(_xlfn._xlws.FILTER(Demand!$G$2:$X$66,(Demand!$E$2:$E$66=$A485),""),Demand!$G$1:$X$1=$C485,"")</f>
        <v>20.278301599223699</v>
      </c>
    </row>
    <row r="486" spans="1:4">
      <c r="A486" t="s">
        <v>122</v>
      </c>
      <c r="B486" t="s">
        <v>81</v>
      </c>
      <c r="C486" s="11">
        <v>2095</v>
      </c>
      <c r="D486">
        <f t="array" ref="D486">_xlfn._xlws.FILTER(_xlfn._xlws.FILTER(Demand!$G$2:$X$66,(Demand!$E$2:$E$66=$A486),""),Demand!$G$1:$X$1=$C486,"")</f>
        <v>21.70635100761973</v>
      </c>
    </row>
    <row r="487" spans="1:4">
      <c r="A487" t="s">
        <v>122</v>
      </c>
      <c r="B487" t="s">
        <v>81</v>
      </c>
      <c r="C487" s="11">
        <v>2100</v>
      </c>
      <c r="D487">
        <f t="array" ref="D487">_xlfn._xlws.FILTER(_xlfn._xlws.FILTER(Demand!$G$2:$X$66,(Demand!$E$2:$E$66=$A487),""),Demand!$G$1:$X$1=$C487,"")</f>
        <v>23.134400416015769</v>
      </c>
    </row>
    <row r="488" spans="1:4">
      <c r="A488" t="s">
        <v>123</v>
      </c>
      <c r="B488" t="s">
        <v>81</v>
      </c>
      <c r="C488" s="11">
        <v>2019</v>
      </c>
      <c r="D488">
        <f t="array" ref="D488">_xlfn._xlws.FILTER(_xlfn._xlws.FILTER(Demand!$G$2:$X$66,(Demand!$E$2:$E$66=$A488),""),Demand!$G$1:$X$1=$C488,"")</f>
        <v>0</v>
      </c>
    </row>
    <row r="489" spans="1:4">
      <c r="A489" t="s">
        <v>123</v>
      </c>
      <c r="B489" t="s">
        <v>81</v>
      </c>
      <c r="C489" s="11">
        <v>2020</v>
      </c>
      <c r="D489">
        <f t="array" ref="D489">_xlfn._xlws.FILTER(_xlfn._xlws.FILTER(Demand!$G$2:$X$66,(Demand!$E$2:$E$66=$A489),""),Demand!$G$1:$X$1=$C489,"")</f>
        <v>0.19149629288769771</v>
      </c>
    </row>
    <row r="490" spans="1:4">
      <c r="A490" t="s">
        <v>123</v>
      </c>
      <c r="B490" t="s">
        <v>81</v>
      </c>
      <c r="C490" s="11">
        <v>2025</v>
      </c>
      <c r="D490">
        <f t="array" ref="D490">_xlfn._xlws.FILTER(_xlfn._xlws.FILTER(Demand!$G$2:$X$66,(Demand!$E$2:$E$66=$A490),""),Demand!$G$1:$X$1=$C490,"")</f>
        <v>1.1489777573261859</v>
      </c>
    </row>
    <row r="491" spans="1:4">
      <c r="A491" t="s">
        <v>123</v>
      </c>
      <c r="B491" t="s">
        <v>81</v>
      </c>
      <c r="C491" s="11">
        <v>2030</v>
      </c>
      <c r="D491">
        <f t="array" ref="D491">_xlfn._xlws.FILTER(_xlfn._xlws.FILTER(Demand!$G$2:$X$66,(Demand!$E$2:$E$66=$A491),""),Demand!$G$1:$X$1=$C491,"")</f>
        <v>2.1064592217646738</v>
      </c>
    </row>
    <row r="492" spans="1:4">
      <c r="A492" t="s">
        <v>123</v>
      </c>
      <c r="B492" t="s">
        <v>81</v>
      </c>
      <c r="C492" s="11">
        <v>2035</v>
      </c>
      <c r="D492">
        <f t="array" ref="D492">_xlfn._xlws.FILTER(_xlfn._xlws.FILTER(Demand!$G$2:$X$66,(Demand!$E$2:$E$66=$A492),""),Demand!$G$1:$X$1=$C492,"")</f>
        <v>3.063940686203162</v>
      </c>
    </row>
    <row r="493" spans="1:4">
      <c r="A493" t="s">
        <v>123</v>
      </c>
      <c r="B493" t="s">
        <v>81</v>
      </c>
      <c r="C493" s="11">
        <v>2040</v>
      </c>
      <c r="D493">
        <f t="array" ref="D493">_xlfn._xlws.FILTER(_xlfn._xlws.FILTER(Demand!$G$2:$X$66,(Demand!$E$2:$E$66=$A493),""),Demand!$G$1:$X$1=$C493,"")</f>
        <v>4.0214221506416514</v>
      </c>
    </row>
    <row r="494" spans="1:4">
      <c r="A494" t="s">
        <v>123</v>
      </c>
      <c r="B494" t="s">
        <v>81</v>
      </c>
      <c r="C494" s="11">
        <v>2045</v>
      </c>
      <c r="D494">
        <f t="array" ref="D494">_xlfn._xlws.FILTER(_xlfn._xlws.FILTER(Demand!$G$2:$X$66,(Demand!$E$2:$E$66=$A494),""),Demand!$G$1:$X$1=$C494,"")</f>
        <v>4.9789036150801387</v>
      </c>
    </row>
    <row r="495" spans="1:4">
      <c r="A495" t="s">
        <v>123</v>
      </c>
      <c r="B495" t="s">
        <v>81</v>
      </c>
      <c r="C495" s="11">
        <v>2050</v>
      </c>
      <c r="D495">
        <f t="array" ref="D495">_xlfn._xlws.FILTER(_xlfn._xlws.FILTER(Demand!$G$2:$X$66,(Demand!$E$2:$E$66=$A495),""),Demand!$G$1:$X$1=$C495,"")</f>
        <v>5.9363850795186268</v>
      </c>
    </row>
    <row r="496" spans="1:4">
      <c r="A496" t="s">
        <v>123</v>
      </c>
      <c r="B496" t="s">
        <v>81</v>
      </c>
      <c r="C496" s="11">
        <v>2055</v>
      </c>
      <c r="D496">
        <f t="array" ref="D496">_xlfn._xlws.FILTER(_xlfn._xlws.FILTER(Demand!$G$2:$X$66,(Demand!$E$2:$E$66=$A496),""),Demand!$G$1:$X$1=$C496,"")</f>
        <v>6.893866543957115</v>
      </c>
    </row>
    <row r="497" spans="1:4">
      <c r="A497" t="s">
        <v>123</v>
      </c>
      <c r="B497" t="s">
        <v>81</v>
      </c>
      <c r="C497" s="11">
        <v>2060</v>
      </c>
      <c r="D497">
        <f t="array" ref="D497">_xlfn._xlws.FILTER(_xlfn._xlws.FILTER(Demand!$G$2:$X$66,(Demand!$E$2:$E$66=$A497),""),Demand!$G$1:$X$1=$C497,"")</f>
        <v>7.8513480083956031</v>
      </c>
    </row>
    <row r="498" spans="1:4">
      <c r="A498" t="s">
        <v>123</v>
      </c>
      <c r="B498" t="s">
        <v>81</v>
      </c>
      <c r="C498" s="11">
        <v>2065</v>
      </c>
      <c r="D498">
        <f t="array" ref="D498">_xlfn._xlws.FILTER(_xlfn._xlws.FILTER(Demand!$G$2:$X$66,(Demand!$E$2:$E$66=$A498),""),Demand!$G$1:$X$1=$C498,"")</f>
        <v>8.8088294728340912</v>
      </c>
    </row>
    <row r="499" spans="1:4">
      <c r="A499" t="s">
        <v>123</v>
      </c>
      <c r="B499" t="s">
        <v>81</v>
      </c>
      <c r="C499" s="11">
        <v>2070</v>
      </c>
      <c r="D499">
        <f t="array" ref="D499">_xlfn._xlws.FILTER(_xlfn._xlws.FILTER(Demand!$G$2:$X$66,(Demand!$E$2:$E$66=$A499),""),Demand!$G$1:$X$1=$C499,"")</f>
        <v>9.7663109372725803</v>
      </c>
    </row>
    <row r="500" spans="1:4">
      <c r="A500" t="s">
        <v>123</v>
      </c>
      <c r="B500" t="s">
        <v>81</v>
      </c>
      <c r="C500" s="11">
        <v>2075</v>
      </c>
      <c r="D500">
        <f t="array" ref="D500">_xlfn._xlws.FILTER(_xlfn._xlws.FILTER(Demand!$G$2:$X$66,(Demand!$E$2:$E$66=$A500),""),Demand!$G$1:$X$1=$C500,"")</f>
        <v>10.723792401711069</v>
      </c>
    </row>
    <row r="501" spans="1:4">
      <c r="A501" t="s">
        <v>123</v>
      </c>
      <c r="B501" t="s">
        <v>81</v>
      </c>
      <c r="C501" s="11">
        <v>2080</v>
      </c>
      <c r="D501">
        <f t="array" ref="D501">_xlfn._xlws.FILTER(_xlfn._xlws.FILTER(Demand!$G$2:$X$66,(Demand!$E$2:$E$66=$A501),""),Demand!$G$1:$X$1=$C501,"")</f>
        <v>11.68127386614956</v>
      </c>
    </row>
    <row r="502" spans="1:4">
      <c r="A502" t="s">
        <v>123</v>
      </c>
      <c r="B502" t="s">
        <v>81</v>
      </c>
      <c r="C502" s="11">
        <v>2085</v>
      </c>
      <c r="D502">
        <f t="array" ref="D502">_xlfn._xlws.FILTER(_xlfn._xlws.FILTER(Demand!$G$2:$X$66,(Demand!$E$2:$E$66=$A502),""),Demand!$G$1:$X$1=$C502,"")</f>
        <v>12.638755330588049</v>
      </c>
    </row>
    <row r="503" spans="1:4">
      <c r="A503" t="s">
        <v>123</v>
      </c>
      <c r="B503" t="s">
        <v>81</v>
      </c>
      <c r="C503" s="11">
        <v>2090</v>
      </c>
      <c r="D503">
        <f t="array" ref="D503">_xlfn._xlws.FILTER(_xlfn._xlws.FILTER(Demand!$G$2:$X$66,(Demand!$E$2:$E$66=$A503),""),Demand!$G$1:$X$1=$C503,"")</f>
        <v>13.59623679502654</v>
      </c>
    </row>
    <row r="504" spans="1:4">
      <c r="A504" t="s">
        <v>123</v>
      </c>
      <c r="B504" t="s">
        <v>81</v>
      </c>
      <c r="C504" s="11">
        <v>2095</v>
      </c>
      <c r="D504">
        <f t="array" ref="D504">_xlfn._xlws.FILTER(_xlfn._xlws.FILTER(Demand!$G$2:$X$66,(Demand!$E$2:$E$66=$A504),""),Demand!$G$1:$X$1=$C504,"")</f>
        <v>14.553718259465031</v>
      </c>
    </row>
    <row r="505" spans="1:4">
      <c r="A505" t="s">
        <v>123</v>
      </c>
      <c r="B505" t="s">
        <v>81</v>
      </c>
      <c r="C505" s="11">
        <v>2100</v>
      </c>
      <c r="D505">
        <f t="array" ref="D505">_xlfn._xlws.FILTER(_xlfn._xlws.FILTER(Demand!$G$2:$X$66,(Demand!$E$2:$E$66=$A505),""),Demand!$G$1:$X$1=$C505,"")</f>
        <v>15.511199723903511</v>
      </c>
    </row>
    <row r="506" spans="1:4">
      <c r="A506" t="s">
        <v>124</v>
      </c>
      <c r="B506" t="s">
        <v>81</v>
      </c>
      <c r="C506" s="11">
        <v>2019</v>
      </c>
      <c r="D506">
        <f t="array" ref="D506">_xlfn._xlws.FILTER(_xlfn._xlws.FILTER(Demand!$G$2:$X$66,(Demand!$E$2:$E$66=$A506),""),Demand!$G$1:$X$1=$C506,"")</f>
        <v>0</v>
      </c>
    </row>
    <row r="507" spans="1:4">
      <c r="A507" t="s">
        <v>124</v>
      </c>
      <c r="B507" t="s">
        <v>81</v>
      </c>
      <c r="C507" s="11">
        <v>2020</v>
      </c>
      <c r="D507">
        <f t="array" ref="D507">_xlfn._xlws.FILTER(_xlfn._xlws.FILTER(Demand!$G$2:$X$66,(Demand!$E$2:$E$66=$A507),""),Demand!$G$1:$X$1=$C507,"")</f>
        <v>7.7479439050969989E-2</v>
      </c>
    </row>
    <row r="508" spans="1:4">
      <c r="A508" t="s">
        <v>124</v>
      </c>
      <c r="B508" t="s">
        <v>81</v>
      </c>
      <c r="C508" s="11">
        <v>2025</v>
      </c>
      <c r="D508">
        <f t="array" ref="D508">_xlfn._xlws.FILTER(_xlfn._xlws.FILTER(Demand!$G$2:$X$66,(Demand!$E$2:$E$66=$A508),""),Demand!$G$1:$X$1=$C508,"")</f>
        <v>0.46487663430581988</v>
      </c>
    </row>
    <row r="509" spans="1:4">
      <c r="A509" t="s">
        <v>124</v>
      </c>
      <c r="B509" t="s">
        <v>81</v>
      </c>
      <c r="C509" s="11">
        <v>2030</v>
      </c>
      <c r="D509">
        <f t="array" ref="D509">_xlfn._xlws.FILTER(_xlfn._xlws.FILTER(Demand!$G$2:$X$66,(Demand!$E$2:$E$66=$A509),""),Demand!$G$1:$X$1=$C509,"")</f>
        <v>0.85227382956066988</v>
      </c>
    </row>
    <row r="510" spans="1:4">
      <c r="A510" t="s">
        <v>124</v>
      </c>
      <c r="B510" t="s">
        <v>81</v>
      </c>
      <c r="C510" s="11">
        <v>2035</v>
      </c>
      <c r="D510">
        <f t="array" ref="D510">_xlfn._xlws.FILTER(_xlfn._xlws.FILTER(Demand!$G$2:$X$66,(Demand!$E$2:$E$66=$A510),""),Demand!$G$1:$X$1=$C510,"")</f>
        <v>1.2396710248155201</v>
      </c>
    </row>
    <row r="511" spans="1:4">
      <c r="A511" t="s">
        <v>124</v>
      </c>
      <c r="B511" t="s">
        <v>81</v>
      </c>
      <c r="C511" s="11">
        <v>2040</v>
      </c>
      <c r="D511">
        <f t="array" ref="D511">_xlfn._xlws.FILTER(_xlfn._xlws.FILTER(Demand!$G$2:$X$66,(Demand!$E$2:$E$66=$A511),""),Demand!$G$1:$X$1=$C511,"")</f>
        <v>1.6270682200703701</v>
      </c>
    </row>
    <row r="512" spans="1:4">
      <c r="A512" t="s">
        <v>124</v>
      </c>
      <c r="B512" t="s">
        <v>81</v>
      </c>
      <c r="C512" s="11">
        <v>2045</v>
      </c>
      <c r="D512">
        <f t="array" ref="D512">_xlfn._xlws.FILTER(_xlfn._xlws.FILTER(Demand!$G$2:$X$66,(Demand!$E$2:$E$66=$A512),""),Demand!$G$1:$X$1=$C512,"")</f>
        <v>2.0144654153252199</v>
      </c>
    </row>
    <row r="513" spans="1:4">
      <c r="A513" t="s">
        <v>124</v>
      </c>
      <c r="B513" t="s">
        <v>81</v>
      </c>
      <c r="C513" s="11">
        <v>2050</v>
      </c>
      <c r="D513">
        <f t="array" ref="D513">_xlfn._xlws.FILTER(_xlfn._xlws.FILTER(Demand!$G$2:$X$66,(Demand!$E$2:$E$66=$A513),""),Demand!$G$1:$X$1=$C513,"")</f>
        <v>2.40186261058007</v>
      </c>
    </row>
    <row r="514" spans="1:4">
      <c r="A514" t="s">
        <v>124</v>
      </c>
      <c r="B514" t="s">
        <v>81</v>
      </c>
      <c r="C514" s="11">
        <v>2055</v>
      </c>
      <c r="D514">
        <f t="array" ref="D514">_xlfn._xlws.FILTER(_xlfn._xlws.FILTER(Demand!$G$2:$X$66,(Demand!$E$2:$E$66=$A514),""),Demand!$G$1:$X$1=$C514,"")</f>
        <v>2.7892598058349201</v>
      </c>
    </row>
    <row r="515" spans="1:4">
      <c r="A515" t="s">
        <v>124</v>
      </c>
      <c r="B515" t="s">
        <v>81</v>
      </c>
      <c r="C515" s="11">
        <v>2060</v>
      </c>
      <c r="D515">
        <f t="array" ref="D515">_xlfn._xlws.FILTER(_xlfn._xlws.FILTER(Demand!$G$2:$X$66,(Demand!$E$2:$E$66=$A515),""),Demand!$G$1:$X$1=$C515,"")</f>
        <v>3.1766570010897701</v>
      </c>
    </row>
    <row r="516" spans="1:4">
      <c r="A516" t="s">
        <v>124</v>
      </c>
      <c r="B516" t="s">
        <v>81</v>
      </c>
      <c r="C516" s="11">
        <v>2065</v>
      </c>
      <c r="D516">
        <f t="array" ref="D516">_xlfn._xlws.FILTER(_xlfn._xlws.FILTER(Demand!$G$2:$X$66,(Demand!$E$2:$E$66=$A516),""),Demand!$G$1:$X$1=$C516,"")</f>
        <v>3.5640541963446202</v>
      </c>
    </row>
    <row r="517" spans="1:4">
      <c r="A517" t="s">
        <v>124</v>
      </c>
      <c r="B517" t="s">
        <v>81</v>
      </c>
      <c r="C517" s="11">
        <v>2070</v>
      </c>
      <c r="D517">
        <f t="array" ref="D517">_xlfn._xlws.FILTER(_xlfn._xlws.FILTER(Demand!$G$2:$X$66,(Demand!$E$2:$E$66=$A517),""),Demand!$G$1:$X$1=$C517,"")</f>
        <v>3.9514513915994698</v>
      </c>
    </row>
    <row r="518" spans="1:4">
      <c r="A518" t="s">
        <v>124</v>
      </c>
      <c r="B518" t="s">
        <v>81</v>
      </c>
      <c r="C518" s="11">
        <v>2075</v>
      </c>
      <c r="D518">
        <f t="array" ref="D518">_xlfn._xlws.FILTER(_xlfn._xlws.FILTER(Demand!$G$2:$X$66,(Demand!$E$2:$E$66=$A518),""),Demand!$G$1:$X$1=$C518,"")</f>
        <v>4.3388485868543203</v>
      </c>
    </row>
    <row r="519" spans="1:4">
      <c r="A519" t="s">
        <v>124</v>
      </c>
      <c r="B519" t="s">
        <v>81</v>
      </c>
      <c r="C519" s="11">
        <v>2080</v>
      </c>
      <c r="D519">
        <f t="array" ref="D519">_xlfn._xlws.FILTER(_xlfn._xlws.FILTER(Demand!$G$2:$X$66,(Demand!$E$2:$E$66=$A519),""),Demand!$G$1:$X$1=$C519,"")</f>
        <v>4.7262457821091699</v>
      </c>
    </row>
    <row r="520" spans="1:4">
      <c r="A520" t="s">
        <v>124</v>
      </c>
      <c r="B520" t="s">
        <v>81</v>
      </c>
      <c r="C520" s="11">
        <v>2085</v>
      </c>
      <c r="D520">
        <f t="array" ref="D520">_xlfn._xlws.FILTER(_xlfn._xlws.FILTER(Demand!$G$2:$X$66,(Demand!$E$2:$E$66=$A520),""),Demand!$G$1:$X$1=$C520,"")</f>
        <v>5.1136429773640204</v>
      </c>
    </row>
    <row r="521" spans="1:4">
      <c r="A521" t="s">
        <v>124</v>
      </c>
      <c r="B521" t="s">
        <v>81</v>
      </c>
      <c r="C521" s="11">
        <v>2090</v>
      </c>
      <c r="D521">
        <f t="array" ref="D521">_xlfn._xlws.FILTER(_xlfn._xlws.FILTER(Demand!$G$2:$X$66,(Demand!$E$2:$E$66=$A521),""),Demand!$G$1:$X$1=$C521,"")</f>
        <v>5.5010401726188691</v>
      </c>
    </row>
    <row r="522" spans="1:4">
      <c r="A522" t="s">
        <v>124</v>
      </c>
      <c r="B522" t="s">
        <v>81</v>
      </c>
      <c r="C522" s="11">
        <v>2095</v>
      </c>
      <c r="D522">
        <f t="array" ref="D522">_xlfn._xlws.FILTER(_xlfn._xlws.FILTER(Demand!$G$2:$X$66,(Demand!$E$2:$E$66=$A522),""),Demand!$G$1:$X$1=$C522,"")</f>
        <v>5.8884373678737187</v>
      </c>
    </row>
    <row r="523" spans="1:4">
      <c r="A523" t="s">
        <v>124</v>
      </c>
      <c r="B523" t="s">
        <v>81</v>
      </c>
      <c r="C523" s="11">
        <v>2100</v>
      </c>
      <c r="D523">
        <f t="array" ref="D523">_xlfn._xlws.FILTER(_xlfn._xlws.FILTER(Demand!$G$2:$X$66,(Demand!$E$2:$E$66=$A523),""),Demand!$G$1:$X$1=$C523,"")</f>
        <v>6.2758345631285684</v>
      </c>
    </row>
    <row r="524" spans="1:4">
      <c r="A524" t="s">
        <v>125</v>
      </c>
      <c r="B524" t="s">
        <v>81</v>
      </c>
      <c r="C524" s="11">
        <v>2019</v>
      </c>
      <c r="D524">
        <f t="array" ref="D524">_xlfn._xlws.FILTER(_xlfn._xlws.FILTER(Demand!$G$2:$X$66,(Demand!$E$2:$E$66=$A524),""),Demand!$G$1:$X$1=$C524,"")</f>
        <v>0</v>
      </c>
    </row>
    <row r="525" spans="1:4">
      <c r="A525" t="s">
        <v>125</v>
      </c>
      <c r="B525" t="s">
        <v>81</v>
      </c>
      <c r="C525" s="11">
        <v>2020</v>
      </c>
      <c r="D525">
        <f t="array" ref="D525">_xlfn._xlws.FILTER(_xlfn._xlws.FILTER(Demand!$G$2:$X$66,(Demand!$E$2:$E$66=$A525),""),Demand!$G$1:$X$1=$C525,"")</f>
        <v>9.5936072148351009E-2</v>
      </c>
    </row>
    <row r="526" spans="1:4">
      <c r="A526" t="s">
        <v>125</v>
      </c>
      <c r="B526" t="s">
        <v>81</v>
      </c>
      <c r="C526" s="11">
        <v>2025</v>
      </c>
      <c r="D526">
        <f t="array" ref="D526">_xlfn._xlws.FILTER(_xlfn._xlws.FILTER(Demand!$G$2:$X$66,(Demand!$E$2:$E$66=$A526),""),Demand!$G$1:$X$1=$C526,"")</f>
        <v>0.575616432890106</v>
      </c>
    </row>
    <row r="527" spans="1:4">
      <c r="A527" t="s">
        <v>125</v>
      </c>
      <c r="B527" t="s">
        <v>81</v>
      </c>
      <c r="C527" s="11">
        <v>2030</v>
      </c>
      <c r="D527">
        <f t="array" ref="D527">_xlfn._xlws.FILTER(_xlfn._xlws.FILTER(Demand!$G$2:$X$66,(Demand!$E$2:$E$66=$A527),""),Demand!$G$1:$X$1=$C527,"")</f>
        <v>1.0552967936318609</v>
      </c>
    </row>
    <row r="528" spans="1:4">
      <c r="A528" t="s">
        <v>125</v>
      </c>
      <c r="B528" t="s">
        <v>81</v>
      </c>
      <c r="C528" s="11">
        <v>2035</v>
      </c>
      <c r="D528">
        <f t="array" ref="D528">_xlfn._xlws.FILTER(_xlfn._xlws.FILTER(Demand!$G$2:$X$66,(Demand!$E$2:$E$66=$A528),""),Demand!$G$1:$X$1=$C528,"")</f>
        <v>1.5349771543736159</v>
      </c>
    </row>
    <row r="529" spans="1:4">
      <c r="A529" t="s">
        <v>125</v>
      </c>
      <c r="B529" t="s">
        <v>81</v>
      </c>
      <c r="C529" s="11">
        <v>2040</v>
      </c>
      <c r="D529">
        <f t="array" ref="D529">_xlfn._xlws.FILTER(_xlfn._xlws.FILTER(Demand!$G$2:$X$66,(Demand!$E$2:$E$66=$A529),""),Demand!$G$1:$X$1=$C529,"")</f>
        <v>2.0146575151153709</v>
      </c>
    </row>
    <row r="530" spans="1:4">
      <c r="A530" t="s">
        <v>125</v>
      </c>
      <c r="B530" t="s">
        <v>81</v>
      </c>
      <c r="C530" s="11">
        <v>2045</v>
      </c>
      <c r="D530">
        <f t="array" ref="D530">_xlfn._xlws.FILTER(_xlfn._xlws.FILTER(Demand!$G$2:$X$66,(Demand!$E$2:$E$66=$A530),""),Demand!$G$1:$X$1=$C530,"")</f>
        <v>2.4943378758571262</v>
      </c>
    </row>
    <row r="531" spans="1:4">
      <c r="A531" t="s">
        <v>125</v>
      </c>
      <c r="B531" t="s">
        <v>81</v>
      </c>
      <c r="C531" s="11">
        <v>2050</v>
      </c>
      <c r="D531">
        <f t="array" ref="D531">_xlfn._xlws.FILTER(_xlfn._xlws.FILTER(Demand!$G$2:$X$66,(Demand!$E$2:$E$66=$A531),""),Demand!$G$1:$X$1=$C531,"")</f>
        <v>2.974018236598881</v>
      </c>
    </row>
    <row r="532" spans="1:4">
      <c r="A532" t="s">
        <v>125</v>
      </c>
      <c r="B532" t="s">
        <v>81</v>
      </c>
      <c r="C532" s="11">
        <v>2055</v>
      </c>
      <c r="D532">
        <f t="array" ref="D532">_xlfn._xlws.FILTER(_xlfn._xlws.FILTER(Demand!$G$2:$X$66,(Demand!$E$2:$E$66=$A532),""),Demand!$G$1:$X$1=$C532,"")</f>
        <v>3.4536985973406358</v>
      </c>
    </row>
    <row r="533" spans="1:4">
      <c r="A533" t="s">
        <v>125</v>
      </c>
      <c r="B533" t="s">
        <v>81</v>
      </c>
      <c r="C533" s="11">
        <v>2060</v>
      </c>
      <c r="D533">
        <f t="array" ref="D533">_xlfn._xlws.FILTER(_xlfn._xlws.FILTER(Demand!$G$2:$X$66,(Demand!$E$2:$E$66=$A533),""),Demand!$G$1:$X$1=$C533,"")</f>
        <v>3.933378958082391</v>
      </c>
    </row>
    <row r="534" spans="1:4">
      <c r="A534" t="s">
        <v>125</v>
      </c>
      <c r="B534" t="s">
        <v>81</v>
      </c>
      <c r="C534" s="11">
        <v>2065</v>
      </c>
      <c r="D534">
        <f t="array" ref="D534">_xlfn._xlws.FILTER(_xlfn._xlws.FILTER(Demand!$G$2:$X$66,(Demand!$E$2:$E$66=$A534),""),Demand!$G$1:$X$1=$C534,"")</f>
        <v>4.4130593188241454</v>
      </c>
    </row>
    <row r="535" spans="1:4">
      <c r="A535" t="s">
        <v>125</v>
      </c>
      <c r="B535" t="s">
        <v>81</v>
      </c>
      <c r="C535" s="11">
        <v>2070</v>
      </c>
      <c r="D535">
        <f t="array" ref="D535">_xlfn._xlws.FILTER(_xlfn._xlws.FILTER(Demand!$G$2:$X$66,(Demand!$E$2:$E$66=$A535),""),Demand!$G$1:$X$1=$C535,"")</f>
        <v>4.8927396795659002</v>
      </c>
    </row>
    <row r="536" spans="1:4">
      <c r="A536" t="s">
        <v>125</v>
      </c>
      <c r="B536" t="s">
        <v>81</v>
      </c>
      <c r="C536" s="11">
        <v>2075</v>
      </c>
      <c r="D536">
        <f t="array" ref="D536">_xlfn._xlws.FILTER(_xlfn._xlws.FILTER(Demand!$G$2:$X$66,(Demand!$E$2:$E$66=$A536),""),Demand!$G$1:$X$1=$C536,"")</f>
        <v>5.372420040307655</v>
      </c>
    </row>
    <row r="537" spans="1:4">
      <c r="A537" t="s">
        <v>125</v>
      </c>
      <c r="B537" t="s">
        <v>81</v>
      </c>
      <c r="C537" s="11">
        <v>2080</v>
      </c>
      <c r="D537">
        <f t="array" ref="D537">_xlfn._xlws.FILTER(_xlfn._xlws.FILTER(Demand!$G$2:$X$66,(Demand!$E$2:$E$66=$A537),""),Demand!$G$1:$X$1=$C537,"")</f>
        <v>5.8521004010494098</v>
      </c>
    </row>
    <row r="538" spans="1:4">
      <c r="A538" t="s">
        <v>125</v>
      </c>
      <c r="B538" t="s">
        <v>81</v>
      </c>
      <c r="C538" s="11">
        <v>2085</v>
      </c>
      <c r="D538">
        <f t="array" ref="D538">_xlfn._xlws.FILTER(_xlfn._xlws.FILTER(Demand!$G$2:$X$66,(Demand!$E$2:$E$66=$A538),""),Demand!$G$1:$X$1=$C538,"")</f>
        <v>6.3317807617911646</v>
      </c>
    </row>
    <row r="539" spans="1:4">
      <c r="A539" t="s">
        <v>125</v>
      </c>
      <c r="B539" t="s">
        <v>81</v>
      </c>
      <c r="C539" s="11">
        <v>2090</v>
      </c>
      <c r="D539">
        <f t="array" ref="D539">_xlfn._xlws.FILTER(_xlfn._xlws.FILTER(Demand!$G$2:$X$66,(Demand!$E$2:$E$66=$A539),""),Demand!$G$1:$X$1=$C539,"")</f>
        <v>6.8114611225329194</v>
      </c>
    </row>
    <row r="540" spans="1:4">
      <c r="A540" t="s">
        <v>125</v>
      </c>
      <c r="B540" t="s">
        <v>81</v>
      </c>
      <c r="C540" s="11">
        <v>2095</v>
      </c>
      <c r="D540">
        <f t="array" ref="D540">_xlfn._xlws.FILTER(_xlfn._xlws.FILTER(Demand!$G$2:$X$66,(Demand!$E$2:$E$66=$A540),""),Demand!$G$1:$X$1=$C540,"")</f>
        <v>7.2911414832746742</v>
      </c>
    </row>
    <row r="541" spans="1:4">
      <c r="A541" t="s">
        <v>125</v>
      </c>
      <c r="B541" t="s">
        <v>81</v>
      </c>
      <c r="C541" s="11">
        <v>2100</v>
      </c>
      <c r="D541">
        <f t="array" ref="D541">_xlfn._xlws.FILTER(_xlfn._xlws.FILTER(Demand!$G$2:$X$66,(Demand!$E$2:$E$66=$A541),""),Demand!$G$1:$X$1=$C541,"")</f>
        <v>7.7708218440164289</v>
      </c>
    </row>
    <row r="542" spans="1:4">
      <c r="A542" t="s">
        <v>126</v>
      </c>
      <c r="B542" t="s">
        <v>81</v>
      </c>
      <c r="C542" s="11">
        <v>2019</v>
      </c>
      <c r="D542">
        <f t="array" ref="D542">_xlfn._xlws.FILTER(_xlfn._xlws.FILTER(Demand!$G$2:$X$66,(Demand!$E$2:$E$66=$A542),""),Demand!$G$1:$X$1=$C542,"")</f>
        <v>0</v>
      </c>
    </row>
    <row r="543" spans="1:4">
      <c r="A543" t="s">
        <v>126</v>
      </c>
      <c r="B543" t="s">
        <v>81</v>
      </c>
      <c r="C543" s="11">
        <v>2020</v>
      </c>
      <c r="D543">
        <f t="array" ref="D543">_xlfn._xlws.FILTER(_xlfn._xlws.FILTER(Demand!$G$2:$X$66,(Demand!$E$2:$E$66=$A543),""),Demand!$G$1:$X$1=$C543,"")</f>
        <v>0.33199358690427477</v>
      </c>
    </row>
    <row r="544" spans="1:4">
      <c r="A544" t="s">
        <v>126</v>
      </c>
      <c r="B544" t="s">
        <v>81</v>
      </c>
      <c r="C544" s="11">
        <v>2025</v>
      </c>
      <c r="D544">
        <f t="array" ref="D544">_xlfn._xlws.FILTER(_xlfn._xlws.FILTER(Demand!$G$2:$X$66,(Demand!$E$2:$E$66=$A544),""),Demand!$G$1:$X$1=$C544,"")</f>
        <v>1.991961521425649</v>
      </c>
    </row>
    <row r="545" spans="1:4">
      <c r="A545" t="s">
        <v>126</v>
      </c>
      <c r="B545" t="s">
        <v>81</v>
      </c>
      <c r="C545" s="11">
        <v>2030</v>
      </c>
      <c r="D545">
        <f t="array" ref="D545">_xlfn._xlws.FILTER(_xlfn._xlws.FILTER(Demand!$G$2:$X$66,(Demand!$E$2:$E$66=$A545),""),Demand!$G$1:$X$1=$C545,"")</f>
        <v>3.6519294559470228</v>
      </c>
    </row>
    <row r="546" spans="1:4">
      <c r="A546" t="s">
        <v>126</v>
      </c>
      <c r="B546" t="s">
        <v>81</v>
      </c>
      <c r="C546" s="11">
        <v>2035</v>
      </c>
      <c r="D546">
        <f t="array" ref="D546">_xlfn._xlws.FILTER(_xlfn._xlws.FILTER(Demand!$G$2:$X$66,(Demand!$E$2:$E$66=$A546),""),Demand!$G$1:$X$1=$C546,"")</f>
        <v>5.3118973904683973</v>
      </c>
    </row>
    <row r="547" spans="1:4">
      <c r="A547" t="s">
        <v>126</v>
      </c>
      <c r="B547" t="s">
        <v>81</v>
      </c>
      <c r="C547" s="11">
        <v>2040</v>
      </c>
      <c r="D547">
        <f t="array" ref="D547">_xlfn._xlws.FILTER(_xlfn._xlws.FILTER(Demand!$G$2:$X$66,(Demand!$E$2:$E$66=$A547),""),Demand!$G$1:$X$1=$C547,"")</f>
        <v>6.9718653249897713</v>
      </c>
    </row>
    <row r="548" spans="1:4">
      <c r="A548" t="s">
        <v>126</v>
      </c>
      <c r="B548" t="s">
        <v>81</v>
      </c>
      <c r="C548" s="11">
        <v>2045</v>
      </c>
      <c r="D548">
        <f t="array" ref="D548">_xlfn._xlws.FILTER(_xlfn._xlws.FILTER(Demand!$G$2:$X$66,(Demand!$E$2:$E$66=$A548),""),Demand!$G$1:$X$1=$C548,"")</f>
        <v>8.6318332595111453</v>
      </c>
    </row>
    <row r="549" spans="1:4">
      <c r="A549" t="s">
        <v>126</v>
      </c>
      <c r="B549" t="s">
        <v>81</v>
      </c>
      <c r="C549" s="11">
        <v>2050</v>
      </c>
      <c r="D549">
        <f t="array" ref="D549">_xlfn._xlws.FILTER(_xlfn._xlws.FILTER(Demand!$G$2:$X$66,(Demand!$E$2:$E$66=$A549),""),Demand!$G$1:$X$1=$C549,"")</f>
        <v>10.291801194032519</v>
      </c>
    </row>
    <row r="550" spans="1:4">
      <c r="A550" t="s">
        <v>126</v>
      </c>
      <c r="B550" t="s">
        <v>81</v>
      </c>
      <c r="C550" s="11">
        <v>2055</v>
      </c>
      <c r="D550">
        <f t="array" ref="D550">_xlfn._xlws.FILTER(_xlfn._xlws.FILTER(Demand!$G$2:$X$66,(Demand!$E$2:$E$66=$A550),""),Demand!$G$1:$X$1=$C550,"")</f>
        <v>11.95176912855389</v>
      </c>
    </row>
    <row r="551" spans="1:4">
      <c r="A551" t="s">
        <v>126</v>
      </c>
      <c r="B551" t="s">
        <v>81</v>
      </c>
      <c r="C551" s="11">
        <v>2060</v>
      </c>
      <c r="D551">
        <f t="array" ref="D551">_xlfn._xlws.FILTER(_xlfn._xlws.FILTER(Demand!$G$2:$X$66,(Demand!$E$2:$E$66=$A551),""),Demand!$G$1:$X$1=$C551,"")</f>
        <v>13.611737063075269</v>
      </c>
    </row>
    <row r="552" spans="1:4">
      <c r="A552" t="s">
        <v>126</v>
      </c>
      <c r="B552" t="s">
        <v>81</v>
      </c>
      <c r="C552" s="11">
        <v>2065</v>
      </c>
      <c r="D552">
        <f t="array" ref="D552">_xlfn._xlws.FILTER(_xlfn._xlws.FILTER(Demand!$G$2:$X$66,(Demand!$E$2:$E$66=$A552),""),Demand!$G$1:$X$1=$C552,"")</f>
        <v>15.27170499759664</v>
      </c>
    </row>
    <row r="553" spans="1:4">
      <c r="A553" t="s">
        <v>126</v>
      </c>
      <c r="B553" t="s">
        <v>81</v>
      </c>
      <c r="C553" s="11">
        <v>2070</v>
      </c>
      <c r="D553">
        <f t="array" ref="D553">_xlfn._xlws.FILTER(_xlfn._xlws.FILTER(Demand!$G$2:$X$66,(Demand!$E$2:$E$66=$A553),""),Demand!$G$1:$X$1=$C553,"")</f>
        <v>16.931672932118019</v>
      </c>
    </row>
    <row r="554" spans="1:4">
      <c r="A554" t="s">
        <v>126</v>
      </c>
      <c r="B554" t="s">
        <v>81</v>
      </c>
      <c r="C554" s="11">
        <v>2075</v>
      </c>
      <c r="D554">
        <f t="array" ref="D554">_xlfn._xlws.FILTER(_xlfn._xlws.FILTER(Demand!$G$2:$X$66,(Demand!$E$2:$E$66=$A554),""),Demand!$G$1:$X$1=$C554,"")</f>
        <v>18.591640866639391</v>
      </c>
    </row>
    <row r="555" spans="1:4">
      <c r="A555" t="s">
        <v>126</v>
      </c>
      <c r="B555" t="s">
        <v>81</v>
      </c>
      <c r="C555" s="11">
        <v>2080</v>
      </c>
      <c r="D555">
        <f t="array" ref="D555">_xlfn._xlws.FILTER(_xlfn._xlws.FILTER(Demand!$G$2:$X$66,(Demand!$E$2:$E$66=$A555),""),Demand!$G$1:$X$1=$C555,"")</f>
        <v>20.25160880116076</v>
      </c>
    </row>
    <row r="556" spans="1:4">
      <c r="A556" t="s">
        <v>126</v>
      </c>
      <c r="B556" t="s">
        <v>81</v>
      </c>
      <c r="C556" s="11">
        <v>2085</v>
      </c>
      <c r="D556">
        <f t="array" ref="D556">_xlfn._xlws.FILTER(_xlfn._xlws.FILTER(Demand!$G$2:$X$66,(Demand!$E$2:$E$66=$A556),""),Demand!$G$1:$X$1=$C556,"")</f>
        <v>21.911576735682139</v>
      </c>
    </row>
    <row r="557" spans="1:4">
      <c r="A557" t="s">
        <v>126</v>
      </c>
      <c r="B557" t="s">
        <v>81</v>
      </c>
      <c r="C557" s="11">
        <v>2090</v>
      </c>
      <c r="D557">
        <f t="array" ref="D557">_xlfn._xlws.FILTER(_xlfn._xlws.FILTER(Demand!$G$2:$X$66,(Demand!$E$2:$E$66=$A557),""),Demand!$G$1:$X$1=$C557,"")</f>
        <v>23.571544670203519</v>
      </c>
    </row>
    <row r="558" spans="1:4">
      <c r="A558" t="s">
        <v>126</v>
      </c>
      <c r="B558" t="s">
        <v>81</v>
      </c>
      <c r="C558" s="11">
        <v>2095</v>
      </c>
      <c r="D558">
        <f t="array" ref="D558">_xlfn._xlws.FILTER(_xlfn._xlws.FILTER(Demand!$G$2:$X$66,(Demand!$E$2:$E$66=$A558),""),Demand!$G$1:$X$1=$C558,"")</f>
        <v>25.231512604724891</v>
      </c>
    </row>
    <row r="559" spans="1:4">
      <c r="A559" t="s">
        <v>126</v>
      </c>
      <c r="B559" t="s">
        <v>81</v>
      </c>
      <c r="C559" s="11">
        <v>2100</v>
      </c>
      <c r="D559">
        <f t="array" ref="D559">_xlfn._xlws.FILTER(_xlfn._xlws.FILTER(Demand!$G$2:$X$66,(Demand!$E$2:$E$66=$A559),""),Demand!$G$1:$X$1=$C559,"")</f>
        <v>26.89148053924627</v>
      </c>
    </row>
    <row r="560" spans="1:4">
      <c r="A560" t="s">
        <v>127</v>
      </c>
      <c r="B560" t="s">
        <v>81</v>
      </c>
      <c r="C560" s="11">
        <v>2019</v>
      </c>
      <c r="D560">
        <f t="array" ref="D560">_xlfn._xlws.FILTER(_xlfn._xlws.FILTER(Demand!$G$2:$X$66,(Demand!$E$2:$E$66=$A560),""),Demand!$G$1:$X$1=$C560,"")</f>
        <v>0</v>
      </c>
    </row>
    <row r="561" spans="1:4">
      <c r="A561" t="s">
        <v>127</v>
      </c>
      <c r="B561" t="s">
        <v>81</v>
      </c>
      <c r="C561" s="11">
        <v>2020</v>
      </c>
      <c r="D561">
        <f t="array" ref="D561">_xlfn._xlws.FILTER(_xlfn._xlws.FILTER(Demand!$G$2:$X$66,(Demand!$E$2:$E$66=$A561),""),Demand!$G$1:$X$1=$C561,"")</f>
        <v>0.48276025423220698</v>
      </c>
    </row>
    <row r="562" spans="1:4">
      <c r="A562" t="s">
        <v>127</v>
      </c>
      <c r="B562" t="s">
        <v>81</v>
      </c>
      <c r="C562" s="11">
        <v>2025</v>
      </c>
      <c r="D562">
        <f t="array" ref="D562">_xlfn._xlws.FILTER(_xlfn._xlws.FILTER(Demand!$G$2:$X$66,(Demand!$E$2:$E$66=$A562),""),Demand!$G$1:$X$1=$C562,"")</f>
        <v>2.896561525393242</v>
      </c>
    </row>
    <row r="563" spans="1:4">
      <c r="A563" t="s">
        <v>127</v>
      </c>
      <c r="B563" t="s">
        <v>81</v>
      </c>
      <c r="C563" s="11">
        <v>2030</v>
      </c>
      <c r="D563">
        <f t="array" ref="D563">_xlfn._xlws.FILTER(_xlfn._xlws.FILTER(Demand!$G$2:$X$66,(Demand!$E$2:$E$66=$A563),""),Demand!$G$1:$X$1=$C563,"")</f>
        <v>5.3103627965542781</v>
      </c>
    </row>
    <row r="564" spans="1:4">
      <c r="A564" t="s">
        <v>127</v>
      </c>
      <c r="B564" t="s">
        <v>81</v>
      </c>
      <c r="C564" s="11">
        <v>2035</v>
      </c>
      <c r="D564">
        <f t="array" ref="D564">_xlfn._xlws.FILTER(_xlfn._xlws.FILTER(Demand!$G$2:$X$66,(Demand!$E$2:$E$66=$A564),""),Demand!$G$1:$X$1=$C564,"")</f>
        <v>7.7241640677153134</v>
      </c>
    </row>
    <row r="565" spans="1:4">
      <c r="A565" t="s">
        <v>127</v>
      </c>
      <c r="B565" t="s">
        <v>81</v>
      </c>
      <c r="C565" s="11">
        <v>2040</v>
      </c>
      <c r="D565">
        <f t="array" ref="D565">_xlfn._xlws.FILTER(_xlfn._xlws.FILTER(Demand!$G$2:$X$66,(Demand!$E$2:$E$66=$A565),""),Demand!$G$1:$X$1=$C565,"")</f>
        <v>10.13796533887635</v>
      </c>
    </row>
    <row r="566" spans="1:4">
      <c r="A566" t="s">
        <v>127</v>
      </c>
      <c r="B566" t="s">
        <v>81</v>
      </c>
      <c r="C566" s="11">
        <v>2045</v>
      </c>
      <c r="D566">
        <f t="array" ref="D566">_xlfn._xlws.FILTER(_xlfn._xlws.FILTER(Demand!$G$2:$X$66,(Demand!$E$2:$E$66=$A566),""),Demand!$G$1:$X$1=$C566,"")</f>
        <v>12.551766610037379</v>
      </c>
    </row>
    <row r="567" spans="1:4">
      <c r="A567" t="s">
        <v>127</v>
      </c>
      <c r="B567" t="s">
        <v>81</v>
      </c>
      <c r="C567" s="11">
        <v>2050</v>
      </c>
      <c r="D567">
        <f t="array" ref="D567">_xlfn._xlws.FILTER(_xlfn._xlws.FILTER(Demand!$G$2:$X$66,(Demand!$E$2:$E$66=$A567),""),Demand!$G$1:$X$1=$C567,"")</f>
        <v>14.965567881198419</v>
      </c>
    </row>
    <row r="568" spans="1:4">
      <c r="A568" t="s">
        <v>127</v>
      </c>
      <c r="B568" t="s">
        <v>81</v>
      </c>
      <c r="C568" s="11">
        <v>2055</v>
      </c>
      <c r="D568">
        <f t="array" ref="D568">_xlfn._xlws.FILTER(_xlfn._xlws.FILTER(Demand!$G$2:$X$66,(Demand!$E$2:$E$66=$A568),""),Demand!$G$1:$X$1=$C568,"")</f>
        <v>17.379369152359448</v>
      </c>
    </row>
    <row r="569" spans="1:4">
      <c r="A569" t="s">
        <v>127</v>
      </c>
      <c r="B569" t="s">
        <v>81</v>
      </c>
      <c r="C569" s="11">
        <v>2060</v>
      </c>
      <c r="D569">
        <f t="array" ref="D569">_xlfn._xlws.FILTER(_xlfn._xlws.FILTER(Demand!$G$2:$X$66,(Demand!$E$2:$E$66=$A569),""),Demand!$G$1:$X$1=$C569,"")</f>
        <v>19.79317042352049</v>
      </c>
    </row>
    <row r="570" spans="1:4">
      <c r="A570" t="s">
        <v>127</v>
      </c>
      <c r="B570" t="s">
        <v>81</v>
      </c>
      <c r="C570" s="11">
        <v>2065</v>
      </c>
      <c r="D570">
        <f t="array" ref="D570">_xlfn._xlws.FILTER(_xlfn._xlws.FILTER(Demand!$G$2:$X$66,(Demand!$E$2:$E$66=$A570),""),Demand!$G$1:$X$1=$C570,"")</f>
        <v>22.206971694681521</v>
      </c>
    </row>
    <row r="571" spans="1:4">
      <c r="A571" t="s">
        <v>127</v>
      </c>
      <c r="B571" t="s">
        <v>81</v>
      </c>
      <c r="C571" s="11">
        <v>2070</v>
      </c>
      <c r="D571">
        <f t="array" ref="D571">_xlfn._xlws.FILTER(_xlfn._xlws.FILTER(Demand!$G$2:$X$66,(Demand!$E$2:$E$66=$A571),""),Demand!$G$1:$X$1=$C571,"")</f>
        <v>24.620772965842551</v>
      </c>
    </row>
    <row r="572" spans="1:4">
      <c r="A572" t="s">
        <v>127</v>
      </c>
      <c r="B572" t="s">
        <v>81</v>
      </c>
      <c r="C572" s="11">
        <v>2075</v>
      </c>
      <c r="D572">
        <f t="array" ref="D572">_xlfn._xlws.FILTER(_xlfn._xlws.FILTER(Demand!$G$2:$X$66,(Demand!$E$2:$E$66=$A572),""),Demand!$G$1:$X$1=$C572,"")</f>
        <v>27.034574237003589</v>
      </c>
    </row>
    <row r="573" spans="1:4">
      <c r="A573" t="s">
        <v>127</v>
      </c>
      <c r="B573" t="s">
        <v>81</v>
      </c>
      <c r="C573" s="11">
        <v>2080</v>
      </c>
      <c r="D573">
        <f t="array" ref="D573">_xlfn._xlws.FILTER(_xlfn._xlws.FILTER(Demand!$G$2:$X$66,(Demand!$E$2:$E$66=$A573),""),Demand!$G$1:$X$1=$C573,"")</f>
        <v>29.44837550816462</v>
      </c>
    </row>
    <row r="574" spans="1:4">
      <c r="A574" t="s">
        <v>127</v>
      </c>
      <c r="B574" t="s">
        <v>81</v>
      </c>
      <c r="C574" s="11">
        <v>2085</v>
      </c>
      <c r="D574">
        <f t="array" ref="D574">_xlfn._xlws.FILTER(_xlfn._xlws.FILTER(Demand!$G$2:$X$66,(Demand!$E$2:$E$66=$A574),""),Demand!$G$1:$X$1=$C574,"")</f>
        <v>31.862176779325662</v>
      </c>
    </row>
    <row r="575" spans="1:4">
      <c r="A575" t="s">
        <v>127</v>
      </c>
      <c r="B575" t="s">
        <v>81</v>
      </c>
      <c r="C575" s="11">
        <v>2090</v>
      </c>
      <c r="D575">
        <f t="array" ref="D575">_xlfn._xlws.FILTER(_xlfn._xlws.FILTER(Demand!$G$2:$X$66,(Demand!$E$2:$E$66=$A575),""),Demand!$G$1:$X$1=$C575,"")</f>
        <v>34.275978050486692</v>
      </c>
    </row>
    <row r="576" spans="1:4">
      <c r="A576" t="s">
        <v>127</v>
      </c>
      <c r="B576" t="s">
        <v>81</v>
      </c>
      <c r="C576" s="11">
        <v>2095</v>
      </c>
      <c r="D576">
        <f t="array" ref="D576">_xlfn._xlws.FILTER(_xlfn._xlws.FILTER(Demand!$G$2:$X$66,(Demand!$E$2:$E$66=$A576),""),Demand!$G$1:$X$1=$C576,"")</f>
        <v>36.689779321647727</v>
      </c>
    </row>
    <row r="577" spans="1:4">
      <c r="A577" t="s">
        <v>127</v>
      </c>
      <c r="B577" t="s">
        <v>81</v>
      </c>
      <c r="C577" s="11">
        <v>2100</v>
      </c>
      <c r="D577">
        <f t="array" ref="D577">_xlfn._xlws.FILTER(_xlfn._xlws.FILTER(Demand!$G$2:$X$66,(Demand!$E$2:$E$66=$A577),""),Demand!$G$1:$X$1=$C577,"")</f>
        <v>39.103580592808761</v>
      </c>
    </row>
    <row r="578" spans="1:4">
      <c r="A578" t="s">
        <v>130</v>
      </c>
      <c r="B578" t="s">
        <v>131</v>
      </c>
      <c r="C578" s="11">
        <v>2019</v>
      </c>
      <c r="D578">
        <f t="array" ref="D578">_xlfn._xlws.FILTER(_xlfn._xlws.FILTER(Demand!$G$2:$X$66,(Demand!$E$2:$E$66=$A578),""),Demand!$G$1:$X$1=$C578,"")</f>
        <v>66716.460830940399</v>
      </c>
    </row>
    <row r="579" spans="1:4">
      <c r="A579" t="s">
        <v>130</v>
      </c>
      <c r="B579" t="s">
        <v>131</v>
      </c>
      <c r="C579" s="11">
        <v>2020</v>
      </c>
      <c r="D579">
        <f t="array" ref="D579">_xlfn._xlws.FILTER(_xlfn._xlws.FILTER(Demand!$G$2:$X$66,(Demand!$E$2:$E$66=$A579),""),Demand!$G$1:$X$1=$C579,"")</f>
        <v>68050.790047559203</v>
      </c>
    </row>
    <row r="580" spans="1:4">
      <c r="A580" t="s">
        <v>130</v>
      </c>
      <c r="B580" t="s">
        <v>131</v>
      </c>
      <c r="C580" s="11">
        <v>2025</v>
      </c>
      <c r="D580">
        <f t="array" ref="D580">_xlfn._xlws.FILTER(_xlfn._xlws.FILTER(Demand!$G$2:$X$66,(Demand!$E$2:$E$66=$A580),""),Demand!$G$1:$X$1=$C580,"")</f>
        <v>74855.869052315131</v>
      </c>
    </row>
    <row r="581" spans="1:4">
      <c r="A581" t="s">
        <v>130</v>
      </c>
      <c r="B581" t="s">
        <v>131</v>
      </c>
      <c r="C581" s="11">
        <v>2030</v>
      </c>
      <c r="D581">
        <f t="array" ref="D581">_xlfn._xlws.FILTER(_xlfn._xlws.FILTER(Demand!$G$2:$X$66,(Demand!$E$2:$E$66=$A581),""),Demand!$G$1:$X$1=$C581,"")</f>
        <v>82341.455957546656</v>
      </c>
    </row>
    <row r="582" spans="1:4">
      <c r="A582" t="s">
        <v>130</v>
      </c>
      <c r="B582" t="s">
        <v>131</v>
      </c>
      <c r="C582" s="11">
        <v>2035</v>
      </c>
      <c r="D582">
        <f t="array" ref="D582">_xlfn._xlws.FILTER(_xlfn._xlws.FILTER(Demand!$G$2:$X$66,(Demand!$E$2:$E$66=$A582),""),Demand!$G$1:$X$1=$C582,"")</f>
        <v>90575.601553301327</v>
      </c>
    </row>
    <row r="583" spans="1:4">
      <c r="A583" t="s">
        <v>130</v>
      </c>
      <c r="B583" t="s">
        <v>131</v>
      </c>
      <c r="C583" s="11">
        <v>2040</v>
      </c>
      <c r="D583">
        <f t="array" ref="D583">_xlfn._xlws.FILTER(_xlfn._xlws.FILTER(Demand!$G$2:$X$66,(Demand!$E$2:$E$66=$A583),""),Demand!$G$1:$X$1=$C583,"")</f>
        <v>99633.161708631465</v>
      </c>
    </row>
    <row r="584" spans="1:4">
      <c r="A584" t="s">
        <v>130</v>
      </c>
      <c r="B584" t="s">
        <v>131</v>
      </c>
      <c r="C584" s="11">
        <v>2045</v>
      </c>
      <c r="D584">
        <f t="array" ref="D584">_xlfn._xlws.FILTER(_xlfn._xlws.FILTER(Demand!$G$2:$X$66,(Demand!$E$2:$E$66=$A584),""),Demand!$G$1:$X$1=$C584,"")</f>
        <v>109596.4778794946</v>
      </c>
    </row>
    <row r="585" spans="1:4">
      <c r="A585" t="s">
        <v>130</v>
      </c>
      <c r="B585" t="s">
        <v>131</v>
      </c>
      <c r="C585" s="11">
        <v>2050</v>
      </c>
      <c r="D585">
        <f t="array" ref="D585">_xlfn._xlws.FILTER(_xlfn._xlws.FILTER(Demand!$G$2:$X$66,(Demand!$E$2:$E$66=$A585),""),Demand!$G$1:$X$1=$C585,"")</f>
        <v>120556.1256674441</v>
      </c>
    </row>
    <row r="586" spans="1:4">
      <c r="A586" t="s">
        <v>130</v>
      </c>
      <c r="B586" t="s">
        <v>131</v>
      </c>
      <c r="C586" s="11">
        <v>2055</v>
      </c>
      <c r="D586">
        <f t="array" ref="D586">_xlfn._xlws.FILTER(_xlfn._xlws.FILTER(Demand!$G$2:$X$66,(Demand!$E$2:$E$66=$A586),""),Demand!$G$1:$X$1=$C586,"")</f>
        <v>132611.73823418849</v>
      </c>
    </row>
    <row r="587" spans="1:4">
      <c r="A587" t="s">
        <v>130</v>
      </c>
      <c r="B587" t="s">
        <v>131</v>
      </c>
      <c r="C587" s="11">
        <v>2060</v>
      </c>
      <c r="D587">
        <f t="array" ref="D587">_xlfn._xlws.FILTER(_xlfn._xlws.FILTER(Demand!$G$2:$X$66,(Demand!$E$2:$E$66=$A587),""),Demand!$G$1:$X$1=$C587,"")</f>
        <v>145872.91205760741</v>
      </c>
    </row>
    <row r="588" spans="1:4">
      <c r="A588" t="s">
        <v>130</v>
      </c>
      <c r="B588" t="s">
        <v>131</v>
      </c>
      <c r="C588" s="11">
        <v>2065</v>
      </c>
      <c r="D588">
        <f t="array" ref="D588">_xlfn._xlws.FILTER(_xlfn._xlws.FILTER(Demand!$G$2:$X$66,(Demand!$E$2:$E$66=$A588),""),Demand!$G$1:$X$1=$C588,"")</f>
        <v>160460.20326336811</v>
      </c>
    </row>
    <row r="589" spans="1:4">
      <c r="A589" t="s">
        <v>130</v>
      </c>
      <c r="B589" t="s">
        <v>131</v>
      </c>
      <c r="C589" s="11">
        <v>2070</v>
      </c>
      <c r="D589">
        <f t="array" ref="D589">_xlfn._xlws.FILTER(_xlfn._xlws.FILTER(Demand!$G$2:$X$66,(Demand!$E$2:$E$66=$A589),""),Demand!$G$1:$X$1=$C589,"")</f>
        <v>176506.22358970501</v>
      </c>
    </row>
    <row r="590" spans="1:4">
      <c r="A590" t="s">
        <v>130</v>
      </c>
      <c r="B590" t="s">
        <v>131</v>
      </c>
      <c r="C590" s="11">
        <v>2075</v>
      </c>
      <c r="D590">
        <f t="array" ref="D590">_xlfn._xlws.FILTER(_xlfn._xlws.FILTER(Demand!$G$2:$X$66,(Demand!$E$2:$E$66=$A590),""),Demand!$G$1:$X$1=$C590,"")</f>
        <v>194156.8459486755</v>
      </c>
    </row>
    <row r="591" spans="1:4">
      <c r="A591" t="s">
        <v>130</v>
      </c>
      <c r="B591" t="s">
        <v>131</v>
      </c>
      <c r="C591" s="11">
        <v>2080</v>
      </c>
      <c r="D591">
        <f t="array" ref="D591">_xlfn._xlws.FILTER(_xlfn._xlws.FILTER(Demand!$G$2:$X$66,(Demand!$E$2:$E$66=$A591),""),Demand!$G$1:$X$1=$C591,"")</f>
        <v>213572.53054354299</v>
      </c>
    </row>
    <row r="592" spans="1:4">
      <c r="A592" t="s">
        <v>130</v>
      </c>
      <c r="B592" t="s">
        <v>131</v>
      </c>
      <c r="C592" s="11">
        <v>2085</v>
      </c>
      <c r="D592">
        <f t="array" ref="D592">_xlfn._xlws.FILTER(_xlfn._xlws.FILTER(Demand!$G$2:$X$66,(Demand!$E$2:$E$66=$A592),""),Demand!$G$1:$X$1=$C592,"")</f>
        <v>234929.78359789739</v>
      </c>
    </row>
    <row r="593" spans="1:4">
      <c r="A593" t="s">
        <v>130</v>
      </c>
      <c r="B593" t="s">
        <v>131</v>
      </c>
      <c r="C593" s="11">
        <v>2090</v>
      </c>
      <c r="D593">
        <f t="array" ref="D593">_xlfn._xlws.FILTER(_xlfn._xlws.FILTER(Demand!$G$2:$X$66,(Demand!$E$2:$E$66=$A593),""),Demand!$G$1:$X$1=$C593,"")</f>
        <v>258422.76195768709</v>
      </c>
    </row>
    <row r="594" spans="1:4">
      <c r="A594" t="s">
        <v>130</v>
      </c>
      <c r="B594" t="s">
        <v>131</v>
      </c>
      <c r="C594" s="11">
        <v>2095</v>
      </c>
      <c r="D594">
        <f t="array" ref="D594">_xlfn._xlws.FILTER(_xlfn._xlws.FILTER(Demand!$G$2:$X$66,(Demand!$E$2:$E$66=$A594),""),Demand!$G$1:$X$1=$C594,"")</f>
        <v>284265.03815345588</v>
      </c>
    </row>
    <row r="595" spans="1:4">
      <c r="A595" t="s">
        <v>130</v>
      </c>
      <c r="B595" t="s">
        <v>131</v>
      </c>
      <c r="C595" s="11">
        <v>2100</v>
      </c>
      <c r="D595">
        <f t="array" ref="D595">_xlfn._xlws.FILTER(_xlfn._xlws.FILTER(Demand!$G$2:$X$66,(Demand!$E$2:$E$66=$A595),""),Demand!$G$1:$X$1=$C595,"")</f>
        <v>312691.54196880152</v>
      </c>
    </row>
    <row r="596" spans="1:4">
      <c r="A596" t="s">
        <v>135</v>
      </c>
      <c r="B596" t="s">
        <v>136</v>
      </c>
      <c r="C596" s="11">
        <v>2019</v>
      </c>
      <c r="D596">
        <f t="array" ref="D596">_xlfn._xlws.FILTER(_xlfn._xlws.FILTER(Demand!$G$2:$X$66,(Demand!$E$2:$E$66=$A596),""),Demand!$G$1:$X$1=$C596,"")</f>
        <v>68921.250890371171</v>
      </c>
    </row>
    <row r="597" spans="1:4">
      <c r="A597" t="s">
        <v>135</v>
      </c>
      <c r="B597" t="s">
        <v>136</v>
      </c>
      <c r="C597" s="11">
        <v>2020</v>
      </c>
      <c r="D597">
        <f t="array" ref="D597">_xlfn._xlws.FILTER(_xlfn._xlws.FILTER(Demand!$G$2:$X$66,(Demand!$E$2:$E$66=$A597),""),Demand!$G$1:$X$1=$C597,"")</f>
        <v>69265.857144823021</v>
      </c>
    </row>
    <row r="598" spans="1:4">
      <c r="A598" t="s">
        <v>135</v>
      </c>
      <c r="B598" t="s">
        <v>136</v>
      </c>
      <c r="C598" s="11">
        <v>2025</v>
      </c>
      <c r="D598">
        <f t="array" ref="D598">_xlfn._xlws.FILTER(_xlfn._xlws.FILTER(Demand!$G$2:$X$66,(Demand!$E$2:$E$66=$A598),""),Demand!$G$1:$X$1=$C598,"")</f>
        <v>70997.503573443595</v>
      </c>
    </row>
    <row r="599" spans="1:4">
      <c r="A599" t="s">
        <v>135</v>
      </c>
      <c r="B599" t="s">
        <v>136</v>
      </c>
      <c r="C599" s="11">
        <v>2030</v>
      </c>
      <c r="D599">
        <f t="array" ref="D599">_xlfn._xlws.FILTER(_xlfn._xlws.FILTER(Demand!$G$2:$X$66,(Demand!$E$2:$E$66=$A599),""),Demand!$G$1:$X$1=$C599,"")</f>
        <v>72772.44116277968</v>
      </c>
    </row>
    <row r="600" spans="1:4">
      <c r="A600" t="s">
        <v>135</v>
      </c>
      <c r="B600" t="s">
        <v>136</v>
      </c>
      <c r="C600" s="11">
        <v>2035</v>
      </c>
      <c r="D600">
        <f t="array" ref="D600">_xlfn._xlws.FILTER(_xlfn._xlws.FILTER(Demand!$G$2:$X$66,(Demand!$E$2:$E$66=$A600),""),Demand!$G$1:$X$1=$C600,"")</f>
        <v>74591.752191849169</v>
      </c>
    </row>
    <row r="601" spans="1:4">
      <c r="A601" t="s">
        <v>135</v>
      </c>
      <c r="B601" t="s">
        <v>136</v>
      </c>
      <c r="C601" s="11">
        <v>2040</v>
      </c>
      <c r="D601">
        <f t="array" ref="D601">_xlfn._xlws.FILTER(_xlfn._xlws.FILTER(Demand!$G$2:$X$66,(Demand!$E$2:$E$66=$A601),""),Demand!$G$1:$X$1=$C601,"")</f>
        <v>76456.545996645393</v>
      </c>
    </row>
    <row r="602" spans="1:4">
      <c r="A602" t="s">
        <v>135</v>
      </c>
      <c r="B602" t="s">
        <v>136</v>
      </c>
      <c r="C602" s="11">
        <v>2045</v>
      </c>
      <c r="D602">
        <f t="array" ref="D602">_xlfn._xlws.FILTER(_xlfn._xlws.FILTER(Demand!$G$2:$X$66,(Demand!$E$2:$E$66=$A602),""),Demand!$G$1:$X$1=$C602,"")</f>
        <v>78367.959646561518</v>
      </c>
    </row>
    <row r="603" spans="1:4">
      <c r="A603" t="s">
        <v>135</v>
      </c>
      <c r="B603" t="s">
        <v>136</v>
      </c>
      <c r="C603" s="11">
        <v>2050</v>
      </c>
      <c r="D603">
        <f t="array" ref="D603">_xlfn._xlws.FILTER(_xlfn._xlws.FILTER(Demand!$G$2:$X$66,(Demand!$E$2:$E$66=$A603),""),Demand!$G$1:$X$1=$C603,"")</f>
        <v>80327.158637725544</v>
      </c>
    </row>
    <row r="604" spans="1:4">
      <c r="A604" t="s">
        <v>135</v>
      </c>
      <c r="B604" t="s">
        <v>136</v>
      </c>
      <c r="C604" s="11">
        <v>2055</v>
      </c>
      <c r="D604">
        <f t="array" ref="D604">_xlfn._xlws.FILTER(_xlfn._xlws.FILTER(Demand!$G$2:$X$66,(Demand!$E$2:$E$66=$A604),""),Demand!$G$1:$X$1=$C604,"")</f>
        <v>82335.337603668682</v>
      </c>
    </row>
    <row r="605" spans="1:4">
      <c r="A605" t="s">
        <v>135</v>
      </c>
      <c r="B605" t="s">
        <v>136</v>
      </c>
      <c r="C605" s="11">
        <v>2060</v>
      </c>
      <c r="D605">
        <f t="array" ref="D605">_xlfn._xlws.FILTER(_xlfn._xlws.FILTER(Demand!$G$2:$X$66,(Demand!$E$2:$E$66=$A605),""),Demand!$G$1:$X$1=$C605,"")</f>
        <v>84393.721043760394</v>
      </c>
    </row>
    <row r="606" spans="1:4">
      <c r="A606" t="s">
        <v>135</v>
      </c>
      <c r="B606" t="s">
        <v>136</v>
      </c>
      <c r="C606" s="11">
        <v>2065</v>
      </c>
      <c r="D606">
        <f t="array" ref="D606">_xlfn._xlws.FILTER(_xlfn._xlws.FILTER(Demand!$G$2:$X$66,(Demand!$E$2:$E$66=$A606),""),Demand!$G$1:$X$1=$C606,"")</f>
        <v>86503.564069854401</v>
      </c>
    </row>
    <row r="607" spans="1:4">
      <c r="A607" t="s">
        <v>135</v>
      </c>
      <c r="B607" t="s">
        <v>136</v>
      </c>
      <c r="C607" s="11">
        <v>2070</v>
      </c>
      <c r="D607">
        <f t="array" ref="D607">_xlfn._xlws.FILTER(_xlfn._xlws.FILTER(Demand!$G$2:$X$66,(Demand!$E$2:$E$66=$A607),""),Demand!$G$1:$X$1=$C607,"")</f>
        <v>88666.153171600759</v>
      </c>
    </row>
    <row r="608" spans="1:4">
      <c r="A608" t="s">
        <v>135</v>
      </c>
      <c r="B608" t="s">
        <v>136</v>
      </c>
      <c r="C608" s="11">
        <v>2075</v>
      </c>
      <c r="D608">
        <f t="array" ref="D608">_xlfn._xlws.FILTER(_xlfn._xlws.FILTER(Demand!$G$2:$X$66,(Demand!$E$2:$E$66=$A608),""),Demand!$G$1:$X$1=$C608,"")</f>
        <v>90882.807000890767</v>
      </c>
    </row>
    <row r="609" spans="1:4">
      <c r="A609" t="s">
        <v>135</v>
      </c>
      <c r="B609" t="s">
        <v>136</v>
      </c>
      <c r="C609" s="11">
        <v>2080</v>
      </c>
      <c r="D609">
        <f t="array" ref="D609">_xlfn._xlws.FILTER(_xlfn._xlws.FILTER(Demand!$G$2:$X$66,(Demand!$E$2:$E$66=$A609),""),Demand!$G$1:$X$1=$C609,"")</f>
        <v>93154.877175913032</v>
      </c>
    </row>
    <row r="610" spans="1:4">
      <c r="A610" t="s">
        <v>135</v>
      </c>
      <c r="B610" t="s">
        <v>136</v>
      </c>
      <c r="C610" s="11">
        <v>2085</v>
      </c>
      <c r="D610">
        <f t="array" ref="D610">_xlfn._xlws.FILTER(_xlfn._xlws.FILTER(Demand!$G$2:$X$66,(Demand!$E$2:$E$66=$A610),""),Demand!$G$1:$X$1=$C610,"")</f>
        <v>95483.749105310853</v>
      </c>
    </row>
    <row r="611" spans="1:4">
      <c r="A611" t="s">
        <v>135</v>
      </c>
      <c r="B611" t="s">
        <v>136</v>
      </c>
      <c r="C611" s="11">
        <v>2090</v>
      </c>
      <c r="D611">
        <f t="array" ref="D611">_xlfn._xlws.FILTER(_xlfn._xlws.FILTER(Demand!$G$2:$X$66,(Demand!$E$2:$E$66=$A611),""),Demand!$G$1:$X$1=$C611,"")</f>
        <v>97870.842832943614</v>
      </c>
    </row>
    <row r="612" spans="1:4">
      <c r="A612" t="s">
        <v>135</v>
      </c>
      <c r="B612" t="s">
        <v>136</v>
      </c>
      <c r="C612" s="11">
        <v>2095</v>
      </c>
      <c r="D612">
        <f t="array" ref="D612">_xlfn._xlws.FILTER(_xlfn._xlws.FILTER(Demand!$G$2:$X$66,(Demand!$E$2:$E$66=$A612),""),Demand!$G$1:$X$1=$C612,"")</f>
        <v>100317.6139037672</v>
      </c>
    </row>
    <row r="613" spans="1:4">
      <c r="A613" t="s">
        <v>135</v>
      </c>
      <c r="B613" t="s">
        <v>136</v>
      </c>
      <c r="C613" s="11">
        <v>2100</v>
      </c>
      <c r="D613">
        <f t="array" ref="D613">_xlfn._xlws.FILTER(_xlfn._xlws.FILTER(Demand!$G$2:$X$66,(Demand!$E$2:$E$66=$A613),""),Demand!$G$1:$X$1=$C613,"")</f>
        <v>102825.55425136141</v>
      </c>
    </row>
    <row r="614" spans="1:4">
      <c r="A614" t="s">
        <v>138</v>
      </c>
      <c r="B614" t="s">
        <v>136</v>
      </c>
      <c r="C614" s="11">
        <v>2019</v>
      </c>
      <c r="D614">
        <f t="array" ref="D614">_xlfn._xlws.FILTER(_xlfn._xlws.FILTER(Demand!$G$2:$X$66,(Demand!$E$2:$E$66=$A614),""),Demand!$G$1:$X$1=$C614,"")</f>
        <v>0</v>
      </c>
    </row>
    <row r="615" spans="1:4">
      <c r="A615" t="s">
        <v>138</v>
      </c>
      <c r="B615" t="s">
        <v>136</v>
      </c>
      <c r="C615" s="11">
        <v>2020</v>
      </c>
      <c r="D615">
        <f t="array" ref="D615">_xlfn._xlws.FILTER(_xlfn._xlws.FILTER(Demand!$G$2:$X$66,(Demand!$E$2:$E$66=$A615),""),Demand!$G$1:$X$1=$C615,"")</f>
        <v>0</v>
      </c>
    </row>
    <row r="616" spans="1:4">
      <c r="A616" t="s">
        <v>138</v>
      </c>
      <c r="B616" t="s">
        <v>136</v>
      </c>
      <c r="C616" s="11">
        <v>2025</v>
      </c>
      <c r="D616">
        <f t="array" ref="D616">_xlfn._xlws.FILTER(_xlfn._xlws.FILTER(Demand!$G$2:$X$66,(Demand!$E$2:$E$66=$A616),""),Demand!$G$1:$X$1=$C616,"")</f>
        <v>0</v>
      </c>
    </row>
    <row r="617" spans="1:4">
      <c r="A617" t="s">
        <v>138</v>
      </c>
      <c r="B617" t="s">
        <v>136</v>
      </c>
      <c r="C617" s="11">
        <v>2030</v>
      </c>
      <c r="D617">
        <f t="array" ref="D617">_xlfn._xlws.FILTER(_xlfn._xlws.FILTER(Demand!$G$2:$X$66,(Demand!$E$2:$E$66=$A617),""),Demand!$G$1:$X$1=$C617,"")</f>
        <v>0</v>
      </c>
    </row>
    <row r="618" spans="1:4">
      <c r="A618" t="s">
        <v>138</v>
      </c>
      <c r="B618" t="s">
        <v>136</v>
      </c>
      <c r="C618" s="11">
        <v>2035</v>
      </c>
      <c r="D618">
        <f t="array" ref="D618">_xlfn._xlws.FILTER(_xlfn._xlws.FILTER(Demand!$G$2:$X$66,(Demand!$E$2:$E$66=$A618),""),Demand!$G$1:$X$1=$C618,"")</f>
        <v>0</v>
      </c>
    </row>
    <row r="619" spans="1:4">
      <c r="A619" t="s">
        <v>138</v>
      </c>
      <c r="B619" t="s">
        <v>136</v>
      </c>
      <c r="C619" s="11">
        <v>2040</v>
      </c>
      <c r="D619">
        <f t="array" ref="D619">_xlfn._xlws.FILTER(_xlfn._xlws.FILTER(Demand!$G$2:$X$66,(Demand!$E$2:$E$66=$A619),""),Demand!$G$1:$X$1=$C619,"")</f>
        <v>0</v>
      </c>
    </row>
    <row r="620" spans="1:4">
      <c r="A620" t="s">
        <v>138</v>
      </c>
      <c r="B620" t="s">
        <v>136</v>
      </c>
      <c r="C620" s="11">
        <v>2045</v>
      </c>
      <c r="D620">
        <f t="array" ref="D620">_xlfn._xlws.FILTER(_xlfn._xlws.FILTER(Demand!$G$2:$X$66,(Demand!$E$2:$E$66=$A620),""),Demand!$G$1:$X$1=$C620,"")</f>
        <v>0</v>
      </c>
    </row>
    <row r="621" spans="1:4">
      <c r="A621" t="s">
        <v>138</v>
      </c>
      <c r="B621" t="s">
        <v>136</v>
      </c>
      <c r="C621" s="11">
        <v>2050</v>
      </c>
      <c r="D621">
        <f t="array" ref="D621">_xlfn._xlws.FILTER(_xlfn._xlws.FILTER(Demand!$G$2:$X$66,(Demand!$E$2:$E$66=$A621),""),Demand!$G$1:$X$1=$C621,"")</f>
        <v>0</v>
      </c>
    </row>
    <row r="622" spans="1:4">
      <c r="A622" t="s">
        <v>138</v>
      </c>
      <c r="B622" t="s">
        <v>136</v>
      </c>
      <c r="C622" s="11">
        <v>2055</v>
      </c>
      <c r="D622">
        <f t="array" ref="D622">_xlfn._xlws.FILTER(_xlfn._xlws.FILTER(Demand!$G$2:$X$66,(Demand!$E$2:$E$66=$A622),""),Demand!$G$1:$X$1=$C622,"")</f>
        <v>0</v>
      </c>
    </row>
    <row r="623" spans="1:4">
      <c r="A623" t="s">
        <v>138</v>
      </c>
      <c r="B623" t="s">
        <v>136</v>
      </c>
      <c r="C623" s="11">
        <v>2060</v>
      </c>
      <c r="D623">
        <f t="array" ref="D623">_xlfn._xlws.FILTER(_xlfn._xlws.FILTER(Demand!$G$2:$X$66,(Demand!$E$2:$E$66=$A623),""),Demand!$G$1:$X$1=$C623,"")</f>
        <v>0</v>
      </c>
    </row>
    <row r="624" spans="1:4">
      <c r="A624" t="s">
        <v>138</v>
      </c>
      <c r="B624" t="s">
        <v>136</v>
      </c>
      <c r="C624" s="11">
        <v>2065</v>
      </c>
      <c r="D624">
        <f t="array" ref="D624">_xlfn._xlws.FILTER(_xlfn._xlws.FILTER(Demand!$G$2:$X$66,(Demand!$E$2:$E$66=$A624),""),Demand!$G$1:$X$1=$C624,"")</f>
        <v>0</v>
      </c>
    </row>
    <row r="625" spans="1:4">
      <c r="A625" t="s">
        <v>138</v>
      </c>
      <c r="B625" t="s">
        <v>136</v>
      </c>
      <c r="C625" s="11">
        <v>2070</v>
      </c>
      <c r="D625">
        <f t="array" ref="D625">_xlfn._xlws.FILTER(_xlfn._xlws.FILTER(Demand!$G$2:$X$66,(Demand!$E$2:$E$66=$A625),""),Demand!$G$1:$X$1=$C625,"")</f>
        <v>0</v>
      </c>
    </row>
    <row r="626" spans="1:4">
      <c r="A626" t="s">
        <v>138</v>
      </c>
      <c r="B626" t="s">
        <v>136</v>
      </c>
      <c r="C626" s="11">
        <v>2075</v>
      </c>
      <c r="D626">
        <f t="array" ref="D626">_xlfn._xlws.FILTER(_xlfn._xlws.FILTER(Demand!$G$2:$X$66,(Demand!$E$2:$E$66=$A626),""),Demand!$G$1:$X$1=$C626,"")</f>
        <v>0</v>
      </c>
    </row>
    <row r="627" spans="1:4">
      <c r="A627" t="s">
        <v>138</v>
      </c>
      <c r="B627" t="s">
        <v>136</v>
      </c>
      <c r="C627" s="11">
        <v>2080</v>
      </c>
      <c r="D627">
        <f t="array" ref="D627">_xlfn._xlws.FILTER(_xlfn._xlws.FILTER(Demand!$G$2:$X$66,(Demand!$E$2:$E$66=$A627),""),Demand!$G$1:$X$1=$C627,"")</f>
        <v>0</v>
      </c>
    </row>
    <row r="628" spans="1:4">
      <c r="A628" t="s">
        <v>138</v>
      </c>
      <c r="B628" t="s">
        <v>136</v>
      </c>
      <c r="C628" s="11">
        <v>2085</v>
      </c>
      <c r="D628">
        <f t="array" ref="D628">_xlfn._xlws.FILTER(_xlfn._xlws.FILTER(Demand!$G$2:$X$66,(Demand!$E$2:$E$66=$A628),""),Demand!$G$1:$X$1=$C628,"")</f>
        <v>0</v>
      </c>
    </row>
    <row r="629" spans="1:4">
      <c r="A629" t="s">
        <v>138</v>
      </c>
      <c r="B629" t="s">
        <v>136</v>
      </c>
      <c r="C629" s="11">
        <v>2090</v>
      </c>
      <c r="D629">
        <f t="array" ref="D629">_xlfn._xlws.FILTER(_xlfn._xlws.FILTER(Demand!$G$2:$X$66,(Demand!$E$2:$E$66=$A629),""),Demand!$G$1:$X$1=$C629,"")</f>
        <v>0</v>
      </c>
    </row>
    <row r="630" spans="1:4">
      <c r="A630" t="s">
        <v>138</v>
      </c>
      <c r="B630" t="s">
        <v>136</v>
      </c>
      <c r="C630" s="11">
        <v>2095</v>
      </c>
      <c r="D630">
        <f t="array" ref="D630">_xlfn._xlws.FILTER(_xlfn._xlws.FILTER(Demand!$G$2:$X$66,(Demand!$E$2:$E$66=$A630),""),Demand!$G$1:$X$1=$C630,"")</f>
        <v>0</v>
      </c>
    </row>
    <row r="631" spans="1:4">
      <c r="A631" t="s">
        <v>138</v>
      </c>
      <c r="B631" t="s">
        <v>136</v>
      </c>
      <c r="C631" s="11">
        <v>2100</v>
      </c>
      <c r="D631">
        <f t="array" ref="D631">_xlfn._xlws.FILTER(_xlfn._xlws.FILTER(Demand!$G$2:$X$66,(Demand!$E$2:$E$66=$A631),""),Demand!$G$1:$X$1=$C631,"")</f>
        <v>0</v>
      </c>
    </row>
    <row r="632" spans="1:4">
      <c r="A632" t="s">
        <v>140</v>
      </c>
      <c r="B632" t="s">
        <v>136</v>
      </c>
      <c r="C632" s="11">
        <v>2019</v>
      </c>
      <c r="D632">
        <f t="array" ref="D632">_xlfn._xlws.FILTER(_xlfn._xlws.FILTER(Demand!$G$2:$X$66,(Demand!$E$2:$E$66=$A632),""),Demand!$G$1:$X$1=$C632,"")</f>
        <v>0</v>
      </c>
    </row>
    <row r="633" spans="1:4">
      <c r="A633" t="s">
        <v>140</v>
      </c>
      <c r="B633" t="s">
        <v>136</v>
      </c>
      <c r="C633" s="11">
        <v>2020</v>
      </c>
      <c r="D633">
        <f t="array" ref="D633">_xlfn._xlws.FILTER(_xlfn._xlws.FILTER(Demand!$G$2:$X$66,(Demand!$E$2:$E$66=$A633),""),Demand!$G$1:$X$1=$C633,"")</f>
        <v>0</v>
      </c>
    </row>
    <row r="634" spans="1:4">
      <c r="A634" t="s">
        <v>140</v>
      </c>
      <c r="B634" t="s">
        <v>136</v>
      </c>
      <c r="C634" s="11">
        <v>2025</v>
      </c>
      <c r="D634">
        <f t="array" ref="D634">_xlfn._xlws.FILTER(_xlfn._xlws.FILTER(Demand!$G$2:$X$66,(Demand!$E$2:$E$66=$A634),""),Demand!$G$1:$X$1=$C634,"")</f>
        <v>0</v>
      </c>
    </row>
    <row r="635" spans="1:4">
      <c r="A635" t="s">
        <v>140</v>
      </c>
      <c r="B635" t="s">
        <v>136</v>
      </c>
      <c r="C635" s="11">
        <v>2030</v>
      </c>
      <c r="D635">
        <f t="array" ref="D635">_xlfn._xlws.FILTER(_xlfn._xlws.FILTER(Demand!$G$2:$X$66,(Demand!$E$2:$E$66=$A635),""),Demand!$G$1:$X$1=$C635,"")</f>
        <v>0</v>
      </c>
    </row>
    <row r="636" spans="1:4">
      <c r="A636" t="s">
        <v>140</v>
      </c>
      <c r="B636" t="s">
        <v>136</v>
      </c>
      <c r="C636" s="11">
        <v>2035</v>
      </c>
      <c r="D636">
        <f t="array" ref="D636">_xlfn._xlws.FILTER(_xlfn._xlws.FILTER(Demand!$G$2:$X$66,(Demand!$E$2:$E$66=$A636),""),Demand!$G$1:$X$1=$C636,"")</f>
        <v>0</v>
      </c>
    </row>
    <row r="637" spans="1:4">
      <c r="A637" t="s">
        <v>140</v>
      </c>
      <c r="B637" t="s">
        <v>136</v>
      </c>
      <c r="C637" s="11">
        <v>2040</v>
      </c>
      <c r="D637">
        <f t="array" ref="D637">_xlfn._xlws.FILTER(_xlfn._xlws.FILTER(Demand!$G$2:$X$66,(Demand!$E$2:$E$66=$A637),""),Demand!$G$1:$X$1=$C637,"")</f>
        <v>0</v>
      </c>
    </row>
    <row r="638" spans="1:4">
      <c r="A638" t="s">
        <v>140</v>
      </c>
      <c r="B638" t="s">
        <v>136</v>
      </c>
      <c r="C638" s="11">
        <v>2045</v>
      </c>
      <c r="D638">
        <f t="array" ref="D638">_xlfn._xlws.FILTER(_xlfn._xlws.FILTER(Demand!$G$2:$X$66,(Demand!$E$2:$E$66=$A638),""),Demand!$G$1:$X$1=$C638,"")</f>
        <v>0</v>
      </c>
    </row>
    <row r="639" spans="1:4">
      <c r="A639" t="s">
        <v>140</v>
      </c>
      <c r="B639" t="s">
        <v>136</v>
      </c>
      <c r="C639" s="11">
        <v>2050</v>
      </c>
      <c r="D639">
        <f t="array" ref="D639">_xlfn._xlws.FILTER(_xlfn._xlws.FILTER(Demand!$G$2:$X$66,(Demand!$E$2:$E$66=$A639),""),Demand!$G$1:$X$1=$C639,"")</f>
        <v>0</v>
      </c>
    </row>
    <row r="640" spans="1:4">
      <c r="A640" t="s">
        <v>140</v>
      </c>
      <c r="B640" t="s">
        <v>136</v>
      </c>
      <c r="C640" s="11">
        <v>2055</v>
      </c>
      <c r="D640">
        <f t="array" ref="D640">_xlfn._xlws.FILTER(_xlfn._xlws.FILTER(Demand!$G$2:$X$66,(Demand!$E$2:$E$66=$A640),""),Demand!$G$1:$X$1=$C640,"")</f>
        <v>0</v>
      </c>
    </row>
    <row r="641" spans="1:4">
      <c r="A641" t="s">
        <v>140</v>
      </c>
      <c r="B641" t="s">
        <v>136</v>
      </c>
      <c r="C641" s="11">
        <v>2060</v>
      </c>
      <c r="D641">
        <f t="array" ref="D641">_xlfn._xlws.FILTER(_xlfn._xlws.FILTER(Demand!$G$2:$X$66,(Demand!$E$2:$E$66=$A641),""),Demand!$G$1:$X$1=$C641,"")</f>
        <v>0</v>
      </c>
    </row>
    <row r="642" spans="1:4">
      <c r="A642" t="s">
        <v>140</v>
      </c>
      <c r="B642" t="s">
        <v>136</v>
      </c>
      <c r="C642" s="11">
        <v>2065</v>
      </c>
      <c r="D642">
        <f t="array" ref="D642">_xlfn._xlws.FILTER(_xlfn._xlws.FILTER(Demand!$G$2:$X$66,(Demand!$E$2:$E$66=$A642),""),Demand!$G$1:$X$1=$C642,"")</f>
        <v>0</v>
      </c>
    </row>
    <row r="643" spans="1:4">
      <c r="A643" t="s">
        <v>140</v>
      </c>
      <c r="B643" t="s">
        <v>136</v>
      </c>
      <c r="C643" s="11">
        <v>2070</v>
      </c>
      <c r="D643">
        <f t="array" ref="D643">_xlfn._xlws.FILTER(_xlfn._xlws.FILTER(Demand!$G$2:$X$66,(Demand!$E$2:$E$66=$A643),""),Demand!$G$1:$X$1=$C643,"")</f>
        <v>0</v>
      </c>
    </row>
    <row r="644" spans="1:4">
      <c r="A644" t="s">
        <v>140</v>
      </c>
      <c r="B644" t="s">
        <v>136</v>
      </c>
      <c r="C644" s="11">
        <v>2075</v>
      </c>
      <c r="D644">
        <f t="array" ref="D644">_xlfn._xlws.FILTER(_xlfn._xlws.FILTER(Demand!$G$2:$X$66,(Demand!$E$2:$E$66=$A644),""),Demand!$G$1:$X$1=$C644,"")</f>
        <v>0</v>
      </c>
    </row>
    <row r="645" spans="1:4">
      <c r="A645" t="s">
        <v>140</v>
      </c>
      <c r="B645" t="s">
        <v>136</v>
      </c>
      <c r="C645" s="11">
        <v>2080</v>
      </c>
      <c r="D645">
        <f t="array" ref="D645">_xlfn._xlws.FILTER(_xlfn._xlws.FILTER(Demand!$G$2:$X$66,(Demand!$E$2:$E$66=$A645),""),Demand!$G$1:$X$1=$C645,"")</f>
        <v>0</v>
      </c>
    </row>
    <row r="646" spans="1:4">
      <c r="A646" t="s">
        <v>140</v>
      </c>
      <c r="B646" t="s">
        <v>136</v>
      </c>
      <c r="C646" s="11">
        <v>2085</v>
      </c>
      <c r="D646">
        <f t="array" ref="D646">_xlfn._xlws.FILTER(_xlfn._xlws.FILTER(Demand!$G$2:$X$66,(Demand!$E$2:$E$66=$A646),""),Demand!$G$1:$X$1=$C646,"")</f>
        <v>0</v>
      </c>
    </row>
    <row r="647" spans="1:4">
      <c r="A647" t="s">
        <v>140</v>
      </c>
      <c r="B647" t="s">
        <v>136</v>
      </c>
      <c r="C647" s="11">
        <v>2090</v>
      </c>
      <c r="D647">
        <f t="array" ref="D647">_xlfn._xlws.FILTER(_xlfn._xlws.FILTER(Demand!$G$2:$X$66,(Demand!$E$2:$E$66=$A647),""),Demand!$G$1:$X$1=$C647,"")</f>
        <v>0</v>
      </c>
    </row>
    <row r="648" spans="1:4">
      <c r="A648" t="s">
        <v>140</v>
      </c>
      <c r="B648" t="s">
        <v>136</v>
      </c>
      <c r="C648" s="11">
        <v>2095</v>
      </c>
      <c r="D648">
        <f t="array" ref="D648">_xlfn._xlws.FILTER(_xlfn._xlws.FILTER(Demand!$G$2:$X$66,(Demand!$E$2:$E$66=$A648),""),Demand!$G$1:$X$1=$C648,"")</f>
        <v>0</v>
      </c>
    </row>
    <row r="649" spans="1:4">
      <c r="A649" t="s">
        <v>140</v>
      </c>
      <c r="B649" t="s">
        <v>136</v>
      </c>
      <c r="C649" s="11">
        <v>2100</v>
      </c>
      <c r="D649">
        <f t="array" ref="D649">_xlfn._xlws.FILTER(_xlfn._xlws.FILTER(Demand!$G$2:$X$66,(Demand!$E$2:$E$66=$A649),""),Demand!$G$1:$X$1=$C649,"")</f>
        <v>0</v>
      </c>
    </row>
    <row r="650" spans="1:4">
      <c r="A650" t="s">
        <v>143</v>
      </c>
      <c r="B650" t="s">
        <v>136</v>
      </c>
      <c r="C650" s="11">
        <v>2019</v>
      </c>
      <c r="D650">
        <f t="array" ref="D650">_xlfn._xlws.FILTER(_xlfn._xlws.FILTER(Demand!$G$2:$X$66,(Demand!$E$2:$E$66=$A650),""),Demand!$G$1:$X$1=$C650,"")</f>
        <v>1578.5178847930749</v>
      </c>
    </row>
    <row r="651" spans="1:4">
      <c r="A651" t="s">
        <v>143</v>
      </c>
      <c r="B651" t="s">
        <v>136</v>
      </c>
      <c r="C651" s="11">
        <v>2020</v>
      </c>
      <c r="D651">
        <f t="array" ref="D651">_xlfn._xlws.FILTER(_xlfn._xlws.FILTER(Demand!$G$2:$X$66,(Demand!$E$2:$E$66=$A651),""),Demand!$G$1:$X$1=$C651,"")</f>
        <v>1586.41047421704</v>
      </c>
    </row>
    <row r="652" spans="1:4">
      <c r="A652" t="s">
        <v>143</v>
      </c>
      <c r="B652" t="s">
        <v>136</v>
      </c>
      <c r="C652" s="11">
        <v>2025</v>
      </c>
      <c r="D652">
        <f t="array" ref="D652">_xlfn._xlws.FILTER(_xlfn._xlws.FILTER(Demand!$G$2:$X$66,(Demand!$E$2:$E$66=$A652),""),Demand!$G$1:$X$1=$C652,"")</f>
        <v>1626.0707360724659</v>
      </c>
    </row>
    <row r="653" spans="1:4">
      <c r="A653" t="s">
        <v>143</v>
      </c>
      <c r="B653" t="s">
        <v>136</v>
      </c>
      <c r="C653" s="11">
        <v>2030</v>
      </c>
      <c r="D653">
        <f t="array" ref="D653">_xlfn._xlws.FILTER(_xlfn._xlws.FILTER(Demand!$G$2:$X$66,(Demand!$E$2:$E$66=$A653),""),Demand!$G$1:$X$1=$C653,"")</f>
        <v>1666.7225044742779</v>
      </c>
    </row>
    <row r="654" spans="1:4">
      <c r="A654" t="s">
        <v>143</v>
      </c>
      <c r="B654" t="s">
        <v>136</v>
      </c>
      <c r="C654" s="11">
        <v>2035</v>
      </c>
      <c r="D654">
        <f t="array" ref="D654">_xlfn._xlws.FILTER(_xlfn._xlws.FILTER(Demand!$G$2:$X$66,(Demand!$E$2:$E$66=$A654),""),Demand!$G$1:$X$1=$C654,"")</f>
        <v>1708.390567086135</v>
      </c>
    </row>
    <row r="655" spans="1:4">
      <c r="A655" t="s">
        <v>143</v>
      </c>
      <c r="B655" t="s">
        <v>136</v>
      </c>
      <c r="C655" s="11">
        <v>2040</v>
      </c>
      <c r="D655">
        <f t="array" ref="D655">_xlfn._xlws.FILTER(_xlfn._xlws.FILTER(Demand!$G$2:$X$66,(Demand!$E$2:$E$66=$A655),""),Demand!$G$1:$X$1=$C655,"")</f>
        <v>1751.1003312632879</v>
      </c>
    </row>
    <row r="656" spans="1:4">
      <c r="A656" t="s">
        <v>143</v>
      </c>
      <c r="B656" t="s">
        <v>136</v>
      </c>
      <c r="C656" s="11">
        <v>2045</v>
      </c>
      <c r="D656">
        <f t="array" ref="D656">_xlfn._xlws.FILTER(_xlfn._xlws.FILTER(Demand!$G$2:$X$66,(Demand!$E$2:$E$66=$A656),""),Demand!$G$1:$X$1=$C656,"")</f>
        <v>1794.8778395448701</v>
      </c>
    </row>
    <row r="657" spans="1:4">
      <c r="A657" t="s">
        <v>143</v>
      </c>
      <c r="B657" t="s">
        <v>136</v>
      </c>
      <c r="C657" s="11">
        <v>2050</v>
      </c>
      <c r="D657">
        <f t="array" ref="D657">_xlfn._xlws.FILTER(_xlfn._xlws.FILTER(Demand!$G$2:$X$66,(Demand!$E$2:$E$66=$A657),""),Demand!$G$1:$X$1=$C657,"")</f>
        <v>1839.7497855334909</v>
      </c>
    </row>
    <row r="658" spans="1:4">
      <c r="A658" t="s">
        <v>143</v>
      </c>
      <c r="B658" t="s">
        <v>136</v>
      </c>
      <c r="C658" s="11">
        <v>2055</v>
      </c>
      <c r="D658">
        <f t="array" ref="D658">_xlfn._xlws.FILTER(_xlfn._xlws.FILTER(Demand!$G$2:$X$66,(Demand!$E$2:$E$66=$A658),""),Demand!$G$1:$X$1=$C658,"")</f>
        <v>1885.743530171829</v>
      </c>
    </row>
    <row r="659" spans="1:4">
      <c r="A659" t="s">
        <v>143</v>
      </c>
      <c r="B659" t="s">
        <v>136</v>
      </c>
      <c r="C659" s="11">
        <v>2060</v>
      </c>
      <c r="D659">
        <f t="array" ref="D659">_xlfn._xlws.FILTER(_xlfn._xlws.FILTER(Demand!$G$2:$X$66,(Demand!$E$2:$E$66=$A659),""),Demand!$G$1:$X$1=$C659,"")</f>
        <v>1932.8871184261241</v>
      </c>
    </row>
    <row r="660" spans="1:4">
      <c r="A660" t="s">
        <v>143</v>
      </c>
      <c r="B660" t="s">
        <v>136</v>
      </c>
      <c r="C660" s="11">
        <v>2065</v>
      </c>
      <c r="D660">
        <f t="array" ref="D660">_xlfn._xlws.FILTER(_xlfn._xlws.FILTER(Demand!$G$2:$X$66,(Demand!$E$2:$E$66=$A660),""),Demand!$G$1:$X$1=$C660,"")</f>
        <v>1981.2092963867769</v>
      </c>
    </row>
    <row r="661" spans="1:4">
      <c r="A661" t="s">
        <v>143</v>
      </c>
      <c r="B661" t="s">
        <v>136</v>
      </c>
      <c r="C661" s="11">
        <v>2070</v>
      </c>
      <c r="D661">
        <f t="array" ref="D661">_xlfn._xlws.FILTER(_xlfn._xlws.FILTER(Demand!$G$2:$X$66,(Demand!$E$2:$E$66=$A661),""),Demand!$G$1:$X$1=$C661,"")</f>
        <v>2030.7395287964459</v>
      </c>
    </row>
    <row r="662" spans="1:4">
      <c r="A662" t="s">
        <v>143</v>
      </c>
      <c r="B662" t="s">
        <v>136</v>
      </c>
      <c r="C662" s="11">
        <v>2075</v>
      </c>
      <c r="D662">
        <f t="array" ref="D662">_xlfn._xlws.FILTER(_xlfn._xlws.FILTER(Demand!$G$2:$X$66,(Demand!$E$2:$E$66=$A662),""),Demand!$G$1:$X$1=$C662,"")</f>
        <v>2081.5080170163569</v>
      </c>
    </row>
    <row r="663" spans="1:4">
      <c r="A663" t="s">
        <v>143</v>
      </c>
      <c r="B663" t="s">
        <v>136</v>
      </c>
      <c r="C663" s="11">
        <v>2080</v>
      </c>
      <c r="D663">
        <f t="array" ref="D663">_xlfn._xlws.FILTER(_xlfn._xlws.FILTER(Demand!$G$2:$X$66,(Demand!$E$2:$E$66=$A663),""),Demand!$G$1:$X$1=$C663,"")</f>
        <v>2133.5457174417661</v>
      </c>
    </row>
    <row r="664" spans="1:4">
      <c r="A664" t="s">
        <v>143</v>
      </c>
      <c r="B664" t="s">
        <v>136</v>
      </c>
      <c r="C664" s="11">
        <v>2085</v>
      </c>
      <c r="D664">
        <f t="array" ref="D664">_xlfn._xlws.FILTER(_xlfn._xlws.FILTER(Demand!$G$2:$X$66,(Demand!$E$2:$E$66=$A664),""),Demand!$G$1:$X$1=$C664,"")</f>
        <v>2186.88436037781</v>
      </c>
    </row>
    <row r="665" spans="1:4">
      <c r="A665" t="s">
        <v>143</v>
      </c>
      <c r="B665" t="s">
        <v>136</v>
      </c>
      <c r="C665" s="11">
        <v>2090</v>
      </c>
      <c r="D665">
        <f t="array" ref="D665">_xlfn._xlws.FILTER(_xlfn._xlws.FILTER(Demand!$G$2:$X$66,(Demand!$E$2:$E$66=$A665),""),Demand!$G$1:$X$1=$C665,"")</f>
        <v>2241.5564693872552</v>
      </c>
    </row>
    <row r="666" spans="1:4">
      <c r="A666" t="s">
        <v>143</v>
      </c>
      <c r="B666" t="s">
        <v>136</v>
      </c>
      <c r="C666" s="11">
        <v>2095</v>
      </c>
      <c r="D666">
        <f t="array" ref="D666">_xlfn._xlws.FILTER(_xlfn._xlws.FILTER(Demand!$G$2:$X$66,(Demand!$E$2:$E$66=$A666),""),Demand!$G$1:$X$1=$C666,"")</f>
        <v>2297.595381121936</v>
      </c>
    </row>
    <row r="667" spans="1:4">
      <c r="A667" t="s">
        <v>143</v>
      </c>
      <c r="B667" t="s">
        <v>136</v>
      </c>
      <c r="C667" s="11">
        <v>2100</v>
      </c>
      <c r="D667">
        <f t="array" ref="D667">_xlfn._xlws.FILTER(_xlfn._xlws.FILTER(Demand!$G$2:$X$66,(Demand!$E$2:$E$66=$A667),""),Demand!$G$1:$X$1=$C667,"")</f>
        <v>2355.035265649984</v>
      </c>
    </row>
    <row r="668" spans="1:4">
      <c r="A668" t="s">
        <v>145</v>
      </c>
      <c r="B668" t="s">
        <v>136</v>
      </c>
      <c r="C668" s="11">
        <v>2019</v>
      </c>
      <c r="D668">
        <f t="array" ref="D668">_xlfn._xlws.FILTER(_xlfn._xlws.FILTER(Demand!$G$2:$X$66,(Demand!$E$2:$E$66=$A668),""),Demand!$G$1:$X$1=$C668,"")</f>
        <v>70.026308273942732</v>
      </c>
    </row>
    <row r="669" spans="1:4">
      <c r="A669" t="s">
        <v>145</v>
      </c>
      <c r="B669" t="s">
        <v>136</v>
      </c>
      <c r="C669" s="11">
        <v>2020</v>
      </c>
      <c r="D669">
        <f t="array" ref="D669">_xlfn._xlws.FILTER(_xlfn._xlws.FILTER(Demand!$G$2:$X$66,(Demand!$E$2:$E$66=$A669),""),Demand!$G$1:$X$1=$C669,"")</f>
        <v>70.376439815312438</v>
      </c>
    </row>
    <row r="670" spans="1:4">
      <c r="A670" t="s">
        <v>145</v>
      </c>
      <c r="B670" t="s">
        <v>136</v>
      </c>
      <c r="C670" s="11">
        <v>2025</v>
      </c>
      <c r="D670">
        <f t="array" ref="D670">_xlfn._xlws.FILTER(_xlfn._xlws.FILTER(Demand!$G$2:$X$66,(Demand!$E$2:$E$66=$A670),""),Demand!$G$1:$X$1=$C670,"")</f>
        <v>72.135850810695246</v>
      </c>
    </row>
    <row r="671" spans="1:4">
      <c r="A671" t="s">
        <v>145</v>
      </c>
      <c r="B671" t="s">
        <v>136</v>
      </c>
      <c r="C671" s="11">
        <v>2030</v>
      </c>
      <c r="D671">
        <f t="array" ref="D671">_xlfn._xlws.FILTER(_xlfn._xlws.FILTER(Demand!$G$2:$X$66,(Demand!$E$2:$E$66=$A671),""),Demand!$G$1:$X$1=$C671,"")</f>
        <v>73.939247080962616</v>
      </c>
    </row>
    <row r="672" spans="1:4">
      <c r="A672" t="s">
        <v>145</v>
      </c>
      <c r="B672" t="s">
        <v>136</v>
      </c>
      <c r="C672" s="11">
        <v>2035</v>
      </c>
      <c r="D672">
        <f t="array" ref="D672">_xlfn._xlws.FILTER(_xlfn._xlws.FILTER(Demand!$G$2:$X$66,(Demand!$E$2:$E$66=$A672),""),Demand!$G$1:$X$1=$C672,"")</f>
        <v>75.787728257986672</v>
      </c>
    </row>
    <row r="673" spans="1:4">
      <c r="A673" t="s">
        <v>145</v>
      </c>
      <c r="B673" t="s">
        <v>136</v>
      </c>
      <c r="C673" s="11">
        <v>2040</v>
      </c>
      <c r="D673">
        <f t="array" ref="D673">_xlfn._xlws.FILTER(_xlfn._xlws.FILTER(Demand!$G$2:$X$66,(Demand!$E$2:$E$66=$A673),""),Demand!$G$1:$X$1=$C673,"")</f>
        <v>77.682421464436331</v>
      </c>
    </row>
    <row r="674" spans="1:4">
      <c r="A674" t="s">
        <v>145</v>
      </c>
      <c r="B674" t="s">
        <v>136</v>
      </c>
      <c r="C674" s="11">
        <v>2045</v>
      </c>
      <c r="D674">
        <f t="array" ref="D674">_xlfn._xlws.FILTER(_xlfn._xlws.FILTER(Demand!$G$2:$X$66,(Demand!$E$2:$E$66=$A674),""),Demand!$G$1:$X$1=$C674,"")</f>
        <v>79.624482001047227</v>
      </c>
    </row>
    <row r="675" spans="1:4">
      <c r="A675" t="s">
        <v>145</v>
      </c>
      <c r="B675" t="s">
        <v>136</v>
      </c>
      <c r="C675" s="11">
        <v>2050</v>
      </c>
      <c r="D675">
        <f t="array" ref="D675">_xlfn._xlws.FILTER(_xlfn._xlws.FILTER(Demand!$G$2:$X$66,(Demand!$E$2:$E$66=$A675),""),Demand!$G$1:$X$1=$C675,"")</f>
        <v>81.615094051073399</v>
      </c>
    </row>
    <row r="676" spans="1:4">
      <c r="A676" t="s">
        <v>145</v>
      </c>
      <c r="B676" t="s">
        <v>136</v>
      </c>
      <c r="C676" s="11">
        <v>2055</v>
      </c>
      <c r="D676">
        <f t="array" ref="D676">_xlfn._xlws.FILTER(_xlfn._xlws.FILTER(Demand!$G$2:$X$66,(Demand!$E$2:$E$66=$A676),""),Demand!$G$1:$X$1=$C676,"")</f>
        <v>83.65547140235023</v>
      </c>
    </row>
    <row r="677" spans="1:4">
      <c r="A677" t="s">
        <v>145</v>
      </c>
      <c r="B677" t="s">
        <v>136</v>
      </c>
      <c r="C677" s="11">
        <v>2060</v>
      </c>
      <c r="D677">
        <f t="array" ref="D677">_xlfn._xlws.FILTER(_xlfn._xlws.FILTER(Demand!$G$2:$X$66,(Demand!$E$2:$E$66=$A677),""),Demand!$G$1:$X$1=$C677,"")</f>
        <v>85.746858187408975</v>
      </c>
    </row>
    <row r="678" spans="1:4">
      <c r="A678" t="s">
        <v>145</v>
      </c>
      <c r="B678" t="s">
        <v>136</v>
      </c>
      <c r="C678" s="11">
        <v>2065</v>
      </c>
      <c r="D678">
        <f t="array" ref="D678">_xlfn._xlws.FILTER(_xlfn._xlws.FILTER(Demand!$G$2:$X$66,(Demand!$E$2:$E$66=$A678),""),Demand!$G$1:$X$1=$C678,"")</f>
        <v>87.890529642094194</v>
      </c>
    </row>
    <row r="679" spans="1:4">
      <c r="A679" t="s">
        <v>145</v>
      </c>
      <c r="B679" t="s">
        <v>136</v>
      </c>
      <c r="C679" s="11">
        <v>2070</v>
      </c>
      <c r="D679">
        <f t="array" ref="D679">_xlfn._xlws.FILTER(_xlfn._xlws.FILTER(Demand!$G$2:$X$66,(Demand!$E$2:$E$66=$A679),""),Demand!$G$1:$X$1=$C679,"")</f>
        <v>90.087792883146534</v>
      </c>
    </row>
    <row r="680" spans="1:4">
      <c r="A680" t="s">
        <v>145</v>
      </c>
      <c r="B680" t="s">
        <v>136</v>
      </c>
      <c r="C680" s="11">
        <v>2075</v>
      </c>
      <c r="D680">
        <f t="array" ref="D680">_xlfn._xlws.FILTER(_xlfn._xlws.FILTER(Demand!$G$2:$X$66,(Demand!$E$2:$E$66=$A680),""),Demand!$G$1:$X$1=$C680,"")</f>
        <v>92.339987705225184</v>
      </c>
    </row>
    <row r="681" spans="1:4">
      <c r="A681" t="s">
        <v>145</v>
      </c>
      <c r="B681" t="s">
        <v>136</v>
      </c>
      <c r="C681" s="11">
        <v>2080</v>
      </c>
      <c r="D681">
        <f t="array" ref="D681">_xlfn._xlws.FILTER(_xlfn._xlws.FILTER(Demand!$G$2:$X$66,(Demand!$E$2:$E$66=$A681),""),Demand!$G$1:$X$1=$C681,"")</f>
        <v>94.648487397855803</v>
      </c>
    </row>
    <row r="682" spans="1:4">
      <c r="A682" t="s">
        <v>145</v>
      </c>
      <c r="B682" t="s">
        <v>136</v>
      </c>
      <c r="C682" s="11">
        <v>2085</v>
      </c>
      <c r="D682">
        <f t="array" ref="D682">_xlfn._xlws.FILTER(_xlfn._xlws.FILTER(Demand!$G$2:$X$66,(Demand!$E$2:$E$66=$A682),""),Demand!$G$1:$X$1=$C682,"")</f>
        <v>97.014699582802194</v>
      </c>
    </row>
    <row r="683" spans="1:4">
      <c r="A683" t="s">
        <v>145</v>
      </c>
      <c r="B683" t="s">
        <v>136</v>
      </c>
      <c r="C683" s="11">
        <v>2090</v>
      </c>
      <c r="D683">
        <f t="array" ref="D683">_xlfn._xlws.FILTER(_xlfn._xlws.FILTER(Demand!$G$2:$X$66,(Demand!$E$2:$E$66=$A683),""),Demand!$G$1:$X$1=$C683,"")</f>
        <v>99.440067072372244</v>
      </c>
    </row>
    <row r="684" spans="1:4">
      <c r="A684" t="s">
        <v>145</v>
      </c>
      <c r="B684" t="s">
        <v>136</v>
      </c>
      <c r="C684" s="11">
        <v>2095</v>
      </c>
      <c r="D684">
        <f t="array" ref="D684">_xlfn._xlws.FILTER(_xlfn._xlws.FILTER(Demand!$G$2:$X$66,(Demand!$E$2:$E$66=$A684),""),Demand!$G$1:$X$1=$C684,"")</f>
        <v>101.9260687491815</v>
      </c>
    </row>
    <row r="685" spans="1:4">
      <c r="A685" t="s">
        <v>145</v>
      </c>
      <c r="B685" t="s">
        <v>136</v>
      </c>
      <c r="C685" s="11">
        <v>2100</v>
      </c>
      <c r="D685">
        <f t="array" ref="D685">_xlfn._xlws.FILTER(_xlfn._xlws.FILTER(Demand!$G$2:$X$66,(Demand!$E$2:$E$66=$A685),""),Demand!$G$1:$X$1=$C685,"")</f>
        <v>104.4742204679111</v>
      </c>
    </row>
    <row r="686" spans="1:4">
      <c r="A686" t="s">
        <v>147</v>
      </c>
      <c r="B686" t="s">
        <v>136</v>
      </c>
      <c r="C686" s="11">
        <v>2019</v>
      </c>
      <c r="D686">
        <f t="array" ref="D686">_xlfn._xlws.FILTER(_xlfn._xlws.FILTER(Demand!$G$2:$X$66,(Demand!$E$2:$E$66=$A686),""),Demand!$G$1:$X$1=$C686,"")</f>
        <v>0</v>
      </c>
    </row>
    <row r="687" spans="1:4">
      <c r="A687" t="s">
        <v>147</v>
      </c>
      <c r="B687" t="s">
        <v>136</v>
      </c>
      <c r="C687" s="11">
        <v>2020</v>
      </c>
      <c r="D687">
        <f t="array" ref="D687">_xlfn._xlws.FILTER(_xlfn._xlws.FILTER(Demand!$G$2:$X$66,(Demand!$E$2:$E$66=$A687),""),Demand!$G$1:$X$1=$C687,"")</f>
        <v>0</v>
      </c>
    </row>
    <row r="688" spans="1:4">
      <c r="A688" t="s">
        <v>147</v>
      </c>
      <c r="B688" t="s">
        <v>136</v>
      </c>
      <c r="C688" s="11">
        <v>2025</v>
      </c>
      <c r="D688">
        <f t="array" ref="D688">_xlfn._xlws.FILTER(_xlfn._xlws.FILTER(Demand!$G$2:$X$66,(Demand!$E$2:$E$66=$A688),""),Demand!$G$1:$X$1=$C688,"")</f>
        <v>0</v>
      </c>
    </row>
    <row r="689" spans="1:4">
      <c r="A689" t="s">
        <v>147</v>
      </c>
      <c r="B689" t="s">
        <v>136</v>
      </c>
      <c r="C689" s="11">
        <v>2030</v>
      </c>
      <c r="D689">
        <f t="array" ref="D689">_xlfn._xlws.FILTER(_xlfn._xlws.FILTER(Demand!$G$2:$X$66,(Demand!$E$2:$E$66=$A689),""),Demand!$G$1:$X$1=$C689,"")</f>
        <v>0</v>
      </c>
    </row>
    <row r="690" spans="1:4">
      <c r="A690" t="s">
        <v>147</v>
      </c>
      <c r="B690" t="s">
        <v>136</v>
      </c>
      <c r="C690" s="11">
        <v>2035</v>
      </c>
      <c r="D690">
        <f t="array" ref="D690">_xlfn._xlws.FILTER(_xlfn._xlws.FILTER(Demand!$G$2:$X$66,(Demand!$E$2:$E$66=$A690),""),Demand!$G$1:$X$1=$C690,"")</f>
        <v>0</v>
      </c>
    </row>
    <row r="691" spans="1:4">
      <c r="A691" t="s">
        <v>147</v>
      </c>
      <c r="B691" t="s">
        <v>136</v>
      </c>
      <c r="C691" s="11">
        <v>2040</v>
      </c>
      <c r="D691">
        <f t="array" ref="D691">_xlfn._xlws.FILTER(_xlfn._xlws.FILTER(Demand!$G$2:$X$66,(Demand!$E$2:$E$66=$A691),""),Demand!$G$1:$X$1=$C691,"")</f>
        <v>0</v>
      </c>
    </row>
    <row r="692" spans="1:4">
      <c r="A692" t="s">
        <v>147</v>
      </c>
      <c r="B692" t="s">
        <v>136</v>
      </c>
      <c r="C692" s="11">
        <v>2045</v>
      </c>
      <c r="D692">
        <f t="array" ref="D692">_xlfn._xlws.FILTER(_xlfn._xlws.FILTER(Demand!$G$2:$X$66,(Demand!$E$2:$E$66=$A692),""),Demand!$G$1:$X$1=$C692,"")</f>
        <v>0</v>
      </c>
    </row>
    <row r="693" spans="1:4">
      <c r="A693" t="s">
        <v>147</v>
      </c>
      <c r="B693" t="s">
        <v>136</v>
      </c>
      <c r="C693" s="11">
        <v>2050</v>
      </c>
      <c r="D693">
        <f t="array" ref="D693">_xlfn._xlws.FILTER(_xlfn._xlws.FILTER(Demand!$G$2:$X$66,(Demand!$E$2:$E$66=$A693),""),Demand!$G$1:$X$1=$C693,"")</f>
        <v>0</v>
      </c>
    </row>
    <row r="694" spans="1:4">
      <c r="A694" t="s">
        <v>147</v>
      </c>
      <c r="B694" t="s">
        <v>136</v>
      </c>
      <c r="C694" s="11">
        <v>2055</v>
      </c>
      <c r="D694">
        <f t="array" ref="D694">_xlfn._xlws.FILTER(_xlfn._xlws.FILTER(Demand!$G$2:$X$66,(Demand!$E$2:$E$66=$A694),""),Demand!$G$1:$X$1=$C694,"")</f>
        <v>0</v>
      </c>
    </row>
    <row r="695" spans="1:4">
      <c r="A695" t="s">
        <v>147</v>
      </c>
      <c r="B695" t="s">
        <v>136</v>
      </c>
      <c r="C695" s="11">
        <v>2060</v>
      </c>
      <c r="D695">
        <f t="array" ref="D695">_xlfn._xlws.FILTER(_xlfn._xlws.FILTER(Demand!$G$2:$X$66,(Demand!$E$2:$E$66=$A695),""),Demand!$G$1:$X$1=$C695,"")</f>
        <v>0</v>
      </c>
    </row>
    <row r="696" spans="1:4">
      <c r="A696" t="s">
        <v>147</v>
      </c>
      <c r="B696" t="s">
        <v>136</v>
      </c>
      <c r="C696" s="11">
        <v>2065</v>
      </c>
      <c r="D696">
        <f t="array" ref="D696">_xlfn._xlws.FILTER(_xlfn._xlws.FILTER(Demand!$G$2:$X$66,(Demand!$E$2:$E$66=$A696),""),Demand!$G$1:$X$1=$C696,"")</f>
        <v>0</v>
      </c>
    </row>
    <row r="697" spans="1:4">
      <c r="A697" t="s">
        <v>147</v>
      </c>
      <c r="B697" t="s">
        <v>136</v>
      </c>
      <c r="C697" s="11">
        <v>2070</v>
      </c>
      <c r="D697">
        <f t="array" ref="D697">_xlfn._xlws.FILTER(_xlfn._xlws.FILTER(Demand!$G$2:$X$66,(Demand!$E$2:$E$66=$A697),""),Demand!$G$1:$X$1=$C697,"")</f>
        <v>0</v>
      </c>
    </row>
    <row r="698" spans="1:4">
      <c r="A698" t="s">
        <v>147</v>
      </c>
      <c r="B698" t="s">
        <v>136</v>
      </c>
      <c r="C698" s="11">
        <v>2075</v>
      </c>
      <c r="D698">
        <f t="array" ref="D698">_xlfn._xlws.FILTER(_xlfn._xlws.FILTER(Demand!$G$2:$X$66,(Demand!$E$2:$E$66=$A698),""),Demand!$G$1:$X$1=$C698,"")</f>
        <v>0</v>
      </c>
    </row>
    <row r="699" spans="1:4">
      <c r="A699" t="s">
        <v>147</v>
      </c>
      <c r="B699" t="s">
        <v>136</v>
      </c>
      <c r="C699" s="11">
        <v>2080</v>
      </c>
      <c r="D699">
        <f t="array" ref="D699">_xlfn._xlws.FILTER(_xlfn._xlws.FILTER(Demand!$G$2:$X$66,(Demand!$E$2:$E$66=$A699),""),Demand!$G$1:$X$1=$C699,"")</f>
        <v>0</v>
      </c>
    </row>
    <row r="700" spans="1:4">
      <c r="A700" t="s">
        <v>147</v>
      </c>
      <c r="B700" t="s">
        <v>136</v>
      </c>
      <c r="C700" s="11">
        <v>2085</v>
      </c>
      <c r="D700">
        <f t="array" ref="D700">_xlfn._xlws.FILTER(_xlfn._xlws.FILTER(Demand!$G$2:$X$66,(Demand!$E$2:$E$66=$A700),""),Demand!$G$1:$X$1=$C700,"")</f>
        <v>0</v>
      </c>
    </row>
    <row r="701" spans="1:4">
      <c r="A701" t="s">
        <v>147</v>
      </c>
      <c r="B701" t="s">
        <v>136</v>
      </c>
      <c r="C701" s="11">
        <v>2090</v>
      </c>
      <c r="D701">
        <f t="array" ref="D701">_xlfn._xlws.FILTER(_xlfn._xlws.FILTER(Demand!$G$2:$X$66,(Demand!$E$2:$E$66=$A701),""),Demand!$G$1:$X$1=$C701,"")</f>
        <v>0</v>
      </c>
    </row>
    <row r="702" spans="1:4">
      <c r="A702" t="s">
        <v>147</v>
      </c>
      <c r="B702" t="s">
        <v>136</v>
      </c>
      <c r="C702" s="11">
        <v>2095</v>
      </c>
      <c r="D702">
        <f t="array" ref="D702">_xlfn._xlws.FILTER(_xlfn._xlws.FILTER(Demand!$G$2:$X$66,(Demand!$E$2:$E$66=$A702),""),Demand!$G$1:$X$1=$C702,"")</f>
        <v>0</v>
      </c>
    </row>
    <row r="703" spans="1:4">
      <c r="A703" t="s">
        <v>147</v>
      </c>
      <c r="B703" t="s">
        <v>136</v>
      </c>
      <c r="C703" s="11">
        <v>2100</v>
      </c>
      <c r="D703">
        <f t="array" ref="D703">_xlfn._xlws.FILTER(_xlfn._xlws.FILTER(Demand!$G$2:$X$66,(Demand!$E$2:$E$66=$A703),""),Demand!$G$1:$X$1=$C703,"")</f>
        <v>0</v>
      </c>
    </row>
    <row r="704" spans="1:4">
      <c r="A704" t="s">
        <v>149</v>
      </c>
      <c r="B704" t="s">
        <v>136</v>
      </c>
      <c r="C704" s="11">
        <v>2019</v>
      </c>
      <c r="D704">
        <f t="array" ref="D704">_xlfn._xlws.FILTER(_xlfn._xlws.FILTER(Demand!$G$2:$X$66,(Demand!$E$2:$E$66=$A704),""),Demand!$G$1:$X$1=$C704,"")</f>
        <v>0</v>
      </c>
    </row>
    <row r="705" spans="1:4">
      <c r="A705" t="s">
        <v>149</v>
      </c>
      <c r="B705" t="s">
        <v>136</v>
      </c>
      <c r="C705" s="11">
        <v>2020</v>
      </c>
      <c r="D705">
        <f t="array" ref="D705">_xlfn._xlws.FILTER(_xlfn._xlws.FILTER(Demand!$G$2:$X$66,(Demand!$E$2:$E$66=$A705),""),Demand!$G$1:$X$1=$C705,"")</f>
        <v>0</v>
      </c>
    </row>
    <row r="706" spans="1:4">
      <c r="A706" t="s">
        <v>149</v>
      </c>
      <c r="B706" t="s">
        <v>136</v>
      </c>
      <c r="C706" s="11">
        <v>2025</v>
      </c>
      <c r="D706">
        <f t="array" ref="D706">_xlfn._xlws.FILTER(_xlfn._xlws.FILTER(Demand!$G$2:$X$66,(Demand!$E$2:$E$66=$A706),""),Demand!$G$1:$X$1=$C706,"")</f>
        <v>0</v>
      </c>
    </row>
    <row r="707" spans="1:4">
      <c r="A707" t="s">
        <v>149</v>
      </c>
      <c r="B707" t="s">
        <v>136</v>
      </c>
      <c r="C707" s="11">
        <v>2030</v>
      </c>
      <c r="D707">
        <f t="array" ref="D707">_xlfn._xlws.FILTER(_xlfn._xlws.FILTER(Demand!$G$2:$X$66,(Demand!$E$2:$E$66=$A707),""),Demand!$G$1:$X$1=$C707,"")</f>
        <v>0</v>
      </c>
    </row>
    <row r="708" spans="1:4">
      <c r="A708" t="s">
        <v>149</v>
      </c>
      <c r="B708" t="s">
        <v>136</v>
      </c>
      <c r="C708" s="11">
        <v>2035</v>
      </c>
      <c r="D708">
        <f t="array" ref="D708">_xlfn._xlws.FILTER(_xlfn._xlws.FILTER(Demand!$G$2:$X$66,(Demand!$E$2:$E$66=$A708),""),Demand!$G$1:$X$1=$C708,"")</f>
        <v>0</v>
      </c>
    </row>
    <row r="709" spans="1:4">
      <c r="A709" t="s">
        <v>149</v>
      </c>
      <c r="B709" t="s">
        <v>136</v>
      </c>
      <c r="C709" s="11">
        <v>2040</v>
      </c>
      <c r="D709">
        <f t="array" ref="D709">_xlfn._xlws.FILTER(_xlfn._xlws.FILTER(Demand!$G$2:$X$66,(Demand!$E$2:$E$66=$A709),""),Demand!$G$1:$X$1=$C709,"")</f>
        <v>0</v>
      </c>
    </row>
    <row r="710" spans="1:4">
      <c r="A710" t="s">
        <v>149</v>
      </c>
      <c r="B710" t="s">
        <v>136</v>
      </c>
      <c r="C710" s="11">
        <v>2045</v>
      </c>
      <c r="D710">
        <f t="array" ref="D710">_xlfn._xlws.FILTER(_xlfn._xlws.FILTER(Demand!$G$2:$X$66,(Demand!$E$2:$E$66=$A710),""),Demand!$G$1:$X$1=$C710,"")</f>
        <v>0</v>
      </c>
    </row>
    <row r="711" spans="1:4">
      <c r="A711" t="s">
        <v>149</v>
      </c>
      <c r="B711" t="s">
        <v>136</v>
      </c>
      <c r="C711" s="11">
        <v>2050</v>
      </c>
      <c r="D711">
        <f t="array" ref="D711">_xlfn._xlws.FILTER(_xlfn._xlws.FILTER(Demand!$G$2:$X$66,(Demand!$E$2:$E$66=$A711),""),Demand!$G$1:$X$1=$C711,"")</f>
        <v>0</v>
      </c>
    </row>
    <row r="712" spans="1:4">
      <c r="A712" t="s">
        <v>149</v>
      </c>
      <c r="B712" t="s">
        <v>136</v>
      </c>
      <c r="C712" s="11">
        <v>2055</v>
      </c>
      <c r="D712">
        <f t="array" ref="D712">_xlfn._xlws.FILTER(_xlfn._xlws.FILTER(Demand!$G$2:$X$66,(Demand!$E$2:$E$66=$A712),""),Demand!$G$1:$X$1=$C712,"")</f>
        <v>0</v>
      </c>
    </row>
    <row r="713" spans="1:4">
      <c r="A713" t="s">
        <v>149</v>
      </c>
      <c r="B713" t="s">
        <v>136</v>
      </c>
      <c r="C713" s="11">
        <v>2060</v>
      </c>
      <c r="D713">
        <f t="array" ref="D713">_xlfn._xlws.FILTER(_xlfn._xlws.FILTER(Demand!$G$2:$X$66,(Demand!$E$2:$E$66=$A713),""),Demand!$G$1:$X$1=$C713,"")</f>
        <v>0</v>
      </c>
    </row>
    <row r="714" spans="1:4">
      <c r="A714" t="s">
        <v>149</v>
      </c>
      <c r="B714" t="s">
        <v>136</v>
      </c>
      <c r="C714" s="11">
        <v>2065</v>
      </c>
      <c r="D714">
        <f t="array" ref="D714">_xlfn._xlws.FILTER(_xlfn._xlws.FILTER(Demand!$G$2:$X$66,(Demand!$E$2:$E$66=$A714),""),Demand!$G$1:$X$1=$C714,"")</f>
        <v>0</v>
      </c>
    </row>
    <row r="715" spans="1:4">
      <c r="A715" t="s">
        <v>149</v>
      </c>
      <c r="B715" t="s">
        <v>136</v>
      </c>
      <c r="C715" s="11">
        <v>2070</v>
      </c>
      <c r="D715">
        <f t="array" ref="D715">_xlfn._xlws.FILTER(_xlfn._xlws.FILTER(Demand!$G$2:$X$66,(Demand!$E$2:$E$66=$A715),""),Demand!$G$1:$X$1=$C715,"")</f>
        <v>0</v>
      </c>
    </row>
    <row r="716" spans="1:4">
      <c r="A716" t="s">
        <v>149</v>
      </c>
      <c r="B716" t="s">
        <v>136</v>
      </c>
      <c r="C716" s="11">
        <v>2075</v>
      </c>
      <c r="D716">
        <f t="array" ref="D716">_xlfn._xlws.FILTER(_xlfn._xlws.FILTER(Demand!$G$2:$X$66,(Demand!$E$2:$E$66=$A716),""),Demand!$G$1:$X$1=$C716,"")</f>
        <v>0</v>
      </c>
    </row>
    <row r="717" spans="1:4">
      <c r="A717" t="s">
        <v>149</v>
      </c>
      <c r="B717" t="s">
        <v>136</v>
      </c>
      <c r="C717" s="11">
        <v>2080</v>
      </c>
      <c r="D717">
        <f t="array" ref="D717">_xlfn._xlws.FILTER(_xlfn._xlws.FILTER(Demand!$G$2:$X$66,(Demand!$E$2:$E$66=$A717),""),Demand!$G$1:$X$1=$C717,"")</f>
        <v>0</v>
      </c>
    </row>
    <row r="718" spans="1:4">
      <c r="A718" t="s">
        <v>149</v>
      </c>
      <c r="B718" t="s">
        <v>136</v>
      </c>
      <c r="C718" s="11">
        <v>2085</v>
      </c>
      <c r="D718">
        <f t="array" ref="D718">_xlfn._xlws.FILTER(_xlfn._xlws.FILTER(Demand!$G$2:$X$66,(Demand!$E$2:$E$66=$A718),""),Demand!$G$1:$X$1=$C718,"")</f>
        <v>0</v>
      </c>
    </row>
    <row r="719" spans="1:4">
      <c r="A719" t="s">
        <v>149</v>
      </c>
      <c r="B719" t="s">
        <v>136</v>
      </c>
      <c r="C719" s="11">
        <v>2090</v>
      </c>
      <c r="D719">
        <f t="array" ref="D719">_xlfn._xlws.FILTER(_xlfn._xlws.FILTER(Demand!$G$2:$X$66,(Demand!$E$2:$E$66=$A719),""),Demand!$G$1:$X$1=$C719,"")</f>
        <v>0</v>
      </c>
    </row>
    <row r="720" spans="1:4">
      <c r="A720" t="s">
        <v>149</v>
      </c>
      <c r="B720" t="s">
        <v>136</v>
      </c>
      <c r="C720" s="11">
        <v>2095</v>
      </c>
      <c r="D720">
        <f t="array" ref="D720">_xlfn._xlws.FILTER(_xlfn._xlws.FILTER(Demand!$G$2:$X$66,(Demand!$E$2:$E$66=$A720),""),Demand!$G$1:$X$1=$C720,"")</f>
        <v>0</v>
      </c>
    </row>
    <row r="721" spans="1:4">
      <c r="A721" t="s">
        <v>149</v>
      </c>
      <c r="B721" t="s">
        <v>136</v>
      </c>
      <c r="C721" s="11">
        <v>2100</v>
      </c>
      <c r="D721">
        <f t="array" ref="D721">_xlfn._xlws.FILTER(_xlfn._xlws.FILTER(Demand!$G$2:$X$66,(Demand!$E$2:$E$66=$A721),""),Demand!$G$1:$X$1=$C721,"")</f>
        <v>0</v>
      </c>
    </row>
    <row r="722" spans="1:4">
      <c r="A722" t="s">
        <v>151</v>
      </c>
      <c r="B722" t="s">
        <v>136</v>
      </c>
      <c r="C722" s="11">
        <v>2019</v>
      </c>
      <c r="D722">
        <f t="array" ref="D722">_xlfn._xlws.FILTER(_xlfn._xlws.FILTER(Demand!$G$2:$X$66,(Demand!$E$2:$E$66=$A722),""),Demand!$G$1:$X$1=$C722,"")</f>
        <v>1367.6201505846741</v>
      </c>
    </row>
    <row r="723" spans="1:4">
      <c r="A723" t="s">
        <v>151</v>
      </c>
      <c r="B723" t="s">
        <v>136</v>
      </c>
      <c r="C723" s="11">
        <v>2020</v>
      </c>
      <c r="D723">
        <f t="array" ref="D723">_xlfn._xlws.FILTER(_xlfn._xlws.FILTER(Demand!$G$2:$X$66,(Demand!$E$2:$E$66=$A723),""),Demand!$G$1:$X$1=$C723,"")</f>
        <v>1374.4582513375981</v>
      </c>
    </row>
    <row r="724" spans="1:4">
      <c r="A724" t="s">
        <v>151</v>
      </c>
      <c r="B724" t="s">
        <v>136</v>
      </c>
      <c r="C724" s="11">
        <v>2025</v>
      </c>
      <c r="D724">
        <f t="array" ref="D724">_xlfn._xlws.FILTER(_xlfn._xlws.FILTER(Demand!$G$2:$X$66,(Demand!$E$2:$E$66=$A724),""),Demand!$G$1:$X$1=$C724,"")</f>
        <v>1408.819707621037</v>
      </c>
    </row>
    <row r="725" spans="1:4">
      <c r="A725" t="s">
        <v>151</v>
      </c>
      <c r="B725" t="s">
        <v>136</v>
      </c>
      <c r="C725" s="11">
        <v>2030</v>
      </c>
      <c r="D725">
        <f t="array" ref="D725">_xlfn._xlws.FILTER(_xlfn._xlws.FILTER(Demand!$G$2:$X$66,(Demand!$E$2:$E$66=$A725),""),Demand!$G$1:$X$1=$C725,"")</f>
        <v>1444.040200311563</v>
      </c>
    </row>
    <row r="726" spans="1:4">
      <c r="A726" t="s">
        <v>151</v>
      </c>
      <c r="B726" t="s">
        <v>136</v>
      </c>
      <c r="C726" s="11">
        <v>2035</v>
      </c>
      <c r="D726">
        <f t="array" ref="D726">_xlfn._xlws.FILTER(_xlfn._xlws.FILTER(Demand!$G$2:$X$66,(Demand!$E$2:$E$66=$A726),""),Demand!$G$1:$X$1=$C726,"")</f>
        <v>1480.1412053193519</v>
      </c>
    </row>
    <row r="727" spans="1:4">
      <c r="A727" t="s">
        <v>151</v>
      </c>
      <c r="B727" t="s">
        <v>136</v>
      </c>
      <c r="C727" s="11">
        <v>2040</v>
      </c>
      <c r="D727">
        <f t="array" ref="D727">_xlfn._xlws.FILTER(_xlfn._xlws.FILTER(Demand!$G$2:$X$66,(Demand!$E$2:$E$66=$A727),""),Demand!$G$1:$X$1=$C727,"")</f>
        <v>1517.1447354523359</v>
      </c>
    </row>
    <row r="728" spans="1:4">
      <c r="A728" t="s">
        <v>151</v>
      </c>
      <c r="B728" t="s">
        <v>136</v>
      </c>
      <c r="C728" s="11">
        <v>2045</v>
      </c>
      <c r="D728">
        <f t="array" ref="D728">_xlfn._xlws.FILTER(_xlfn._xlws.FILTER(Demand!$G$2:$X$66,(Demand!$E$2:$E$66=$A728),""),Demand!$G$1:$X$1=$C728,"")</f>
        <v>1555.0733538386439</v>
      </c>
    </row>
    <row r="729" spans="1:4">
      <c r="A729" t="s">
        <v>151</v>
      </c>
      <c r="B729" t="s">
        <v>136</v>
      </c>
      <c r="C729" s="11">
        <v>2050</v>
      </c>
      <c r="D729">
        <f t="array" ref="D729">_xlfn._xlws.FILTER(_xlfn._xlws.FILTER(Demand!$G$2:$X$66,(Demand!$E$2:$E$66=$A729),""),Demand!$G$1:$X$1=$C729,"")</f>
        <v>1593.95018768461</v>
      </c>
    </row>
    <row r="730" spans="1:4">
      <c r="A730" t="s">
        <v>151</v>
      </c>
      <c r="B730" t="s">
        <v>136</v>
      </c>
      <c r="C730" s="11">
        <v>2055</v>
      </c>
      <c r="D730">
        <f t="array" ref="D730">_xlfn._xlws.FILTER(_xlfn._xlws.FILTER(Demand!$G$2:$X$66,(Demand!$E$2:$E$66=$A730),""),Demand!$G$1:$X$1=$C730,"")</f>
        <v>1633.7989423767251</v>
      </c>
    </row>
    <row r="731" spans="1:4">
      <c r="A731" t="s">
        <v>151</v>
      </c>
      <c r="B731" t="s">
        <v>136</v>
      </c>
      <c r="C731" s="11">
        <v>2060</v>
      </c>
      <c r="D731">
        <f t="array" ref="D731">_xlfn._xlws.FILTER(_xlfn._xlws.FILTER(Demand!$G$2:$X$66,(Demand!$E$2:$E$66=$A731),""),Demand!$G$1:$X$1=$C731,"")</f>
        <v>1674.643915936143</v>
      </c>
    </row>
    <row r="732" spans="1:4">
      <c r="A732" t="s">
        <v>151</v>
      </c>
      <c r="B732" t="s">
        <v>136</v>
      </c>
      <c r="C732" s="11">
        <v>2065</v>
      </c>
      <c r="D732">
        <f t="array" ref="D732">_xlfn._xlws.FILTER(_xlfn._xlws.FILTER(Demand!$G$2:$X$66,(Demand!$E$2:$E$66=$A732),""),Demand!$G$1:$X$1=$C732,"")</f>
        <v>1716.510013834547</v>
      </c>
    </row>
    <row r="733" spans="1:4">
      <c r="A733" t="s">
        <v>151</v>
      </c>
      <c r="B733" t="s">
        <v>136</v>
      </c>
      <c r="C733" s="11">
        <v>2070</v>
      </c>
      <c r="D733">
        <f t="array" ref="D733">_xlfn._xlws.FILTER(_xlfn._xlws.FILTER(Demand!$G$2:$X$66,(Demand!$E$2:$E$66=$A733),""),Demand!$G$1:$X$1=$C733,"")</f>
        <v>1759.42276418041</v>
      </c>
    </row>
    <row r="734" spans="1:4">
      <c r="A734" t="s">
        <v>151</v>
      </c>
      <c r="B734" t="s">
        <v>136</v>
      </c>
      <c r="C734" s="11">
        <v>2075</v>
      </c>
      <c r="D734">
        <f t="array" ref="D734">_xlfn._xlws.FILTER(_xlfn._xlws.FILTER(Demand!$G$2:$X$66,(Demand!$E$2:$E$66=$A734),""),Demand!$G$1:$X$1=$C734,"")</f>
        <v>1803.40833328492</v>
      </c>
    </row>
    <row r="735" spans="1:4">
      <c r="A735" t="s">
        <v>151</v>
      </c>
      <c r="B735" t="s">
        <v>136</v>
      </c>
      <c r="C735" s="11">
        <v>2080</v>
      </c>
      <c r="D735">
        <f t="array" ref="D735">_xlfn._xlws.FILTER(_xlfn._xlws.FILTER(Demand!$G$2:$X$66,(Demand!$E$2:$E$66=$A735),""),Demand!$G$1:$X$1=$C735,"")</f>
        <v>1848.4935416170431</v>
      </c>
    </row>
    <row r="736" spans="1:4">
      <c r="A736" t="s">
        <v>151</v>
      </c>
      <c r="B736" t="s">
        <v>136</v>
      </c>
      <c r="C736" s="11">
        <v>2085</v>
      </c>
      <c r="D736">
        <f t="array" ref="D736">_xlfn._xlws.FILTER(_xlfn._xlws.FILTER(Demand!$G$2:$X$66,(Demand!$E$2:$E$66=$A736),""),Demand!$G$1:$X$1=$C736,"")</f>
        <v>1894.705880157469</v>
      </c>
    </row>
    <row r="737" spans="1:4">
      <c r="A737" t="s">
        <v>151</v>
      </c>
      <c r="B737" t="s">
        <v>136</v>
      </c>
      <c r="C737" s="11">
        <v>2090</v>
      </c>
      <c r="D737">
        <f t="array" ref="D737">_xlfn._xlws.FILTER(_xlfn._xlws.FILTER(Demand!$G$2:$X$66,(Demand!$E$2:$E$66=$A737),""),Demand!$G$1:$X$1=$C737,"")</f>
        <v>1942.073527161406</v>
      </c>
    </row>
    <row r="738" spans="1:4">
      <c r="A738" t="s">
        <v>151</v>
      </c>
      <c r="B738" t="s">
        <v>136</v>
      </c>
      <c r="C738" s="11">
        <v>2095</v>
      </c>
      <c r="D738">
        <f t="array" ref="D738">_xlfn._xlws.FILTER(_xlfn._xlws.FILTER(Demand!$G$2:$X$66,(Demand!$E$2:$E$66=$A738),""),Demand!$G$1:$X$1=$C738,"")</f>
        <v>1990.625365340441</v>
      </c>
    </row>
    <row r="739" spans="1:4">
      <c r="A739" t="s">
        <v>151</v>
      </c>
      <c r="B739" t="s">
        <v>136</v>
      </c>
      <c r="C739" s="11">
        <v>2100</v>
      </c>
      <c r="D739">
        <f t="array" ref="D739">_xlfn._xlws.FILTER(_xlfn._xlws.FILTER(Demand!$G$2:$X$66,(Demand!$E$2:$E$66=$A739),""),Demand!$G$1:$X$1=$C739,"")</f>
        <v>2040.390999473952</v>
      </c>
    </row>
    <row r="740" spans="1:4">
      <c r="A740" t="s">
        <v>153</v>
      </c>
      <c r="B740" t="s">
        <v>136</v>
      </c>
      <c r="C740" s="11">
        <v>2019</v>
      </c>
      <c r="D740">
        <f t="array" ref="D740">_xlfn._xlws.FILTER(_xlfn._xlws.FILTER(Demand!$G$2:$X$66,(Demand!$E$2:$E$66=$A740),""),Demand!$G$1:$X$1=$C740,"")</f>
        <v>0</v>
      </c>
    </row>
    <row r="741" spans="1:4">
      <c r="A741" t="s">
        <v>153</v>
      </c>
      <c r="B741" t="s">
        <v>136</v>
      </c>
      <c r="C741" s="11">
        <v>2020</v>
      </c>
      <c r="D741">
        <f t="array" ref="D741">_xlfn._xlws.FILTER(_xlfn._xlws.FILTER(Demand!$G$2:$X$66,(Demand!$E$2:$E$66=$A741),""),Demand!$G$1:$X$1=$C741,"")</f>
        <v>0</v>
      </c>
    </row>
    <row r="742" spans="1:4">
      <c r="A742" t="s">
        <v>153</v>
      </c>
      <c r="B742" t="s">
        <v>136</v>
      </c>
      <c r="C742" s="11">
        <v>2025</v>
      </c>
      <c r="D742">
        <f t="array" ref="D742">_xlfn._xlws.FILTER(_xlfn._xlws.FILTER(Demand!$G$2:$X$66,(Demand!$E$2:$E$66=$A742),""),Demand!$G$1:$X$1=$C742,"")</f>
        <v>0</v>
      </c>
    </row>
    <row r="743" spans="1:4">
      <c r="A743" t="s">
        <v>153</v>
      </c>
      <c r="B743" t="s">
        <v>136</v>
      </c>
      <c r="C743" s="11">
        <v>2030</v>
      </c>
      <c r="D743">
        <f t="array" ref="D743">_xlfn._xlws.FILTER(_xlfn._xlws.FILTER(Demand!$G$2:$X$66,(Demand!$E$2:$E$66=$A743),""),Demand!$G$1:$X$1=$C743,"")</f>
        <v>0</v>
      </c>
    </row>
    <row r="744" spans="1:4">
      <c r="A744" t="s">
        <v>153</v>
      </c>
      <c r="B744" t="s">
        <v>136</v>
      </c>
      <c r="C744" s="11">
        <v>2035</v>
      </c>
      <c r="D744">
        <f t="array" ref="D744">_xlfn._xlws.FILTER(_xlfn._xlws.FILTER(Demand!$G$2:$X$66,(Demand!$E$2:$E$66=$A744),""),Demand!$G$1:$X$1=$C744,"")</f>
        <v>0</v>
      </c>
    </row>
    <row r="745" spans="1:4">
      <c r="A745" t="s">
        <v>153</v>
      </c>
      <c r="B745" t="s">
        <v>136</v>
      </c>
      <c r="C745" s="11">
        <v>2040</v>
      </c>
      <c r="D745">
        <f t="array" ref="D745">_xlfn._xlws.FILTER(_xlfn._xlws.FILTER(Demand!$G$2:$X$66,(Demand!$E$2:$E$66=$A745),""),Demand!$G$1:$X$1=$C745,"")</f>
        <v>0</v>
      </c>
    </row>
    <row r="746" spans="1:4">
      <c r="A746" t="s">
        <v>153</v>
      </c>
      <c r="B746" t="s">
        <v>136</v>
      </c>
      <c r="C746" s="11">
        <v>2045</v>
      </c>
      <c r="D746">
        <f t="array" ref="D746">_xlfn._xlws.FILTER(_xlfn._xlws.FILTER(Demand!$G$2:$X$66,(Demand!$E$2:$E$66=$A746),""),Demand!$G$1:$X$1=$C746,"")</f>
        <v>0</v>
      </c>
    </row>
    <row r="747" spans="1:4">
      <c r="A747" t="s">
        <v>153</v>
      </c>
      <c r="B747" t="s">
        <v>136</v>
      </c>
      <c r="C747" s="11">
        <v>2050</v>
      </c>
      <c r="D747">
        <f t="array" ref="D747">_xlfn._xlws.FILTER(_xlfn._xlws.FILTER(Demand!$G$2:$X$66,(Demand!$E$2:$E$66=$A747),""),Demand!$G$1:$X$1=$C747,"")</f>
        <v>0</v>
      </c>
    </row>
    <row r="748" spans="1:4">
      <c r="A748" t="s">
        <v>153</v>
      </c>
      <c r="B748" t="s">
        <v>136</v>
      </c>
      <c r="C748" s="11">
        <v>2055</v>
      </c>
      <c r="D748">
        <f t="array" ref="D748">_xlfn._xlws.FILTER(_xlfn._xlws.FILTER(Demand!$G$2:$X$66,(Demand!$E$2:$E$66=$A748),""),Demand!$G$1:$X$1=$C748,"")</f>
        <v>0</v>
      </c>
    </row>
    <row r="749" spans="1:4">
      <c r="A749" t="s">
        <v>153</v>
      </c>
      <c r="B749" t="s">
        <v>136</v>
      </c>
      <c r="C749" s="11">
        <v>2060</v>
      </c>
      <c r="D749">
        <f t="array" ref="D749">_xlfn._xlws.FILTER(_xlfn._xlws.FILTER(Demand!$G$2:$X$66,(Demand!$E$2:$E$66=$A749),""),Demand!$G$1:$X$1=$C749,"")</f>
        <v>0</v>
      </c>
    </row>
    <row r="750" spans="1:4">
      <c r="A750" t="s">
        <v>153</v>
      </c>
      <c r="B750" t="s">
        <v>136</v>
      </c>
      <c r="C750" s="11">
        <v>2065</v>
      </c>
      <c r="D750">
        <f t="array" ref="D750">_xlfn._xlws.FILTER(_xlfn._xlws.FILTER(Demand!$G$2:$X$66,(Demand!$E$2:$E$66=$A750),""),Demand!$G$1:$X$1=$C750,"")</f>
        <v>0</v>
      </c>
    </row>
    <row r="751" spans="1:4">
      <c r="A751" t="s">
        <v>153</v>
      </c>
      <c r="B751" t="s">
        <v>136</v>
      </c>
      <c r="C751" s="11">
        <v>2070</v>
      </c>
      <c r="D751">
        <f t="array" ref="D751">_xlfn._xlws.FILTER(_xlfn._xlws.FILTER(Demand!$G$2:$X$66,(Demand!$E$2:$E$66=$A751),""),Demand!$G$1:$X$1=$C751,"")</f>
        <v>0</v>
      </c>
    </row>
    <row r="752" spans="1:4">
      <c r="A752" t="s">
        <v>153</v>
      </c>
      <c r="B752" t="s">
        <v>136</v>
      </c>
      <c r="C752" s="11">
        <v>2075</v>
      </c>
      <c r="D752">
        <f t="array" ref="D752">_xlfn._xlws.FILTER(_xlfn._xlws.FILTER(Demand!$G$2:$X$66,(Demand!$E$2:$E$66=$A752),""),Demand!$G$1:$X$1=$C752,"")</f>
        <v>0</v>
      </c>
    </row>
    <row r="753" spans="1:4">
      <c r="A753" t="s">
        <v>153</v>
      </c>
      <c r="B753" t="s">
        <v>136</v>
      </c>
      <c r="C753" s="11">
        <v>2080</v>
      </c>
      <c r="D753">
        <f t="array" ref="D753">_xlfn._xlws.FILTER(_xlfn._xlws.FILTER(Demand!$G$2:$X$66,(Demand!$E$2:$E$66=$A753),""),Demand!$G$1:$X$1=$C753,"")</f>
        <v>0</v>
      </c>
    </row>
    <row r="754" spans="1:4">
      <c r="A754" t="s">
        <v>153</v>
      </c>
      <c r="B754" t="s">
        <v>136</v>
      </c>
      <c r="C754" s="11">
        <v>2085</v>
      </c>
      <c r="D754">
        <f t="array" ref="D754">_xlfn._xlws.FILTER(_xlfn._xlws.FILTER(Demand!$G$2:$X$66,(Demand!$E$2:$E$66=$A754),""),Demand!$G$1:$X$1=$C754,"")</f>
        <v>0</v>
      </c>
    </row>
    <row r="755" spans="1:4">
      <c r="A755" t="s">
        <v>153</v>
      </c>
      <c r="B755" t="s">
        <v>136</v>
      </c>
      <c r="C755" s="11">
        <v>2090</v>
      </c>
      <c r="D755">
        <f t="array" ref="D755">_xlfn._xlws.FILTER(_xlfn._xlws.FILTER(Demand!$G$2:$X$66,(Demand!$E$2:$E$66=$A755),""),Demand!$G$1:$X$1=$C755,"")</f>
        <v>0</v>
      </c>
    </row>
    <row r="756" spans="1:4">
      <c r="A756" t="s">
        <v>153</v>
      </c>
      <c r="B756" t="s">
        <v>136</v>
      </c>
      <c r="C756" s="11">
        <v>2095</v>
      </c>
      <c r="D756">
        <f t="array" ref="D756">_xlfn._xlws.FILTER(_xlfn._xlws.FILTER(Demand!$G$2:$X$66,(Demand!$E$2:$E$66=$A756),""),Demand!$G$1:$X$1=$C756,"")</f>
        <v>0</v>
      </c>
    </row>
    <row r="757" spans="1:4">
      <c r="A757" t="s">
        <v>153</v>
      </c>
      <c r="B757" t="s">
        <v>136</v>
      </c>
      <c r="C757" s="11">
        <v>2100</v>
      </c>
      <c r="D757">
        <f t="array" ref="D757">_xlfn._xlws.FILTER(_xlfn._xlws.FILTER(Demand!$G$2:$X$66,(Demand!$E$2:$E$66=$A757),""),Demand!$G$1:$X$1=$C757,"")</f>
        <v>0</v>
      </c>
    </row>
    <row r="758" spans="1:4">
      <c r="A758" t="s">
        <v>155</v>
      </c>
      <c r="B758" t="s">
        <v>136</v>
      </c>
      <c r="C758" s="11">
        <v>2019</v>
      </c>
      <c r="D758">
        <f t="array" ref="D758">_xlfn._xlws.FILTER(_xlfn._xlws.FILTER(Demand!$G$2:$X$66,(Demand!$E$2:$E$66=$A758),""),Demand!$G$1:$X$1=$C758,"")</f>
        <v>498.20418535334039</v>
      </c>
    </row>
    <row r="759" spans="1:4">
      <c r="A759" t="s">
        <v>155</v>
      </c>
      <c r="B759" t="s">
        <v>136</v>
      </c>
      <c r="C759" s="11">
        <v>2020</v>
      </c>
      <c r="D759">
        <f t="array" ref="D759">_xlfn._xlws.FILTER(_xlfn._xlws.FILTER(Demand!$G$2:$X$66,(Demand!$E$2:$E$66=$A759),""),Demand!$G$1:$X$1=$C759,"")</f>
        <v>500.69520628010702</v>
      </c>
    </row>
    <row r="760" spans="1:4">
      <c r="A760" t="s">
        <v>155</v>
      </c>
      <c r="B760" t="s">
        <v>136</v>
      </c>
      <c r="C760" s="11">
        <v>2025</v>
      </c>
      <c r="D760">
        <f t="array" ref="D760">_xlfn._xlws.FILTER(_xlfn._xlws.FILTER(Demand!$G$2:$X$66,(Demand!$E$2:$E$66=$A760),""),Demand!$G$1:$X$1=$C760,"")</f>
        <v>513.21258643710962</v>
      </c>
    </row>
    <row r="761" spans="1:4">
      <c r="A761" t="s">
        <v>155</v>
      </c>
      <c r="B761" t="s">
        <v>136</v>
      </c>
      <c r="C761" s="11">
        <v>2030</v>
      </c>
      <c r="D761">
        <f t="array" ref="D761">_xlfn._xlws.FILTER(_xlfn._xlws.FILTER(Demand!$G$2:$X$66,(Demand!$E$2:$E$66=$A761),""),Demand!$G$1:$X$1=$C761,"")</f>
        <v>526.04290109803731</v>
      </c>
    </row>
    <row r="762" spans="1:4">
      <c r="A762" t="s">
        <v>155</v>
      </c>
      <c r="B762" t="s">
        <v>136</v>
      </c>
      <c r="C762" s="11">
        <v>2035</v>
      </c>
      <c r="D762">
        <f t="array" ref="D762">_xlfn._xlws.FILTER(_xlfn._xlws.FILTER(Demand!$G$2:$X$66,(Demand!$E$2:$E$66=$A762),""),Demand!$G$1:$X$1=$C762,"")</f>
        <v>539.19397362548818</v>
      </c>
    </row>
    <row r="763" spans="1:4">
      <c r="A763" t="s">
        <v>155</v>
      </c>
      <c r="B763" t="s">
        <v>136</v>
      </c>
      <c r="C763" s="11">
        <v>2040</v>
      </c>
      <c r="D763">
        <f t="array" ref="D763">_xlfn._xlws.FILTER(_xlfn._xlws.FILTER(Demand!$G$2:$X$66,(Demand!$E$2:$E$66=$A763),""),Demand!$G$1:$X$1=$C763,"")</f>
        <v>552.67382296612539</v>
      </c>
    </row>
    <row r="764" spans="1:4">
      <c r="A764" t="s">
        <v>155</v>
      </c>
      <c r="B764" t="s">
        <v>136</v>
      </c>
      <c r="C764" s="11">
        <v>2045</v>
      </c>
      <c r="D764">
        <f t="array" ref="D764">_xlfn._xlws.FILTER(_xlfn._xlws.FILTER(Demand!$G$2:$X$66,(Demand!$E$2:$E$66=$A764),""),Demand!$G$1:$X$1=$C764,"")</f>
        <v>566.49066854027842</v>
      </c>
    </row>
    <row r="765" spans="1:4">
      <c r="A765" t="s">
        <v>155</v>
      </c>
      <c r="B765" t="s">
        <v>136</v>
      </c>
      <c r="C765" s="11">
        <v>2050</v>
      </c>
      <c r="D765">
        <f t="array" ref="D765">_xlfn._xlws.FILTER(_xlfn._xlws.FILTER(Demand!$G$2:$X$66,(Demand!$E$2:$E$66=$A765),""),Demand!$G$1:$X$1=$C765,"")</f>
        <v>580.65293525378536</v>
      </c>
    </row>
    <row r="766" spans="1:4">
      <c r="A766" t="s">
        <v>155</v>
      </c>
      <c r="B766" t="s">
        <v>136</v>
      </c>
      <c r="C766" s="11">
        <v>2055</v>
      </c>
      <c r="D766">
        <f t="array" ref="D766">_xlfn._xlws.FILTER(_xlfn._xlws.FILTER(Demand!$G$2:$X$66,(Demand!$E$2:$E$66=$A766),""),Demand!$G$1:$X$1=$C766,"")</f>
        <v>595.16925863512995</v>
      </c>
    </row>
    <row r="767" spans="1:4">
      <c r="A767" t="s">
        <v>155</v>
      </c>
      <c r="B767" t="s">
        <v>136</v>
      </c>
      <c r="C767" s="11">
        <v>2060</v>
      </c>
      <c r="D767">
        <f t="array" ref="D767">_xlfn._xlws.FILTER(_xlfn._xlws.FILTER(Demand!$G$2:$X$66,(Demand!$E$2:$E$66=$A767),""),Demand!$G$1:$X$1=$C767,"")</f>
        <v>610.04849010100816</v>
      </c>
    </row>
    <row r="768" spans="1:4">
      <c r="A768" t="s">
        <v>155</v>
      </c>
      <c r="B768" t="s">
        <v>136</v>
      </c>
      <c r="C768" s="11">
        <v>2065</v>
      </c>
      <c r="D768">
        <f t="array" ref="D768">_xlfn._xlws.FILTER(_xlfn._xlws.FILTER(Demand!$G$2:$X$66,(Demand!$E$2:$E$66=$A768),""),Demand!$G$1:$X$1=$C768,"")</f>
        <v>625.29970235353335</v>
      </c>
    </row>
    <row r="769" spans="1:4">
      <c r="A769" t="s">
        <v>155</v>
      </c>
      <c r="B769" t="s">
        <v>136</v>
      </c>
      <c r="C769" s="11">
        <v>2070</v>
      </c>
      <c r="D769">
        <f t="array" ref="D769">_xlfn._xlws.FILTER(_xlfn._xlws.FILTER(Demand!$G$2:$X$66,(Demand!$E$2:$E$66=$A769),""),Demand!$G$1:$X$1=$C769,"")</f>
        <v>640.93219491237164</v>
      </c>
    </row>
    <row r="770" spans="1:4">
      <c r="A770" t="s">
        <v>155</v>
      </c>
      <c r="B770" t="s">
        <v>136</v>
      </c>
      <c r="C770" s="11">
        <v>2075</v>
      </c>
      <c r="D770">
        <f t="array" ref="D770">_xlfn._xlws.FILTER(_xlfn._xlws.FILTER(Demand!$G$2:$X$66,(Demand!$E$2:$E$66=$A770),""),Demand!$G$1:$X$1=$C770,"")</f>
        <v>656.9554997851809</v>
      </c>
    </row>
    <row r="771" spans="1:4">
      <c r="A771" t="s">
        <v>155</v>
      </c>
      <c r="B771" t="s">
        <v>136</v>
      </c>
      <c r="C771" s="11">
        <v>2080</v>
      </c>
      <c r="D771">
        <f t="array" ref="D771">_xlfn._xlws.FILTER(_xlfn._xlws.FILTER(Demand!$G$2:$X$66,(Demand!$E$2:$E$66=$A771),""),Demand!$G$1:$X$1=$C771,"")</f>
        <v>673.37938727981032</v>
      </c>
    </row>
    <row r="772" spans="1:4">
      <c r="A772" t="s">
        <v>155</v>
      </c>
      <c r="B772" t="s">
        <v>136</v>
      </c>
      <c r="C772" s="11">
        <v>2085</v>
      </c>
      <c r="D772">
        <f t="array" ref="D772">_xlfn._xlws.FILTER(_xlfn._xlws.FILTER(Demand!$G$2:$X$66,(Demand!$E$2:$E$66=$A772),""),Demand!$G$1:$X$1=$C772,"")</f>
        <v>690.21387196180547</v>
      </c>
    </row>
    <row r="773" spans="1:4">
      <c r="A773" t="s">
        <v>155</v>
      </c>
      <c r="B773" t="s">
        <v>136</v>
      </c>
      <c r="C773" s="11">
        <v>2090</v>
      </c>
      <c r="D773">
        <f t="array" ref="D773">_xlfn._xlws.FILTER(_xlfn._xlws.FILTER(Demand!$G$2:$X$66,(Demand!$E$2:$E$66=$A773),""),Demand!$G$1:$X$1=$C773,"")</f>
        <v>707.46921876085059</v>
      </c>
    </row>
    <row r="774" spans="1:4">
      <c r="A774" t="s">
        <v>155</v>
      </c>
      <c r="B774" t="s">
        <v>136</v>
      </c>
      <c r="C774" s="11">
        <v>2095</v>
      </c>
      <c r="D774">
        <f t="array" ref="D774">_xlfn._xlws.FILTER(_xlfn._xlws.FILTER(Demand!$G$2:$X$66,(Demand!$E$2:$E$66=$A774),""),Demand!$G$1:$X$1=$C774,"")</f>
        <v>725.15594922987179</v>
      </c>
    </row>
    <row r="775" spans="1:4">
      <c r="A775" t="s">
        <v>155</v>
      </c>
      <c r="B775" t="s">
        <v>136</v>
      </c>
      <c r="C775" s="11">
        <v>2100</v>
      </c>
      <c r="D775">
        <f t="array" ref="D775">_xlfn._xlws.FILTER(_xlfn._xlws.FILTER(Demand!$G$2:$X$66,(Demand!$E$2:$E$66=$A775),""),Demand!$G$1:$X$1=$C775,"")</f>
        <v>743.28484796061855</v>
      </c>
    </row>
    <row r="776" spans="1:4">
      <c r="A776" t="s">
        <v>157</v>
      </c>
      <c r="B776" t="s">
        <v>136</v>
      </c>
      <c r="C776" s="11">
        <v>2019</v>
      </c>
      <c r="D776">
        <f t="array" ref="D776">_xlfn._xlws.FILTER(_xlfn._xlws.FILTER(Demand!$G$2:$X$66,(Demand!$E$2:$E$66=$A776),""),Demand!$G$1:$X$1=$C776,"")</f>
        <v>86.053217342719677</v>
      </c>
    </row>
    <row r="777" spans="1:4">
      <c r="A777" t="s">
        <v>157</v>
      </c>
      <c r="B777" t="s">
        <v>136</v>
      </c>
      <c r="C777" s="11">
        <v>2020</v>
      </c>
      <c r="D777">
        <f t="array" ref="D777">_xlfn._xlws.FILTER(_xlfn._xlws.FILTER(Demand!$G$2:$X$66,(Demand!$E$2:$E$66=$A777),""),Demand!$G$1:$X$1=$C777,"")</f>
        <v>86.483483429433264</v>
      </c>
    </row>
    <row r="778" spans="1:4">
      <c r="A778" t="s">
        <v>157</v>
      </c>
      <c r="B778" t="s">
        <v>136</v>
      </c>
      <c r="C778" s="11">
        <v>2025</v>
      </c>
      <c r="D778">
        <f t="array" ref="D778">_xlfn._xlws.FILTER(_xlfn._xlws.FILTER(Demand!$G$2:$X$66,(Demand!$E$2:$E$66=$A778),""),Demand!$G$1:$X$1=$C778,"")</f>
        <v>88.645570515169084</v>
      </c>
    </row>
    <row r="779" spans="1:4">
      <c r="A779" t="s">
        <v>157</v>
      </c>
      <c r="B779" t="s">
        <v>136</v>
      </c>
      <c r="C779" s="11">
        <v>2030</v>
      </c>
      <c r="D779">
        <f t="array" ref="D779">_xlfn._xlws.FILTER(_xlfn._xlws.FILTER(Demand!$G$2:$X$66,(Demand!$E$2:$E$66=$A779),""),Demand!$G$1:$X$1=$C779,"")</f>
        <v>90.861709778048308</v>
      </c>
    </row>
    <row r="780" spans="1:4">
      <c r="A780" t="s">
        <v>157</v>
      </c>
      <c r="B780" t="s">
        <v>136</v>
      </c>
      <c r="C780" s="11">
        <v>2035</v>
      </c>
      <c r="D780">
        <f t="array" ref="D780">_xlfn._xlws.FILTER(_xlfn._xlws.FILTER(Demand!$G$2:$X$66,(Demand!$E$2:$E$66=$A780),""),Demand!$G$1:$X$1=$C780,"")</f>
        <v>93.133252522499504</v>
      </c>
    </row>
    <row r="781" spans="1:4">
      <c r="A781" t="s">
        <v>157</v>
      </c>
      <c r="B781" t="s">
        <v>136</v>
      </c>
      <c r="C781" s="11">
        <v>2040</v>
      </c>
      <c r="D781">
        <f t="array" ref="D781">_xlfn._xlws.FILTER(_xlfn._xlws.FILTER(Demand!$G$2:$X$66,(Demand!$E$2:$E$66=$A781),""),Demand!$G$1:$X$1=$C781,"")</f>
        <v>95.461583835561981</v>
      </c>
    </row>
    <row r="782" spans="1:4">
      <c r="A782" t="s">
        <v>157</v>
      </c>
      <c r="B782" t="s">
        <v>136</v>
      </c>
      <c r="C782" s="11">
        <v>2045</v>
      </c>
      <c r="D782">
        <f t="array" ref="D782">_xlfn._xlws.FILTER(_xlfn._xlws.FILTER(Demand!$G$2:$X$66,(Demand!$E$2:$E$66=$A782),""),Demand!$G$1:$X$1=$C782,"")</f>
        <v>97.848123431451029</v>
      </c>
    </row>
    <row r="783" spans="1:4">
      <c r="A783" t="s">
        <v>157</v>
      </c>
      <c r="B783" t="s">
        <v>136</v>
      </c>
      <c r="C783" s="11">
        <v>2050</v>
      </c>
      <c r="D783">
        <f t="array" ref="D783">_xlfn._xlws.FILTER(_xlfn._xlws.FILTER(Demand!$G$2:$X$66,(Demand!$E$2:$E$66=$A783),""),Demand!$G$1:$X$1=$C783,"")</f>
        <v>100.29432651723729</v>
      </c>
    </row>
    <row r="784" spans="1:4">
      <c r="A784" t="s">
        <v>157</v>
      </c>
      <c r="B784" t="s">
        <v>136</v>
      </c>
      <c r="C784" s="11">
        <v>2055</v>
      </c>
      <c r="D784">
        <f t="array" ref="D784">_xlfn._xlws.FILTER(_xlfn._xlws.FILTER(Demand!$G$2:$X$66,(Demand!$E$2:$E$66=$A784),""),Demand!$G$1:$X$1=$C784,"")</f>
        <v>102.80168468016819</v>
      </c>
    </row>
    <row r="785" spans="1:4">
      <c r="A785" t="s">
        <v>157</v>
      </c>
      <c r="B785" t="s">
        <v>136</v>
      </c>
      <c r="C785" s="11">
        <v>2060</v>
      </c>
      <c r="D785">
        <f t="array" ref="D785">_xlfn._xlws.FILTER(_xlfn._xlws.FILTER(Demand!$G$2:$X$66,(Demand!$E$2:$E$66=$A785),""),Demand!$G$1:$X$1=$C785,"")</f>
        <v>105.3717267971724</v>
      </c>
    </row>
    <row r="786" spans="1:4">
      <c r="A786" t="s">
        <v>157</v>
      </c>
      <c r="B786" t="s">
        <v>136</v>
      </c>
      <c r="C786" s="11">
        <v>2065</v>
      </c>
      <c r="D786">
        <f t="array" ref="D786">_xlfn._xlws.FILTER(_xlfn._xlws.FILTER(Demand!$G$2:$X$66,(Demand!$E$2:$E$66=$A786),""),Demand!$G$1:$X$1=$C786,"")</f>
        <v>108.00601996710169</v>
      </c>
    </row>
    <row r="787" spans="1:4">
      <c r="A787" t="s">
        <v>157</v>
      </c>
      <c r="B787" t="s">
        <v>136</v>
      </c>
      <c r="C787" s="11">
        <v>2070</v>
      </c>
      <c r="D787">
        <f t="array" ref="D787">_xlfn._xlws.FILTER(_xlfn._xlws.FILTER(Demand!$G$2:$X$66,(Demand!$E$2:$E$66=$A787),""),Demand!$G$1:$X$1=$C787,"")</f>
        <v>110.7061704662793</v>
      </c>
    </row>
    <row r="788" spans="1:4">
      <c r="A788" t="s">
        <v>157</v>
      </c>
      <c r="B788" t="s">
        <v>136</v>
      </c>
      <c r="C788" s="11">
        <v>2075</v>
      </c>
      <c r="D788">
        <f t="array" ref="D788">_xlfn._xlws.FILTER(_xlfn._xlws.FILTER(Demand!$G$2:$X$66,(Demand!$E$2:$E$66=$A788),""),Demand!$G$1:$X$1=$C788,"")</f>
        <v>113.4738247279362</v>
      </c>
    </row>
    <row r="789" spans="1:4">
      <c r="A789" t="s">
        <v>157</v>
      </c>
      <c r="B789" t="s">
        <v>136</v>
      </c>
      <c r="C789" s="11">
        <v>2080</v>
      </c>
      <c r="D789">
        <f t="array" ref="D789">_xlfn._xlws.FILTER(_xlfn._xlws.FILTER(Demand!$G$2:$X$66,(Demand!$E$2:$E$66=$A789),""),Demand!$G$1:$X$1=$C789,"")</f>
        <v>116.3106703461346</v>
      </c>
    </row>
    <row r="790" spans="1:4">
      <c r="A790" t="s">
        <v>157</v>
      </c>
      <c r="B790" t="s">
        <v>136</v>
      </c>
      <c r="C790" s="11">
        <v>2085</v>
      </c>
      <c r="D790">
        <f t="array" ref="D790">_xlfn._xlws.FILTER(_xlfn._xlws.FILTER(Demand!$G$2:$X$66,(Demand!$E$2:$E$66=$A790),""),Demand!$G$1:$X$1=$C790,"")</f>
        <v>119.21843710478799</v>
      </c>
    </row>
    <row r="791" spans="1:4">
      <c r="A791" t="s">
        <v>157</v>
      </c>
      <c r="B791" t="s">
        <v>136</v>
      </c>
      <c r="C791" s="11">
        <v>2090</v>
      </c>
      <c r="D791">
        <f t="array" ref="D791">_xlfn._xlws.FILTER(_xlfn._xlws.FILTER(Demand!$G$2:$X$66,(Demand!$E$2:$E$66=$A791),""),Demand!$G$1:$X$1=$C791,"")</f>
        <v>122.1988980324077</v>
      </c>
    </row>
    <row r="792" spans="1:4">
      <c r="A792" t="s">
        <v>157</v>
      </c>
      <c r="B792" t="s">
        <v>136</v>
      </c>
      <c r="C792" s="11">
        <v>2095</v>
      </c>
      <c r="D792">
        <f t="array" ref="D792">_xlfn._xlws.FILTER(_xlfn._xlws.FILTER(Demand!$G$2:$X$66,(Demand!$E$2:$E$66=$A792),""),Demand!$G$1:$X$1=$C792,"")</f>
        <v>125.2538704832179</v>
      </c>
    </row>
    <row r="793" spans="1:4">
      <c r="A793" t="s">
        <v>157</v>
      </c>
      <c r="B793" t="s">
        <v>136</v>
      </c>
      <c r="C793" s="11">
        <v>2100</v>
      </c>
      <c r="D793">
        <f t="array" ref="D793">_xlfn._xlws.FILTER(_xlfn._xlws.FILTER(Demand!$G$2:$X$66,(Demand!$E$2:$E$66=$A793),""),Demand!$G$1:$X$1=$C793,"")</f>
        <v>128.38521724529829</v>
      </c>
    </row>
    <row r="794" spans="1:4">
      <c r="A794" t="s">
        <v>159</v>
      </c>
      <c r="B794" t="s">
        <v>136</v>
      </c>
      <c r="C794" s="11">
        <v>2019</v>
      </c>
      <c r="D794">
        <f t="array" ref="D794">_xlfn._xlws.FILTER(_xlfn._xlws.FILTER(Demand!$G$2:$X$66,(Demand!$E$2:$E$66=$A794),""),Demand!$G$1:$X$1=$C794,"")</f>
        <v>0</v>
      </c>
    </row>
    <row r="795" spans="1:4">
      <c r="A795" t="s">
        <v>159</v>
      </c>
      <c r="B795" t="s">
        <v>136</v>
      </c>
      <c r="C795" s="11">
        <v>2020</v>
      </c>
      <c r="D795">
        <f t="array" ref="D795">_xlfn._xlws.FILTER(_xlfn._xlws.FILTER(Demand!$G$2:$X$66,(Demand!$E$2:$E$66=$A795),""),Demand!$G$1:$X$1=$C795,"")</f>
        <v>0</v>
      </c>
    </row>
    <row r="796" spans="1:4">
      <c r="A796" t="s">
        <v>159</v>
      </c>
      <c r="B796" t="s">
        <v>136</v>
      </c>
      <c r="C796" s="11">
        <v>2025</v>
      </c>
      <c r="D796">
        <f t="array" ref="D796">_xlfn._xlws.FILTER(_xlfn._xlws.FILTER(Demand!$G$2:$X$66,(Demand!$E$2:$E$66=$A796),""),Demand!$G$1:$X$1=$C796,"")</f>
        <v>0</v>
      </c>
    </row>
    <row r="797" spans="1:4">
      <c r="A797" t="s">
        <v>159</v>
      </c>
      <c r="B797" t="s">
        <v>136</v>
      </c>
      <c r="C797" s="11">
        <v>2030</v>
      </c>
      <c r="D797">
        <f t="array" ref="D797">_xlfn._xlws.FILTER(_xlfn._xlws.FILTER(Demand!$G$2:$X$66,(Demand!$E$2:$E$66=$A797),""),Demand!$G$1:$X$1=$C797,"")</f>
        <v>0</v>
      </c>
    </row>
    <row r="798" spans="1:4">
      <c r="A798" t="s">
        <v>159</v>
      </c>
      <c r="B798" t="s">
        <v>136</v>
      </c>
      <c r="C798" s="11">
        <v>2035</v>
      </c>
      <c r="D798">
        <f t="array" ref="D798">_xlfn._xlws.FILTER(_xlfn._xlws.FILTER(Demand!$G$2:$X$66,(Demand!$E$2:$E$66=$A798),""),Demand!$G$1:$X$1=$C798,"")</f>
        <v>0</v>
      </c>
    </row>
    <row r="799" spans="1:4">
      <c r="A799" t="s">
        <v>159</v>
      </c>
      <c r="B799" t="s">
        <v>136</v>
      </c>
      <c r="C799" s="11">
        <v>2040</v>
      </c>
      <c r="D799">
        <f t="array" ref="D799">_xlfn._xlws.FILTER(_xlfn._xlws.FILTER(Demand!$G$2:$X$66,(Demand!$E$2:$E$66=$A799),""),Demand!$G$1:$X$1=$C799,"")</f>
        <v>0</v>
      </c>
    </row>
    <row r="800" spans="1:4">
      <c r="A800" t="s">
        <v>159</v>
      </c>
      <c r="B800" t="s">
        <v>136</v>
      </c>
      <c r="C800" s="11">
        <v>2045</v>
      </c>
      <c r="D800">
        <f t="array" ref="D800">_xlfn._xlws.FILTER(_xlfn._xlws.FILTER(Demand!$G$2:$X$66,(Demand!$E$2:$E$66=$A800),""),Demand!$G$1:$X$1=$C800,"")</f>
        <v>0</v>
      </c>
    </row>
    <row r="801" spans="1:4">
      <c r="A801" t="s">
        <v>159</v>
      </c>
      <c r="B801" t="s">
        <v>136</v>
      </c>
      <c r="C801" s="11">
        <v>2050</v>
      </c>
      <c r="D801">
        <f t="array" ref="D801">_xlfn._xlws.FILTER(_xlfn._xlws.FILTER(Demand!$G$2:$X$66,(Demand!$E$2:$E$66=$A801),""),Demand!$G$1:$X$1=$C801,"")</f>
        <v>0</v>
      </c>
    </row>
    <row r="802" spans="1:4">
      <c r="A802" t="s">
        <v>159</v>
      </c>
      <c r="B802" t="s">
        <v>136</v>
      </c>
      <c r="C802" s="11">
        <v>2055</v>
      </c>
      <c r="D802">
        <f t="array" ref="D802">_xlfn._xlws.FILTER(_xlfn._xlws.FILTER(Demand!$G$2:$X$66,(Demand!$E$2:$E$66=$A802),""),Demand!$G$1:$X$1=$C802,"")</f>
        <v>0</v>
      </c>
    </row>
    <row r="803" spans="1:4">
      <c r="A803" t="s">
        <v>159</v>
      </c>
      <c r="B803" t="s">
        <v>136</v>
      </c>
      <c r="C803" s="11">
        <v>2060</v>
      </c>
      <c r="D803">
        <f t="array" ref="D803">_xlfn._xlws.FILTER(_xlfn._xlws.FILTER(Demand!$G$2:$X$66,(Demand!$E$2:$E$66=$A803),""),Demand!$G$1:$X$1=$C803,"")</f>
        <v>0</v>
      </c>
    </row>
    <row r="804" spans="1:4">
      <c r="A804" t="s">
        <v>159</v>
      </c>
      <c r="B804" t="s">
        <v>136</v>
      </c>
      <c r="C804" s="11">
        <v>2065</v>
      </c>
      <c r="D804">
        <f t="array" ref="D804">_xlfn._xlws.FILTER(_xlfn._xlws.FILTER(Demand!$G$2:$X$66,(Demand!$E$2:$E$66=$A804),""),Demand!$G$1:$X$1=$C804,"")</f>
        <v>0</v>
      </c>
    </row>
    <row r="805" spans="1:4">
      <c r="A805" t="s">
        <v>159</v>
      </c>
      <c r="B805" t="s">
        <v>136</v>
      </c>
      <c r="C805" s="11">
        <v>2070</v>
      </c>
      <c r="D805">
        <f t="array" ref="D805">_xlfn._xlws.FILTER(_xlfn._xlws.FILTER(Demand!$G$2:$X$66,(Demand!$E$2:$E$66=$A805),""),Demand!$G$1:$X$1=$C805,"")</f>
        <v>0</v>
      </c>
    </row>
    <row r="806" spans="1:4">
      <c r="A806" t="s">
        <v>159</v>
      </c>
      <c r="B806" t="s">
        <v>136</v>
      </c>
      <c r="C806" s="11">
        <v>2075</v>
      </c>
      <c r="D806">
        <f t="array" ref="D806">_xlfn._xlws.FILTER(_xlfn._xlws.FILTER(Demand!$G$2:$X$66,(Demand!$E$2:$E$66=$A806),""),Demand!$G$1:$X$1=$C806,"")</f>
        <v>0</v>
      </c>
    </row>
    <row r="807" spans="1:4">
      <c r="A807" t="s">
        <v>159</v>
      </c>
      <c r="B807" t="s">
        <v>136</v>
      </c>
      <c r="C807" s="11">
        <v>2080</v>
      </c>
      <c r="D807">
        <f t="array" ref="D807">_xlfn._xlws.FILTER(_xlfn._xlws.FILTER(Demand!$G$2:$X$66,(Demand!$E$2:$E$66=$A807),""),Demand!$G$1:$X$1=$C807,"")</f>
        <v>0</v>
      </c>
    </row>
    <row r="808" spans="1:4">
      <c r="A808" t="s">
        <v>159</v>
      </c>
      <c r="B808" t="s">
        <v>136</v>
      </c>
      <c r="C808" s="11">
        <v>2085</v>
      </c>
      <c r="D808">
        <f t="array" ref="D808">_xlfn._xlws.FILTER(_xlfn._xlws.FILTER(Demand!$G$2:$X$66,(Demand!$E$2:$E$66=$A808),""),Demand!$G$1:$X$1=$C808,"")</f>
        <v>0</v>
      </c>
    </row>
    <row r="809" spans="1:4">
      <c r="A809" t="s">
        <v>159</v>
      </c>
      <c r="B809" t="s">
        <v>136</v>
      </c>
      <c r="C809" s="11">
        <v>2090</v>
      </c>
      <c r="D809">
        <f t="array" ref="D809">_xlfn._xlws.FILTER(_xlfn._xlws.FILTER(Demand!$G$2:$X$66,(Demand!$E$2:$E$66=$A809),""),Demand!$G$1:$X$1=$C809,"")</f>
        <v>0</v>
      </c>
    </row>
    <row r="810" spans="1:4">
      <c r="A810" t="s">
        <v>159</v>
      </c>
      <c r="B810" t="s">
        <v>136</v>
      </c>
      <c r="C810" s="11">
        <v>2095</v>
      </c>
      <c r="D810">
        <f t="array" ref="D810">_xlfn._xlws.FILTER(_xlfn._xlws.FILTER(Demand!$G$2:$X$66,(Demand!$E$2:$E$66=$A810),""),Demand!$G$1:$X$1=$C810,"")</f>
        <v>0</v>
      </c>
    </row>
    <row r="811" spans="1:4">
      <c r="A811" t="s">
        <v>159</v>
      </c>
      <c r="B811" t="s">
        <v>136</v>
      </c>
      <c r="C811" s="11">
        <v>2100</v>
      </c>
      <c r="D811">
        <f t="array" ref="D811">_xlfn._xlws.FILTER(_xlfn._xlws.FILTER(Demand!$G$2:$X$66,(Demand!$E$2:$E$66=$A811),""),Demand!$G$1:$X$1=$C811,"")</f>
        <v>0</v>
      </c>
    </row>
    <row r="812" spans="1:4">
      <c r="A812" t="s">
        <v>161</v>
      </c>
      <c r="B812" t="s">
        <v>136</v>
      </c>
      <c r="C812" s="11">
        <v>2019</v>
      </c>
      <c r="D812">
        <f t="array" ref="D812">_xlfn._xlws.FILTER(_xlfn._xlws.FILTER(Demand!$G$2:$X$66,(Demand!$E$2:$E$66=$A812),""),Demand!$G$1:$X$1=$C812,"")</f>
        <v>364.1076787683694</v>
      </c>
    </row>
    <row r="813" spans="1:4">
      <c r="A813" t="s">
        <v>161</v>
      </c>
      <c r="B813" t="s">
        <v>136</v>
      </c>
      <c r="C813" s="11">
        <v>2020</v>
      </c>
      <c r="D813">
        <f t="array" ref="D813">_xlfn._xlws.FILTER(_xlfn._xlws.FILTER(Demand!$G$2:$X$66,(Demand!$E$2:$E$66=$A813),""),Demand!$G$1:$X$1=$C813,"")</f>
        <v>365.92821716221118</v>
      </c>
    </row>
    <row r="814" spans="1:4">
      <c r="A814" t="s">
        <v>161</v>
      </c>
      <c r="B814" t="s">
        <v>136</v>
      </c>
      <c r="C814" s="11">
        <v>2025</v>
      </c>
      <c r="D814">
        <f t="array" ref="D814">_xlfn._xlws.FILTER(_xlfn._xlws.FILTER(Demand!$G$2:$X$66,(Demand!$E$2:$E$66=$A814),""),Demand!$G$1:$X$1=$C814,"")</f>
        <v>375.07642259126641</v>
      </c>
    </row>
    <row r="815" spans="1:4">
      <c r="A815" t="s">
        <v>161</v>
      </c>
      <c r="B815" t="s">
        <v>136</v>
      </c>
      <c r="C815" s="11">
        <v>2030</v>
      </c>
      <c r="D815">
        <f t="array" ref="D815">_xlfn._xlws.FILTER(_xlfn._xlws.FILTER(Demand!$G$2:$X$66,(Demand!$E$2:$E$66=$A815),""),Demand!$G$1:$X$1=$C815,"")</f>
        <v>384.45333315604802</v>
      </c>
    </row>
    <row r="816" spans="1:4">
      <c r="A816" t="s">
        <v>161</v>
      </c>
      <c r="B816" t="s">
        <v>136</v>
      </c>
      <c r="C816" s="11">
        <v>2035</v>
      </c>
      <c r="D816">
        <f t="array" ref="D816">_xlfn._xlws.FILTER(_xlfn._xlws.FILTER(Demand!$G$2:$X$66,(Demand!$E$2:$E$66=$A816),""),Demand!$G$1:$X$1=$C816,"")</f>
        <v>394.06466648494921</v>
      </c>
    </row>
    <row r="817" spans="1:4">
      <c r="A817" t="s">
        <v>161</v>
      </c>
      <c r="B817" t="s">
        <v>136</v>
      </c>
      <c r="C817" s="11">
        <v>2040</v>
      </c>
      <c r="D817">
        <f t="array" ref="D817">_xlfn._xlws.FILTER(_xlfn._xlws.FILTER(Demand!$G$2:$X$66,(Demand!$E$2:$E$66=$A817),""),Demand!$G$1:$X$1=$C817,"")</f>
        <v>403.91628314707287</v>
      </c>
    </row>
    <row r="818" spans="1:4">
      <c r="A818" t="s">
        <v>161</v>
      </c>
      <c r="B818" t="s">
        <v>136</v>
      </c>
      <c r="C818" s="11">
        <v>2045</v>
      </c>
      <c r="D818">
        <f t="array" ref="D818">_xlfn._xlws.FILTER(_xlfn._xlws.FILTER(Demand!$G$2:$X$66,(Demand!$E$2:$E$66=$A818),""),Demand!$G$1:$X$1=$C818,"")</f>
        <v>414.01419022574959</v>
      </c>
    </row>
    <row r="819" spans="1:4">
      <c r="A819" t="s">
        <v>161</v>
      </c>
      <c r="B819" t="s">
        <v>136</v>
      </c>
      <c r="C819" s="11">
        <v>2050</v>
      </c>
      <c r="D819">
        <f t="array" ref="D819">_xlfn._xlws.FILTER(_xlfn._xlws.FILTER(Demand!$G$2:$X$66,(Demand!$E$2:$E$66=$A819),""),Demand!$G$1:$X$1=$C819,"")</f>
        <v>424.36454498139341</v>
      </c>
    </row>
    <row r="820" spans="1:4">
      <c r="A820" t="s">
        <v>161</v>
      </c>
      <c r="B820" t="s">
        <v>136</v>
      </c>
      <c r="C820" s="11">
        <v>2055</v>
      </c>
      <c r="D820">
        <f t="array" ref="D820">_xlfn._xlws.FILTER(_xlfn._xlws.FILTER(Demand!$G$2:$X$66,(Demand!$E$2:$E$66=$A820),""),Demand!$G$1:$X$1=$C820,"")</f>
        <v>434.97365860592822</v>
      </c>
    </row>
    <row r="821" spans="1:4">
      <c r="A821" t="s">
        <v>161</v>
      </c>
      <c r="B821" t="s">
        <v>136</v>
      </c>
      <c r="C821" s="11">
        <v>2060</v>
      </c>
      <c r="D821">
        <f t="array" ref="D821">_xlfn._xlws.FILTER(_xlfn._xlws.FILTER(Demand!$G$2:$X$66,(Demand!$E$2:$E$66=$A821),""),Demand!$G$1:$X$1=$C821,"")</f>
        <v>445.84800007107629</v>
      </c>
    </row>
    <row r="822" spans="1:4">
      <c r="A822" t="s">
        <v>161</v>
      </c>
      <c r="B822" t="s">
        <v>136</v>
      </c>
      <c r="C822" s="11">
        <v>2065</v>
      </c>
      <c r="D822">
        <f t="array" ref="D822">_xlfn._xlws.FILTER(_xlfn._xlws.FILTER(Demand!$G$2:$X$66,(Demand!$E$2:$E$66=$A822),""),Demand!$G$1:$X$1=$C822,"")</f>
        <v>456.99420007285318</v>
      </c>
    </row>
    <row r="823" spans="1:4">
      <c r="A823" t="s">
        <v>161</v>
      </c>
      <c r="B823" t="s">
        <v>136</v>
      </c>
      <c r="C823" s="11">
        <v>2070</v>
      </c>
      <c r="D823">
        <f t="array" ref="D823">_xlfn._xlws.FILTER(_xlfn._xlws.FILTER(Demand!$G$2:$X$66,(Demand!$E$2:$E$66=$A823),""),Demand!$G$1:$X$1=$C823,"")</f>
        <v>468.41905507467447</v>
      </c>
    </row>
    <row r="824" spans="1:4">
      <c r="A824" t="s">
        <v>161</v>
      </c>
      <c r="B824" t="s">
        <v>136</v>
      </c>
      <c r="C824" s="11">
        <v>2075</v>
      </c>
      <c r="D824">
        <f t="array" ref="D824">_xlfn._xlws.FILTER(_xlfn._xlws.FILTER(Demand!$G$2:$X$66,(Demand!$E$2:$E$66=$A824),""),Demand!$G$1:$X$1=$C824,"")</f>
        <v>480.12953145154142</v>
      </c>
    </row>
    <row r="825" spans="1:4">
      <c r="A825" t="s">
        <v>161</v>
      </c>
      <c r="B825" t="s">
        <v>136</v>
      </c>
      <c r="C825" s="11">
        <v>2080</v>
      </c>
      <c r="D825">
        <f t="array" ref="D825">_xlfn._xlws.FILTER(_xlfn._xlws.FILTER(Demand!$G$2:$X$66,(Demand!$E$2:$E$66=$A825),""),Demand!$G$1:$X$1=$C825,"")</f>
        <v>492.13276973782979</v>
      </c>
    </row>
    <row r="826" spans="1:4">
      <c r="A826" t="s">
        <v>161</v>
      </c>
      <c r="B826" t="s">
        <v>136</v>
      </c>
      <c r="C826" s="11">
        <v>2085</v>
      </c>
      <c r="D826">
        <f t="array" ref="D826">_xlfn._xlws.FILTER(_xlfn._xlws.FILTER(Demand!$G$2:$X$66,(Demand!$E$2:$E$66=$A826),""),Demand!$G$1:$X$1=$C826,"")</f>
        <v>504.43608898127547</v>
      </c>
    </row>
    <row r="827" spans="1:4">
      <c r="A827" t="s">
        <v>161</v>
      </c>
      <c r="B827" t="s">
        <v>136</v>
      </c>
      <c r="C827" s="11">
        <v>2090</v>
      </c>
      <c r="D827">
        <f t="array" ref="D827">_xlfn._xlws.FILTER(_xlfn._xlws.FILTER(Demand!$G$2:$X$66,(Demand!$E$2:$E$66=$A827),""),Demand!$G$1:$X$1=$C827,"")</f>
        <v>517.04699120580733</v>
      </c>
    </row>
    <row r="828" spans="1:4">
      <c r="A828" t="s">
        <v>161</v>
      </c>
      <c r="B828" t="s">
        <v>136</v>
      </c>
      <c r="C828" s="11">
        <v>2095</v>
      </c>
      <c r="D828">
        <f t="array" ref="D828">_xlfn._xlws.FILTER(_xlfn._xlws.FILTER(Demand!$G$2:$X$66,(Demand!$E$2:$E$66=$A828),""),Demand!$G$1:$X$1=$C828,"")</f>
        <v>529.97316598595251</v>
      </c>
    </row>
    <row r="829" spans="1:4">
      <c r="A829" t="s">
        <v>161</v>
      </c>
      <c r="B829" t="s">
        <v>136</v>
      </c>
      <c r="C829" s="11">
        <v>2100</v>
      </c>
      <c r="D829">
        <f t="array" ref="D829">_xlfn._xlws.FILTER(_xlfn._xlws.FILTER(Demand!$G$2:$X$66,(Demand!$E$2:$E$66=$A829),""),Demand!$G$1:$X$1=$C829,"")</f>
        <v>543.22249513560132</v>
      </c>
    </row>
    <row r="830" spans="1:4">
      <c r="A830" t="s">
        <v>163</v>
      </c>
      <c r="B830" t="s">
        <v>136</v>
      </c>
      <c r="C830" s="11">
        <v>2019</v>
      </c>
      <c r="D830">
        <f t="array" ref="D830">_xlfn._xlws.FILTER(_xlfn._xlws.FILTER(Demand!$G$2:$X$66,(Demand!$E$2:$E$66=$A830),""),Demand!$G$1:$X$1=$C830,"")</f>
        <v>0</v>
      </c>
    </row>
    <row r="831" spans="1:4">
      <c r="A831" t="s">
        <v>163</v>
      </c>
      <c r="B831" t="s">
        <v>136</v>
      </c>
      <c r="C831" s="11">
        <v>2020</v>
      </c>
      <c r="D831">
        <f t="array" ref="D831">_xlfn._xlws.FILTER(_xlfn._xlws.FILTER(Demand!$G$2:$X$66,(Demand!$E$2:$E$66=$A831),""),Demand!$G$1:$X$1=$C831,"")</f>
        <v>0</v>
      </c>
    </row>
    <row r="832" spans="1:4">
      <c r="A832" t="s">
        <v>163</v>
      </c>
      <c r="B832" t="s">
        <v>136</v>
      </c>
      <c r="C832" s="11">
        <v>2025</v>
      </c>
      <c r="D832">
        <f t="array" ref="D832">_xlfn._xlws.FILTER(_xlfn._xlws.FILTER(Demand!$G$2:$X$66,(Demand!$E$2:$E$66=$A832),""),Demand!$G$1:$X$1=$C832,"")</f>
        <v>0</v>
      </c>
    </row>
    <row r="833" spans="1:4">
      <c r="A833" t="s">
        <v>163</v>
      </c>
      <c r="B833" t="s">
        <v>136</v>
      </c>
      <c r="C833" s="11">
        <v>2030</v>
      </c>
      <c r="D833">
        <f t="array" ref="D833">_xlfn._xlws.FILTER(_xlfn._xlws.FILTER(Demand!$G$2:$X$66,(Demand!$E$2:$E$66=$A833),""),Demand!$G$1:$X$1=$C833,"")</f>
        <v>0</v>
      </c>
    </row>
    <row r="834" spans="1:4">
      <c r="A834" t="s">
        <v>163</v>
      </c>
      <c r="B834" t="s">
        <v>136</v>
      </c>
      <c r="C834" s="11">
        <v>2035</v>
      </c>
      <c r="D834">
        <f t="array" ref="D834">_xlfn._xlws.FILTER(_xlfn._xlws.FILTER(Demand!$G$2:$X$66,(Demand!$E$2:$E$66=$A834),""),Demand!$G$1:$X$1=$C834,"")</f>
        <v>0</v>
      </c>
    </row>
    <row r="835" spans="1:4">
      <c r="A835" t="s">
        <v>163</v>
      </c>
      <c r="B835" t="s">
        <v>136</v>
      </c>
      <c r="C835" s="11">
        <v>2040</v>
      </c>
      <c r="D835">
        <f t="array" ref="D835">_xlfn._xlws.FILTER(_xlfn._xlws.FILTER(Demand!$G$2:$X$66,(Demand!$E$2:$E$66=$A835),""),Demand!$G$1:$X$1=$C835,"")</f>
        <v>0</v>
      </c>
    </row>
    <row r="836" spans="1:4">
      <c r="A836" t="s">
        <v>163</v>
      </c>
      <c r="B836" t="s">
        <v>136</v>
      </c>
      <c r="C836" s="11">
        <v>2045</v>
      </c>
      <c r="D836">
        <f t="array" ref="D836">_xlfn._xlws.FILTER(_xlfn._xlws.FILTER(Demand!$G$2:$X$66,(Demand!$E$2:$E$66=$A836),""),Demand!$G$1:$X$1=$C836,"")</f>
        <v>0</v>
      </c>
    </row>
    <row r="837" spans="1:4">
      <c r="A837" t="s">
        <v>163</v>
      </c>
      <c r="B837" t="s">
        <v>136</v>
      </c>
      <c r="C837" s="11">
        <v>2050</v>
      </c>
      <c r="D837">
        <f t="array" ref="D837">_xlfn._xlws.FILTER(_xlfn._xlws.FILTER(Demand!$G$2:$X$66,(Demand!$E$2:$E$66=$A837),""),Demand!$G$1:$X$1=$C837,"")</f>
        <v>0</v>
      </c>
    </row>
    <row r="838" spans="1:4">
      <c r="A838" t="s">
        <v>163</v>
      </c>
      <c r="B838" t="s">
        <v>136</v>
      </c>
      <c r="C838" s="11">
        <v>2055</v>
      </c>
      <c r="D838">
        <f t="array" ref="D838">_xlfn._xlws.FILTER(_xlfn._xlws.FILTER(Demand!$G$2:$X$66,(Demand!$E$2:$E$66=$A838),""),Demand!$G$1:$X$1=$C838,"")</f>
        <v>0</v>
      </c>
    </row>
    <row r="839" spans="1:4">
      <c r="A839" t="s">
        <v>163</v>
      </c>
      <c r="B839" t="s">
        <v>136</v>
      </c>
      <c r="C839" s="11">
        <v>2060</v>
      </c>
      <c r="D839">
        <f t="array" ref="D839">_xlfn._xlws.FILTER(_xlfn._xlws.FILTER(Demand!$G$2:$X$66,(Demand!$E$2:$E$66=$A839),""),Demand!$G$1:$X$1=$C839,"")</f>
        <v>0</v>
      </c>
    </row>
    <row r="840" spans="1:4">
      <c r="A840" t="s">
        <v>163</v>
      </c>
      <c r="B840" t="s">
        <v>136</v>
      </c>
      <c r="C840" s="11">
        <v>2065</v>
      </c>
      <c r="D840">
        <f t="array" ref="D840">_xlfn._xlws.FILTER(_xlfn._xlws.FILTER(Demand!$G$2:$X$66,(Demand!$E$2:$E$66=$A840),""),Demand!$G$1:$X$1=$C840,"")</f>
        <v>0</v>
      </c>
    </row>
    <row r="841" spans="1:4">
      <c r="A841" t="s">
        <v>163</v>
      </c>
      <c r="B841" t="s">
        <v>136</v>
      </c>
      <c r="C841" s="11">
        <v>2070</v>
      </c>
      <c r="D841">
        <f t="array" ref="D841">_xlfn._xlws.FILTER(_xlfn._xlws.FILTER(Demand!$G$2:$X$66,(Demand!$E$2:$E$66=$A841),""),Demand!$G$1:$X$1=$C841,"")</f>
        <v>0</v>
      </c>
    </row>
    <row r="842" spans="1:4">
      <c r="A842" t="s">
        <v>163</v>
      </c>
      <c r="B842" t="s">
        <v>136</v>
      </c>
      <c r="C842" s="11">
        <v>2075</v>
      </c>
      <c r="D842">
        <f t="array" ref="D842">_xlfn._xlws.FILTER(_xlfn._xlws.FILTER(Demand!$G$2:$X$66,(Demand!$E$2:$E$66=$A842),""),Demand!$G$1:$X$1=$C842,"")</f>
        <v>0</v>
      </c>
    </row>
    <row r="843" spans="1:4">
      <c r="A843" t="s">
        <v>163</v>
      </c>
      <c r="B843" t="s">
        <v>136</v>
      </c>
      <c r="C843" s="11">
        <v>2080</v>
      </c>
      <c r="D843">
        <f t="array" ref="D843">_xlfn._xlws.FILTER(_xlfn._xlws.FILTER(Demand!$G$2:$X$66,(Demand!$E$2:$E$66=$A843),""),Demand!$G$1:$X$1=$C843,"")</f>
        <v>0</v>
      </c>
    </row>
    <row r="844" spans="1:4">
      <c r="A844" t="s">
        <v>163</v>
      </c>
      <c r="B844" t="s">
        <v>136</v>
      </c>
      <c r="C844" s="11">
        <v>2085</v>
      </c>
      <c r="D844">
        <f t="array" ref="D844">_xlfn._xlws.FILTER(_xlfn._xlws.FILTER(Demand!$G$2:$X$66,(Demand!$E$2:$E$66=$A844),""),Demand!$G$1:$X$1=$C844,"")</f>
        <v>0</v>
      </c>
    </row>
    <row r="845" spans="1:4">
      <c r="A845" t="s">
        <v>163</v>
      </c>
      <c r="B845" t="s">
        <v>136</v>
      </c>
      <c r="C845" s="11">
        <v>2090</v>
      </c>
      <c r="D845">
        <f t="array" ref="D845">_xlfn._xlws.FILTER(_xlfn._xlws.FILTER(Demand!$G$2:$X$66,(Demand!$E$2:$E$66=$A845),""),Demand!$G$1:$X$1=$C845,"")</f>
        <v>0</v>
      </c>
    </row>
    <row r="846" spans="1:4">
      <c r="A846" t="s">
        <v>163</v>
      </c>
      <c r="B846" t="s">
        <v>136</v>
      </c>
      <c r="C846" s="11">
        <v>2095</v>
      </c>
      <c r="D846">
        <f t="array" ref="D846">_xlfn._xlws.FILTER(_xlfn._xlws.FILTER(Demand!$G$2:$X$66,(Demand!$E$2:$E$66=$A846),""),Demand!$G$1:$X$1=$C846,"")</f>
        <v>0</v>
      </c>
    </row>
    <row r="847" spans="1:4">
      <c r="A847" t="s">
        <v>163</v>
      </c>
      <c r="B847" t="s">
        <v>136</v>
      </c>
      <c r="C847" s="11">
        <v>2100</v>
      </c>
      <c r="D847">
        <f t="array" ref="D847">_xlfn._xlws.FILTER(_xlfn._xlws.FILTER(Demand!$G$2:$X$66,(Demand!$E$2:$E$66=$A847),""),Demand!$G$1:$X$1=$C847,"")</f>
        <v>0</v>
      </c>
    </row>
    <row r="848" spans="1:4">
      <c r="A848" t="s">
        <v>165</v>
      </c>
      <c r="B848" t="s">
        <v>136</v>
      </c>
      <c r="C848" s="11">
        <v>2019</v>
      </c>
      <c r="D848">
        <f t="array" ref="D848">_xlfn._xlws.FILTER(_xlfn._xlws.FILTER(Demand!$G$2:$X$66,(Demand!$E$2:$E$66=$A848),""),Demand!$G$1:$X$1=$C848,"")</f>
        <v>0</v>
      </c>
    </row>
    <row r="849" spans="1:4">
      <c r="A849" t="s">
        <v>165</v>
      </c>
      <c r="B849" t="s">
        <v>136</v>
      </c>
      <c r="C849" s="11">
        <v>2020</v>
      </c>
      <c r="D849">
        <f t="array" ref="D849">_xlfn._xlws.FILTER(_xlfn._xlws.FILTER(Demand!$G$2:$X$66,(Demand!$E$2:$E$66=$A849),""),Demand!$G$1:$X$1=$C849,"")</f>
        <v>0</v>
      </c>
    </row>
    <row r="850" spans="1:4">
      <c r="A850" t="s">
        <v>165</v>
      </c>
      <c r="B850" t="s">
        <v>136</v>
      </c>
      <c r="C850" s="11">
        <v>2025</v>
      </c>
      <c r="D850">
        <f t="array" ref="D850">_xlfn._xlws.FILTER(_xlfn._xlws.FILTER(Demand!$G$2:$X$66,(Demand!$E$2:$E$66=$A850),""),Demand!$G$1:$X$1=$C850,"")</f>
        <v>0</v>
      </c>
    </row>
    <row r="851" spans="1:4">
      <c r="A851" t="s">
        <v>165</v>
      </c>
      <c r="B851" t="s">
        <v>136</v>
      </c>
      <c r="C851" s="11">
        <v>2030</v>
      </c>
      <c r="D851">
        <f t="array" ref="D851">_xlfn._xlws.FILTER(_xlfn._xlws.FILTER(Demand!$G$2:$X$66,(Demand!$E$2:$E$66=$A851),""),Demand!$G$1:$X$1=$C851,"")</f>
        <v>0</v>
      </c>
    </row>
    <row r="852" spans="1:4">
      <c r="A852" t="s">
        <v>165</v>
      </c>
      <c r="B852" t="s">
        <v>136</v>
      </c>
      <c r="C852" s="11">
        <v>2035</v>
      </c>
      <c r="D852">
        <f t="array" ref="D852">_xlfn._xlws.FILTER(_xlfn._xlws.FILTER(Demand!$G$2:$X$66,(Demand!$E$2:$E$66=$A852),""),Demand!$G$1:$X$1=$C852,"")</f>
        <v>0</v>
      </c>
    </row>
    <row r="853" spans="1:4">
      <c r="A853" t="s">
        <v>165</v>
      </c>
      <c r="B853" t="s">
        <v>136</v>
      </c>
      <c r="C853" s="11">
        <v>2040</v>
      </c>
      <c r="D853">
        <f t="array" ref="D853">_xlfn._xlws.FILTER(_xlfn._xlws.FILTER(Demand!$G$2:$X$66,(Demand!$E$2:$E$66=$A853),""),Demand!$G$1:$X$1=$C853,"")</f>
        <v>0</v>
      </c>
    </row>
    <row r="854" spans="1:4">
      <c r="A854" t="s">
        <v>165</v>
      </c>
      <c r="B854" t="s">
        <v>136</v>
      </c>
      <c r="C854" s="11">
        <v>2045</v>
      </c>
      <c r="D854">
        <f t="array" ref="D854">_xlfn._xlws.FILTER(_xlfn._xlws.FILTER(Demand!$G$2:$X$66,(Demand!$E$2:$E$66=$A854),""),Demand!$G$1:$X$1=$C854,"")</f>
        <v>0</v>
      </c>
    </row>
    <row r="855" spans="1:4">
      <c r="A855" t="s">
        <v>165</v>
      </c>
      <c r="B855" t="s">
        <v>136</v>
      </c>
      <c r="C855" s="11">
        <v>2050</v>
      </c>
      <c r="D855">
        <f t="array" ref="D855">_xlfn._xlws.FILTER(_xlfn._xlws.FILTER(Demand!$G$2:$X$66,(Demand!$E$2:$E$66=$A855),""),Demand!$G$1:$X$1=$C855,"")</f>
        <v>0</v>
      </c>
    </row>
    <row r="856" spans="1:4">
      <c r="A856" t="s">
        <v>165</v>
      </c>
      <c r="B856" t="s">
        <v>136</v>
      </c>
      <c r="C856" s="11">
        <v>2055</v>
      </c>
      <c r="D856">
        <f t="array" ref="D856">_xlfn._xlws.FILTER(_xlfn._xlws.FILTER(Demand!$G$2:$X$66,(Demand!$E$2:$E$66=$A856),""),Demand!$G$1:$X$1=$C856,"")</f>
        <v>0</v>
      </c>
    </row>
    <row r="857" spans="1:4">
      <c r="A857" t="s">
        <v>165</v>
      </c>
      <c r="B857" t="s">
        <v>136</v>
      </c>
      <c r="C857" s="11">
        <v>2060</v>
      </c>
      <c r="D857">
        <f t="array" ref="D857">_xlfn._xlws.FILTER(_xlfn._xlws.FILTER(Demand!$G$2:$X$66,(Demand!$E$2:$E$66=$A857),""),Demand!$G$1:$X$1=$C857,"")</f>
        <v>0</v>
      </c>
    </row>
    <row r="858" spans="1:4">
      <c r="A858" t="s">
        <v>165</v>
      </c>
      <c r="B858" t="s">
        <v>136</v>
      </c>
      <c r="C858" s="11">
        <v>2065</v>
      </c>
      <c r="D858">
        <f t="array" ref="D858">_xlfn._xlws.FILTER(_xlfn._xlws.FILTER(Demand!$G$2:$X$66,(Demand!$E$2:$E$66=$A858),""),Demand!$G$1:$X$1=$C858,"")</f>
        <v>0</v>
      </c>
    </row>
    <row r="859" spans="1:4">
      <c r="A859" t="s">
        <v>165</v>
      </c>
      <c r="B859" t="s">
        <v>136</v>
      </c>
      <c r="C859" s="11">
        <v>2070</v>
      </c>
      <c r="D859">
        <f t="array" ref="D859">_xlfn._xlws.FILTER(_xlfn._xlws.FILTER(Demand!$G$2:$X$66,(Demand!$E$2:$E$66=$A859),""),Demand!$G$1:$X$1=$C859,"")</f>
        <v>0</v>
      </c>
    </row>
    <row r="860" spans="1:4">
      <c r="A860" t="s">
        <v>165</v>
      </c>
      <c r="B860" t="s">
        <v>136</v>
      </c>
      <c r="C860" s="11">
        <v>2075</v>
      </c>
      <c r="D860">
        <f t="array" ref="D860">_xlfn._xlws.FILTER(_xlfn._xlws.FILTER(Demand!$G$2:$X$66,(Demand!$E$2:$E$66=$A860),""),Demand!$G$1:$X$1=$C860,"")</f>
        <v>0</v>
      </c>
    </row>
    <row r="861" spans="1:4">
      <c r="A861" t="s">
        <v>165</v>
      </c>
      <c r="B861" t="s">
        <v>136</v>
      </c>
      <c r="C861" s="11">
        <v>2080</v>
      </c>
      <c r="D861">
        <f t="array" ref="D861">_xlfn._xlws.FILTER(_xlfn._xlws.FILTER(Demand!$G$2:$X$66,(Demand!$E$2:$E$66=$A861),""),Demand!$G$1:$X$1=$C861,"")</f>
        <v>0</v>
      </c>
    </row>
    <row r="862" spans="1:4">
      <c r="A862" t="s">
        <v>165</v>
      </c>
      <c r="B862" t="s">
        <v>136</v>
      </c>
      <c r="C862" s="11">
        <v>2085</v>
      </c>
      <c r="D862">
        <f t="array" ref="D862">_xlfn._xlws.FILTER(_xlfn._xlws.FILTER(Demand!$G$2:$X$66,(Demand!$E$2:$E$66=$A862),""),Demand!$G$1:$X$1=$C862,"")</f>
        <v>0</v>
      </c>
    </row>
    <row r="863" spans="1:4">
      <c r="A863" t="s">
        <v>165</v>
      </c>
      <c r="B863" t="s">
        <v>136</v>
      </c>
      <c r="C863" s="11">
        <v>2090</v>
      </c>
      <c r="D863">
        <f t="array" ref="D863">_xlfn._xlws.FILTER(_xlfn._xlws.FILTER(Demand!$G$2:$X$66,(Demand!$E$2:$E$66=$A863),""),Demand!$G$1:$X$1=$C863,"")</f>
        <v>0</v>
      </c>
    </row>
    <row r="864" spans="1:4">
      <c r="A864" t="s">
        <v>165</v>
      </c>
      <c r="B864" t="s">
        <v>136</v>
      </c>
      <c r="C864" s="11">
        <v>2095</v>
      </c>
      <c r="D864">
        <f t="array" ref="D864">_xlfn._xlws.FILTER(_xlfn._xlws.FILTER(Demand!$G$2:$X$66,(Demand!$E$2:$E$66=$A864),""),Demand!$G$1:$X$1=$C864,"")</f>
        <v>0</v>
      </c>
    </row>
    <row r="865" spans="1:4">
      <c r="A865" t="s">
        <v>165</v>
      </c>
      <c r="B865" t="s">
        <v>136</v>
      </c>
      <c r="C865" s="11">
        <v>2100</v>
      </c>
      <c r="D865">
        <f t="array" ref="D865">_xlfn._xlws.FILTER(_xlfn._xlws.FILTER(Demand!$G$2:$X$66,(Demand!$E$2:$E$66=$A865),""),Demand!$G$1:$X$1=$C865,"")</f>
        <v>0</v>
      </c>
    </row>
    <row r="866" spans="1:4">
      <c r="A866" t="s">
        <v>167</v>
      </c>
      <c r="B866" t="s">
        <v>136</v>
      </c>
      <c r="C866" s="11">
        <v>2019</v>
      </c>
      <c r="D866">
        <f t="array" ref="D866">_xlfn._xlws.FILTER(_xlfn._xlws.FILTER(Demand!$G$2:$X$66,(Demand!$E$2:$E$66=$A866),""),Demand!$G$1:$X$1=$C866,"")</f>
        <v>783.71641071992963</v>
      </c>
    </row>
    <row r="867" spans="1:4">
      <c r="A867" t="s">
        <v>167</v>
      </c>
      <c r="B867" t="s">
        <v>136</v>
      </c>
      <c r="C867" s="11">
        <v>2020</v>
      </c>
      <c r="D867">
        <f t="array" ref="D867">_xlfn._xlws.FILTER(_xlfn._xlws.FILTER(Demand!$G$2:$X$66,(Demand!$E$2:$E$66=$A867),""),Demand!$G$1:$X$1=$C867,"")</f>
        <v>787.63499277352923</v>
      </c>
    </row>
    <row r="868" spans="1:4">
      <c r="A868" t="s">
        <v>167</v>
      </c>
      <c r="B868" t="s">
        <v>136</v>
      </c>
      <c r="C868" s="11">
        <v>2025</v>
      </c>
      <c r="D868">
        <f t="array" ref="D868">_xlfn._xlws.FILTER(_xlfn._xlws.FILTER(Demand!$G$2:$X$66,(Demand!$E$2:$E$66=$A868),""),Demand!$G$1:$X$1=$C868,"")</f>
        <v>807.32586759286744</v>
      </c>
    </row>
    <row r="869" spans="1:4">
      <c r="A869" t="s">
        <v>167</v>
      </c>
      <c r="B869" t="s">
        <v>136</v>
      </c>
      <c r="C869" s="11">
        <v>2030</v>
      </c>
      <c r="D869">
        <f t="array" ref="D869">_xlfn._xlws.FILTER(_xlfn._xlws.FILTER(Demand!$G$2:$X$66,(Demand!$E$2:$E$66=$A869),""),Demand!$G$1:$X$1=$C869,"")</f>
        <v>827.50901428268901</v>
      </c>
    </row>
    <row r="870" spans="1:4">
      <c r="A870" t="s">
        <v>167</v>
      </c>
      <c r="B870" t="s">
        <v>136</v>
      </c>
      <c r="C870" s="11">
        <v>2035</v>
      </c>
      <c r="D870">
        <f t="array" ref="D870">_xlfn._xlws.FILTER(_xlfn._xlws.FILTER(Demand!$G$2:$X$66,(Demand!$E$2:$E$66=$A870),""),Demand!$G$1:$X$1=$C870,"")</f>
        <v>848.19673963975617</v>
      </c>
    </row>
    <row r="871" spans="1:4">
      <c r="A871" t="s">
        <v>167</v>
      </c>
      <c r="B871" t="s">
        <v>136</v>
      </c>
      <c r="C871" s="11">
        <v>2040</v>
      </c>
      <c r="D871">
        <f t="array" ref="D871">_xlfn._xlws.FILTER(_xlfn._xlws.FILTER(Demand!$G$2:$X$66,(Demand!$E$2:$E$66=$A871),""),Demand!$G$1:$X$1=$C871,"")</f>
        <v>869.40165813074998</v>
      </c>
    </row>
    <row r="872" spans="1:4">
      <c r="A872" t="s">
        <v>167</v>
      </c>
      <c r="B872" t="s">
        <v>136</v>
      </c>
      <c r="C872" s="11">
        <v>2045</v>
      </c>
      <c r="D872">
        <f t="array" ref="D872">_xlfn._xlws.FILTER(_xlfn._xlws.FILTER(Demand!$G$2:$X$66,(Demand!$E$2:$E$66=$A872),""),Demand!$G$1:$X$1=$C872,"")</f>
        <v>891.13669958401863</v>
      </c>
    </row>
    <row r="873" spans="1:4">
      <c r="A873" t="s">
        <v>167</v>
      </c>
      <c r="B873" t="s">
        <v>136</v>
      </c>
      <c r="C873" s="11">
        <v>2050</v>
      </c>
      <c r="D873">
        <f t="array" ref="D873">_xlfn._xlws.FILTER(_xlfn._xlws.FILTER(Demand!$G$2:$X$66,(Demand!$E$2:$E$66=$A873),""),Demand!$G$1:$X$1=$C873,"")</f>
        <v>913.41511707361906</v>
      </c>
    </row>
    <row r="874" spans="1:4">
      <c r="A874" t="s">
        <v>167</v>
      </c>
      <c r="B874" t="s">
        <v>136</v>
      </c>
      <c r="C874" s="11">
        <v>2055</v>
      </c>
      <c r="D874">
        <f t="array" ref="D874">_xlfn._xlws.FILTER(_xlfn._xlws.FILTER(Demand!$G$2:$X$66,(Demand!$E$2:$E$66=$A874),""),Demand!$G$1:$X$1=$C874,"")</f>
        <v>936.25049500045941</v>
      </c>
    </row>
    <row r="875" spans="1:4">
      <c r="A875" t="s">
        <v>167</v>
      </c>
      <c r="B875" t="s">
        <v>136</v>
      </c>
      <c r="C875" s="11">
        <v>2060</v>
      </c>
      <c r="D875">
        <f t="array" ref="D875">_xlfn._xlws.FILTER(_xlfn._xlws.FILTER(Demand!$G$2:$X$66,(Demand!$E$2:$E$66=$A875),""),Demand!$G$1:$X$1=$C875,"")</f>
        <v>959.65675737547076</v>
      </c>
    </row>
    <row r="876" spans="1:4">
      <c r="A876" t="s">
        <v>167</v>
      </c>
      <c r="B876" t="s">
        <v>136</v>
      </c>
      <c r="C876" s="11">
        <v>2065</v>
      </c>
      <c r="D876">
        <f t="array" ref="D876">_xlfn._xlws.FILTER(_xlfn._xlws.FILTER(Demand!$G$2:$X$66,(Demand!$E$2:$E$66=$A876),""),Demand!$G$1:$X$1=$C876,"")</f>
        <v>983.64817630985749</v>
      </c>
    </row>
    <row r="877" spans="1:4">
      <c r="A877" t="s">
        <v>167</v>
      </c>
      <c r="B877" t="s">
        <v>136</v>
      </c>
      <c r="C877" s="11">
        <v>2070</v>
      </c>
      <c r="D877">
        <f t="array" ref="D877">_xlfn._xlws.FILTER(_xlfn._xlws.FILTER(Demand!$G$2:$X$66,(Demand!$E$2:$E$66=$A877),""),Demand!$G$1:$X$1=$C877,"")</f>
        <v>1008.239380717604</v>
      </c>
    </row>
    <row r="878" spans="1:4">
      <c r="A878" t="s">
        <v>167</v>
      </c>
      <c r="B878" t="s">
        <v>136</v>
      </c>
      <c r="C878" s="11">
        <v>2075</v>
      </c>
      <c r="D878">
        <f t="array" ref="D878">_xlfn._xlws.FILTER(_xlfn._xlws.FILTER(Demand!$G$2:$X$66,(Demand!$E$2:$E$66=$A878),""),Demand!$G$1:$X$1=$C878,"")</f>
        <v>1033.4453652355439</v>
      </c>
    </row>
    <row r="879" spans="1:4">
      <c r="A879" t="s">
        <v>167</v>
      </c>
      <c r="B879" t="s">
        <v>136</v>
      </c>
      <c r="C879" s="11">
        <v>2080</v>
      </c>
      <c r="D879">
        <f t="array" ref="D879">_xlfn._xlws.FILTER(_xlfn._xlws.FILTER(Demand!$G$2:$X$66,(Demand!$E$2:$E$66=$A879),""),Demand!$G$1:$X$1=$C879,"")</f>
        <v>1059.2814993664319</v>
      </c>
    </row>
    <row r="880" spans="1:4">
      <c r="A880" t="s">
        <v>167</v>
      </c>
      <c r="B880" t="s">
        <v>136</v>
      </c>
      <c r="C880" s="11">
        <v>2085</v>
      </c>
      <c r="D880">
        <f t="array" ref="D880">_xlfn._xlws.FILTER(_xlfn._xlws.FILTER(Demand!$G$2:$X$66,(Demand!$E$2:$E$66=$A880),""),Demand!$G$1:$X$1=$C880,"")</f>
        <v>1085.763536850593</v>
      </c>
    </row>
    <row r="881" spans="1:4">
      <c r="A881" t="s">
        <v>167</v>
      </c>
      <c r="B881" t="s">
        <v>136</v>
      </c>
      <c r="C881" s="11">
        <v>2090</v>
      </c>
      <c r="D881">
        <f t="array" ref="D881">_xlfn._xlws.FILTER(_xlfn._xlws.FILTER(Demand!$G$2:$X$66,(Demand!$E$2:$E$66=$A881),""),Demand!$G$1:$X$1=$C881,"")</f>
        <v>1112.907625271858</v>
      </c>
    </row>
    <row r="882" spans="1:4">
      <c r="A882" t="s">
        <v>167</v>
      </c>
      <c r="B882" t="s">
        <v>136</v>
      </c>
      <c r="C882" s="11">
        <v>2095</v>
      </c>
      <c r="D882">
        <f t="array" ref="D882">_xlfn._xlws.FILTER(_xlfn._xlws.FILTER(Demand!$G$2:$X$66,(Demand!$E$2:$E$66=$A882),""),Demand!$G$1:$X$1=$C882,"")</f>
        <v>1140.7303159036539</v>
      </c>
    </row>
    <row r="883" spans="1:4">
      <c r="A883" t="s">
        <v>167</v>
      </c>
      <c r="B883" t="s">
        <v>136</v>
      </c>
      <c r="C883" s="11">
        <v>2100</v>
      </c>
      <c r="D883">
        <f t="array" ref="D883">_xlfn._xlws.FILTER(_xlfn._xlws.FILTER(Demand!$G$2:$X$66,(Demand!$E$2:$E$66=$A883),""),Demand!$G$1:$X$1=$C883,"")</f>
        <v>1169.2485738012449</v>
      </c>
    </row>
    <row r="884" spans="1:4">
      <c r="A884" t="s">
        <v>169</v>
      </c>
      <c r="B884" t="s">
        <v>136</v>
      </c>
      <c r="C884" s="11">
        <v>2019</v>
      </c>
      <c r="D884">
        <f t="array" ref="D884">_xlfn._xlws.FILTER(_xlfn._xlws.FILTER(Demand!$G$2:$X$66,(Demand!$E$2:$E$66=$A884),""),Demand!$G$1:$X$1=$C884,"")</f>
        <v>4185.0616827171943</v>
      </c>
    </row>
    <row r="885" spans="1:4">
      <c r="A885" t="s">
        <v>169</v>
      </c>
      <c r="B885" t="s">
        <v>136</v>
      </c>
      <c r="C885" s="11">
        <v>2020</v>
      </c>
      <c r="D885">
        <f t="array" ref="D885">_xlfn._xlws.FILTER(_xlfn._xlws.FILTER(Demand!$G$2:$X$66,(Demand!$E$2:$E$66=$A885),""),Demand!$G$1:$X$1=$C885,"")</f>
        <v>4205.9869911307796</v>
      </c>
    </row>
    <row r="886" spans="1:4">
      <c r="A886" t="s">
        <v>169</v>
      </c>
      <c r="B886" t="s">
        <v>136</v>
      </c>
      <c r="C886" s="11">
        <v>2025</v>
      </c>
      <c r="D886">
        <f t="array" ref="D886">_xlfn._xlws.FILTER(_xlfn._xlws.FILTER(Demand!$G$2:$X$66,(Demand!$E$2:$E$66=$A886),""),Demand!$G$1:$X$1=$C886,"")</f>
        <v>4311.136665909049</v>
      </c>
    </row>
    <row r="887" spans="1:4">
      <c r="A887" t="s">
        <v>169</v>
      </c>
      <c r="B887" t="s">
        <v>136</v>
      </c>
      <c r="C887" s="11">
        <v>2030</v>
      </c>
      <c r="D887">
        <f t="array" ref="D887">_xlfn._xlws.FILTER(_xlfn._xlws.FILTER(Demand!$G$2:$X$66,(Demand!$E$2:$E$66=$A887),""),Demand!$G$1:$X$1=$C887,"")</f>
        <v>4418.9150825567749</v>
      </c>
    </row>
    <row r="888" spans="1:4">
      <c r="A888" t="s">
        <v>169</v>
      </c>
      <c r="B888" t="s">
        <v>136</v>
      </c>
      <c r="C888" s="11">
        <v>2035</v>
      </c>
      <c r="D888">
        <f t="array" ref="D888">_xlfn._xlws.FILTER(_xlfn._xlws.FILTER(Demand!$G$2:$X$66,(Demand!$E$2:$E$66=$A888),""),Demand!$G$1:$X$1=$C888,"")</f>
        <v>4529.3879596206934</v>
      </c>
    </row>
    <row r="889" spans="1:4">
      <c r="A889" t="s">
        <v>169</v>
      </c>
      <c r="B889" t="s">
        <v>136</v>
      </c>
      <c r="C889" s="11">
        <v>2040</v>
      </c>
      <c r="D889">
        <f t="array" ref="D889">_xlfn._xlws.FILTER(_xlfn._xlws.FILTER(Demand!$G$2:$X$66,(Demand!$E$2:$E$66=$A889),""),Demand!$G$1:$X$1=$C889,"")</f>
        <v>4642.6226586112107</v>
      </c>
    </row>
    <row r="890" spans="1:4">
      <c r="A890" t="s">
        <v>169</v>
      </c>
      <c r="B890" t="s">
        <v>136</v>
      </c>
      <c r="C890" s="11">
        <v>2045</v>
      </c>
      <c r="D890">
        <f t="array" ref="D890">_xlfn._xlws.FILTER(_xlfn._xlws.FILTER(Demand!$G$2:$X$66,(Demand!$E$2:$E$66=$A890),""),Demand!$G$1:$X$1=$C890,"")</f>
        <v>4758.6882250764902</v>
      </c>
    </row>
    <row r="891" spans="1:4">
      <c r="A891" t="s">
        <v>169</v>
      </c>
      <c r="B891" t="s">
        <v>136</v>
      </c>
      <c r="C891" s="11">
        <v>2050</v>
      </c>
      <c r="D891">
        <f t="array" ref="D891">_xlfn._xlws.FILTER(_xlfn._xlws.FILTER(Demand!$G$2:$X$66,(Demand!$E$2:$E$66=$A891),""),Demand!$G$1:$X$1=$C891,"")</f>
        <v>4877.6554307034021</v>
      </c>
    </row>
    <row r="892" spans="1:4">
      <c r="A892" t="s">
        <v>169</v>
      </c>
      <c r="B892" t="s">
        <v>136</v>
      </c>
      <c r="C892" s="11">
        <v>2055</v>
      </c>
      <c r="D892">
        <f t="array" ref="D892">_xlfn._xlws.FILTER(_xlfn._xlws.FILTER(Demand!$G$2:$X$66,(Demand!$E$2:$E$66=$A892),""),Demand!$G$1:$X$1=$C892,"")</f>
        <v>4999.5968164709866</v>
      </c>
    </row>
    <row r="893" spans="1:4">
      <c r="A893" t="s">
        <v>169</v>
      </c>
      <c r="B893" t="s">
        <v>136</v>
      </c>
      <c r="C893" s="11">
        <v>2060</v>
      </c>
      <c r="D893">
        <f t="array" ref="D893">_xlfn._xlws.FILTER(_xlfn._xlws.FILTER(Demand!$G$2:$X$66,(Demand!$E$2:$E$66=$A893),""),Demand!$G$1:$X$1=$C893,"")</f>
        <v>5124.5867368827612</v>
      </c>
    </row>
    <row r="894" spans="1:4">
      <c r="A894" t="s">
        <v>169</v>
      </c>
      <c r="B894" t="s">
        <v>136</v>
      </c>
      <c r="C894" s="11">
        <v>2065</v>
      </c>
      <c r="D894">
        <f t="array" ref="D894">_xlfn._xlws.FILTER(_xlfn._xlws.FILTER(Demand!$G$2:$X$66,(Demand!$E$2:$E$66=$A894),""),Demand!$G$1:$X$1=$C894,"")</f>
        <v>5252.7014053048297</v>
      </c>
    </row>
    <row r="895" spans="1:4">
      <c r="A895" t="s">
        <v>169</v>
      </c>
      <c r="B895" t="s">
        <v>136</v>
      </c>
      <c r="C895" s="11">
        <v>2070</v>
      </c>
      <c r="D895">
        <f t="array" ref="D895">_xlfn._xlws.FILTER(_xlfn._xlws.FILTER(Demand!$G$2:$X$66,(Demand!$E$2:$E$66=$A895),""),Demand!$G$1:$X$1=$C895,"")</f>
        <v>5384.0189404374496</v>
      </c>
    </row>
    <row r="896" spans="1:4">
      <c r="A896" t="s">
        <v>169</v>
      </c>
      <c r="B896" t="s">
        <v>136</v>
      </c>
      <c r="C896" s="11">
        <v>2075</v>
      </c>
      <c r="D896">
        <f t="array" ref="D896">_xlfn._xlws.FILTER(_xlfn._xlws.FILTER(Demand!$G$2:$X$66,(Demand!$E$2:$E$66=$A896),""),Demand!$G$1:$X$1=$C896,"")</f>
        <v>5518.619413948385</v>
      </c>
    </row>
    <row r="897" spans="1:4">
      <c r="A897" t="s">
        <v>169</v>
      </c>
      <c r="B897" t="s">
        <v>136</v>
      </c>
      <c r="C897" s="11">
        <v>2080</v>
      </c>
      <c r="D897">
        <f t="array" ref="D897">_xlfn._xlws.FILTER(_xlfn._xlws.FILTER(Demand!$G$2:$X$66,(Demand!$E$2:$E$66=$A897),""),Demand!$G$1:$X$1=$C897,"")</f>
        <v>5656.5848992970941</v>
      </c>
    </row>
    <row r="898" spans="1:4">
      <c r="A898" t="s">
        <v>169</v>
      </c>
      <c r="B898" t="s">
        <v>136</v>
      </c>
      <c r="C898" s="11">
        <v>2085</v>
      </c>
      <c r="D898">
        <f t="array" ref="D898">_xlfn._xlws.FILTER(_xlfn._xlws.FILTER(Demand!$G$2:$X$66,(Demand!$E$2:$E$66=$A898),""),Demand!$G$1:$X$1=$C898,"")</f>
        <v>5797.9995217795213</v>
      </c>
    </row>
    <row r="899" spans="1:4">
      <c r="A899" t="s">
        <v>169</v>
      </c>
      <c r="B899" t="s">
        <v>136</v>
      </c>
      <c r="C899" s="11">
        <v>2090</v>
      </c>
      <c r="D899">
        <f t="array" ref="D899">_xlfn._xlws.FILTER(_xlfn._xlws.FILTER(Demand!$G$2:$X$66,(Demand!$E$2:$E$66=$A899),""),Demand!$G$1:$X$1=$C899,"")</f>
        <v>5942.9495098240086</v>
      </c>
    </row>
    <row r="900" spans="1:4">
      <c r="A900" t="s">
        <v>169</v>
      </c>
      <c r="B900" t="s">
        <v>136</v>
      </c>
      <c r="C900" s="11">
        <v>2095</v>
      </c>
      <c r="D900">
        <f t="array" ref="D900">_xlfn._xlws.FILTER(_xlfn._xlws.FILTER(Demand!$G$2:$X$66,(Demand!$E$2:$E$66=$A900),""),Demand!$G$1:$X$1=$C900,"")</f>
        <v>6091.5232475696084</v>
      </c>
    </row>
    <row r="901" spans="1:4">
      <c r="A901" t="s">
        <v>169</v>
      </c>
      <c r="B901" t="s">
        <v>136</v>
      </c>
      <c r="C901" s="11">
        <v>2100</v>
      </c>
      <c r="D901">
        <f t="array" ref="D901">_xlfn._xlws.FILTER(_xlfn._xlws.FILTER(Demand!$G$2:$X$66,(Demand!$E$2:$E$66=$A901),""),Demand!$G$1:$X$1=$C901,"")</f>
        <v>6243.8113287588494</v>
      </c>
    </row>
    <row r="902" spans="1:4">
      <c r="A902" t="s">
        <v>171</v>
      </c>
      <c r="B902" t="s">
        <v>136</v>
      </c>
      <c r="C902" s="11">
        <v>2019</v>
      </c>
      <c r="D902">
        <f t="array" ref="D902">_xlfn._xlws.FILTER(_xlfn._xlws.FILTER(Demand!$G$2:$X$66,(Demand!$E$2:$E$66=$A902),""),Demand!$G$1:$X$1=$C902,"")</f>
        <v>0</v>
      </c>
    </row>
    <row r="903" spans="1:4">
      <c r="A903" t="s">
        <v>171</v>
      </c>
      <c r="B903" t="s">
        <v>136</v>
      </c>
      <c r="C903" s="11">
        <v>2020</v>
      </c>
      <c r="D903">
        <f t="array" ref="D903">_xlfn._xlws.FILTER(_xlfn._xlws.FILTER(Demand!$G$2:$X$66,(Demand!$E$2:$E$66=$A903),""),Demand!$G$1:$X$1=$C903,"")</f>
        <v>0</v>
      </c>
    </row>
    <row r="904" spans="1:4">
      <c r="A904" t="s">
        <v>171</v>
      </c>
      <c r="B904" t="s">
        <v>136</v>
      </c>
      <c r="C904" s="11">
        <v>2025</v>
      </c>
      <c r="D904">
        <f t="array" ref="D904">_xlfn._xlws.FILTER(_xlfn._xlws.FILTER(Demand!$G$2:$X$66,(Demand!$E$2:$E$66=$A904),""),Demand!$G$1:$X$1=$C904,"")</f>
        <v>0</v>
      </c>
    </row>
    <row r="905" spans="1:4">
      <c r="A905" t="s">
        <v>171</v>
      </c>
      <c r="B905" t="s">
        <v>136</v>
      </c>
      <c r="C905" s="11">
        <v>2030</v>
      </c>
      <c r="D905">
        <f t="array" ref="D905">_xlfn._xlws.FILTER(_xlfn._xlws.FILTER(Demand!$G$2:$X$66,(Demand!$E$2:$E$66=$A905),""),Demand!$G$1:$X$1=$C905,"")</f>
        <v>0</v>
      </c>
    </row>
    <row r="906" spans="1:4">
      <c r="A906" t="s">
        <v>171</v>
      </c>
      <c r="B906" t="s">
        <v>136</v>
      </c>
      <c r="C906" s="11">
        <v>2035</v>
      </c>
      <c r="D906">
        <f t="array" ref="D906">_xlfn._xlws.FILTER(_xlfn._xlws.FILTER(Demand!$G$2:$X$66,(Demand!$E$2:$E$66=$A906),""),Demand!$G$1:$X$1=$C906,"")</f>
        <v>0</v>
      </c>
    </row>
    <row r="907" spans="1:4">
      <c r="A907" t="s">
        <v>171</v>
      </c>
      <c r="B907" t="s">
        <v>136</v>
      </c>
      <c r="C907" s="11">
        <v>2040</v>
      </c>
      <c r="D907">
        <f t="array" ref="D907">_xlfn._xlws.FILTER(_xlfn._xlws.FILTER(Demand!$G$2:$X$66,(Demand!$E$2:$E$66=$A907),""),Demand!$G$1:$X$1=$C907,"")</f>
        <v>0</v>
      </c>
    </row>
    <row r="908" spans="1:4">
      <c r="A908" t="s">
        <v>171</v>
      </c>
      <c r="B908" t="s">
        <v>136</v>
      </c>
      <c r="C908" s="11">
        <v>2045</v>
      </c>
      <c r="D908">
        <f t="array" ref="D908">_xlfn._xlws.FILTER(_xlfn._xlws.FILTER(Demand!$G$2:$X$66,(Demand!$E$2:$E$66=$A908),""),Demand!$G$1:$X$1=$C908,"")</f>
        <v>0</v>
      </c>
    </row>
    <row r="909" spans="1:4">
      <c r="A909" t="s">
        <v>171</v>
      </c>
      <c r="B909" t="s">
        <v>136</v>
      </c>
      <c r="C909" s="11">
        <v>2050</v>
      </c>
      <c r="D909">
        <f t="array" ref="D909">_xlfn._xlws.FILTER(_xlfn._xlws.FILTER(Demand!$G$2:$X$66,(Demand!$E$2:$E$66=$A909),""),Demand!$G$1:$X$1=$C909,"")</f>
        <v>0</v>
      </c>
    </row>
    <row r="910" spans="1:4">
      <c r="A910" t="s">
        <v>171</v>
      </c>
      <c r="B910" t="s">
        <v>136</v>
      </c>
      <c r="C910" s="11">
        <v>2055</v>
      </c>
      <c r="D910">
        <f t="array" ref="D910">_xlfn._xlws.FILTER(_xlfn._xlws.FILTER(Demand!$G$2:$X$66,(Demand!$E$2:$E$66=$A910),""),Demand!$G$1:$X$1=$C910,"")</f>
        <v>0</v>
      </c>
    </row>
    <row r="911" spans="1:4">
      <c r="A911" t="s">
        <v>171</v>
      </c>
      <c r="B911" t="s">
        <v>136</v>
      </c>
      <c r="C911" s="11">
        <v>2060</v>
      </c>
      <c r="D911">
        <f t="array" ref="D911">_xlfn._xlws.FILTER(_xlfn._xlws.FILTER(Demand!$G$2:$X$66,(Demand!$E$2:$E$66=$A911),""),Demand!$G$1:$X$1=$C911,"")</f>
        <v>0</v>
      </c>
    </row>
    <row r="912" spans="1:4">
      <c r="A912" t="s">
        <v>171</v>
      </c>
      <c r="B912" t="s">
        <v>136</v>
      </c>
      <c r="C912" s="11">
        <v>2065</v>
      </c>
      <c r="D912">
        <f t="array" ref="D912">_xlfn._xlws.FILTER(_xlfn._xlws.FILTER(Demand!$G$2:$X$66,(Demand!$E$2:$E$66=$A912),""),Demand!$G$1:$X$1=$C912,"")</f>
        <v>0</v>
      </c>
    </row>
    <row r="913" spans="1:4">
      <c r="A913" t="s">
        <v>171</v>
      </c>
      <c r="B913" t="s">
        <v>136</v>
      </c>
      <c r="C913" s="11">
        <v>2070</v>
      </c>
      <c r="D913">
        <f t="array" ref="D913">_xlfn._xlws.FILTER(_xlfn._xlws.FILTER(Demand!$G$2:$X$66,(Demand!$E$2:$E$66=$A913),""),Demand!$G$1:$X$1=$C913,"")</f>
        <v>0</v>
      </c>
    </row>
    <row r="914" spans="1:4">
      <c r="A914" t="s">
        <v>171</v>
      </c>
      <c r="B914" t="s">
        <v>136</v>
      </c>
      <c r="C914" s="11">
        <v>2075</v>
      </c>
      <c r="D914">
        <f t="array" ref="D914">_xlfn._xlws.FILTER(_xlfn._xlws.FILTER(Demand!$G$2:$X$66,(Demand!$E$2:$E$66=$A914),""),Demand!$G$1:$X$1=$C914,"")</f>
        <v>0</v>
      </c>
    </row>
    <row r="915" spans="1:4">
      <c r="A915" t="s">
        <v>171</v>
      </c>
      <c r="B915" t="s">
        <v>136</v>
      </c>
      <c r="C915" s="11">
        <v>2080</v>
      </c>
      <c r="D915">
        <f t="array" ref="D915">_xlfn._xlws.FILTER(_xlfn._xlws.FILTER(Demand!$G$2:$X$66,(Demand!$E$2:$E$66=$A915),""),Demand!$G$1:$X$1=$C915,"")</f>
        <v>0</v>
      </c>
    </row>
    <row r="916" spans="1:4">
      <c r="A916" t="s">
        <v>171</v>
      </c>
      <c r="B916" t="s">
        <v>136</v>
      </c>
      <c r="C916" s="11">
        <v>2085</v>
      </c>
      <c r="D916">
        <f t="array" ref="D916">_xlfn._xlws.FILTER(_xlfn._xlws.FILTER(Demand!$G$2:$X$66,(Demand!$E$2:$E$66=$A916),""),Demand!$G$1:$X$1=$C916,"")</f>
        <v>0</v>
      </c>
    </row>
    <row r="917" spans="1:4">
      <c r="A917" t="s">
        <v>171</v>
      </c>
      <c r="B917" t="s">
        <v>136</v>
      </c>
      <c r="C917" s="11">
        <v>2090</v>
      </c>
      <c r="D917">
        <f t="array" ref="D917">_xlfn._xlws.FILTER(_xlfn._xlws.FILTER(Demand!$G$2:$X$66,(Demand!$E$2:$E$66=$A917),""),Demand!$G$1:$X$1=$C917,"")</f>
        <v>0</v>
      </c>
    </row>
    <row r="918" spans="1:4">
      <c r="A918" t="s">
        <v>171</v>
      </c>
      <c r="B918" t="s">
        <v>136</v>
      </c>
      <c r="C918" s="11">
        <v>2095</v>
      </c>
      <c r="D918">
        <f t="array" ref="D918">_xlfn._xlws.FILTER(_xlfn._xlws.FILTER(Demand!$G$2:$X$66,(Demand!$E$2:$E$66=$A918),""),Demand!$G$1:$X$1=$C918,"")</f>
        <v>0</v>
      </c>
    </row>
    <row r="919" spans="1:4">
      <c r="A919" t="s">
        <v>171</v>
      </c>
      <c r="B919" t="s">
        <v>136</v>
      </c>
      <c r="C919" s="11">
        <v>2100</v>
      </c>
      <c r="D919">
        <f t="array" ref="D919">_xlfn._xlws.FILTER(_xlfn._xlws.FILTER(Demand!$G$2:$X$66,(Demand!$E$2:$E$66=$A919),""),Demand!$G$1:$X$1=$C919,"")</f>
        <v>0</v>
      </c>
    </row>
    <row r="920" spans="1:4">
      <c r="A920" t="s">
        <v>173</v>
      </c>
      <c r="B920" t="s">
        <v>136</v>
      </c>
      <c r="C920" s="11">
        <v>2019</v>
      </c>
      <c r="D920">
        <f t="array" ref="D920">_xlfn._xlws.FILTER(_xlfn._xlws.FILTER(Demand!$G$2:$X$66,(Demand!$E$2:$E$66=$A920),""),Demand!$G$1:$X$1=$C920,"")</f>
        <v>1.605430432772551</v>
      </c>
    </row>
    <row r="921" spans="1:4">
      <c r="A921" t="s">
        <v>173</v>
      </c>
      <c r="B921" t="s">
        <v>136</v>
      </c>
      <c r="C921" s="11">
        <v>2020</v>
      </c>
      <c r="D921">
        <f t="array" ref="D921">_xlfn._xlws.FILTER(_xlfn._xlws.FILTER(Demand!$G$2:$X$66,(Demand!$E$2:$E$66=$A921),""),Demand!$G$1:$X$1=$C921,"")</f>
        <v>1.6134575849364139</v>
      </c>
    </row>
    <row r="922" spans="1:4">
      <c r="A922" t="s">
        <v>173</v>
      </c>
      <c r="B922" t="s">
        <v>136</v>
      </c>
      <c r="C922" s="11">
        <v>2025</v>
      </c>
      <c r="D922">
        <f t="array" ref="D922">_xlfn._xlws.FILTER(_xlfn._xlws.FILTER(Demand!$G$2:$X$66,(Demand!$E$2:$E$66=$A922),""),Demand!$G$1:$X$1=$C922,"")</f>
        <v>1.6537940245598239</v>
      </c>
    </row>
    <row r="923" spans="1:4">
      <c r="A923" t="s">
        <v>173</v>
      </c>
      <c r="B923" t="s">
        <v>136</v>
      </c>
      <c r="C923" s="11">
        <v>2030</v>
      </c>
      <c r="D923">
        <f t="array" ref="D923">_xlfn._xlws.FILTER(_xlfn._xlws.FILTER(Demand!$G$2:$X$66,(Demand!$E$2:$E$66=$A923),""),Demand!$G$1:$X$1=$C923,"")</f>
        <v>1.6951388751738199</v>
      </c>
    </row>
    <row r="924" spans="1:4">
      <c r="A924" t="s">
        <v>173</v>
      </c>
      <c r="B924" t="s">
        <v>136</v>
      </c>
      <c r="C924" s="11">
        <v>2035</v>
      </c>
      <c r="D924">
        <f t="array" ref="D924">_xlfn._xlws.FILTER(_xlfn._xlws.FILTER(Demand!$G$2:$X$66,(Demand!$E$2:$E$66=$A924),""),Demand!$G$1:$X$1=$C924,"")</f>
        <v>1.7375173470531651</v>
      </c>
    </row>
    <row r="925" spans="1:4">
      <c r="A925" t="s">
        <v>173</v>
      </c>
      <c r="B925" t="s">
        <v>136</v>
      </c>
      <c r="C925" s="11">
        <v>2040</v>
      </c>
      <c r="D925">
        <f t="array" ref="D925">_xlfn._xlws.FILTER(_xlfn._xlws.FILTER(Demand!$G$2:$X$66,(Demand!$E$2:$E$66=$A925),""),Demand!$G$1:$X$1=$C925,"")</f>
        <v>1.7809552807294939</v>
      </c>
    </row>
    <row r="926" spans="1:4">
      <c r="A926" t="s">
        <v>173</v>
      </c>
      <c r="B926" t="s">
        <v>136</v>
      </c>
      <c r="C926" s="11">
        <v>2045</v>
      </c>
      <c r="D926">
        <f t="array" ref="D926">_xlfn._xlws.FILTER(_xlfn._xlws.FILTER(Demand!$G$2:$X$66,(Demand!$E$2:$E$66=$A926),""),Demand!$G$1:$X$1=$C926,"")</f>
        <v>1.8254791627477309</v>
      </c>
    </row>
    <row r="927" spans="1:4">
      <c r="A927" t="s">
        <v>173</v>
      </c>
      <c r="B927" t="s">
        <v>136</v>
      </c>
      <c r="C927" s="11">
        <v>2050</v>
      </c>
      <c r="D927">
        <f t="array" ref="D927">_xlfn._xlws.FILTER(_xlfn._xlws.FILTER(Demand!$G$2:$X$66,(Demand!$E$2:$E$66=$A927),""),Demand!$G$1:$X$1=$C927,"")</f>
        <v>1.8711161418164239</v>
      </c>
    </row>
    <row r="928" spans="1:4">
      <c r="A928" t="s">
        <v>173</v>
      </c>
      <c r="B928" t="s">
        <v>136</v>
      </c>
      <c r="C928" s="11">
        <v>2055</v>
      </c>
      <c r="D928">
        <f t="array" ref="D928">_xlfn._xlws.FILTER(_xlfn._xlws.FILTER(Demand!$G$2:$X$66,(Demand!$E$2:$E$66=$A928),""),Demand!$G$1:$X$1=$C928,"")</f>
        <v>1.9178940453618341</v>
      </c>
    </row>
    <row r="929" spans="1:4">
      <c r="A929" t="s">
        <v>173</v>
      </c>
      <c r="B929" t="s">
        <v>136</v>
      </c>
      <c r="C929" s="11">
        <v>2060</v>
      </c>
      <c r="D929">
        <f t="array" ref="D929">_xlfn._xlws.FILTER(_xlfn._xlws.FILTER(Demand!$G$2:$X$66,(Demand!$E$2:$E$66=$A929),""),Demand!$G$1:$X$1=$C929,"")</f>
        <v>1.9658413964958801</v>
      </c>
    </row>
    <row r="930" spans="1:4">
      <c r="A930" t="s">
        <v>173</v>
      </c>
      <c r="B930" t="s">
        <v>136</v>
      </c>
      <c r="C930" s="11">
        <v>2065</v>
      </c>
      <c r="D930">
        <f t="array" ref="D930">_xlfn._xlws.FILTER(_xlfn._xlws.FILTER(Demand!$G$2:$X$66,(Demand!$E$2:$E$66=$A930),""),Demand!$G$1:$X$1=$C930,"")</f>
        <v>2.0149874314082772</v>
      </c>
    </row>
    <row r="931" spans="1:4">
      <c r="A931" t="s">
        <v>173</v>
      </c>
      <c r="B931" t="s">
        <v>136</v>
      </c>
      <c r="C931" s="11">
        <v>2070</v>
      </c>
      <c r="D931">
        <f t="array" ref="D931">_xlfn._xlws.FILTER(_xlfn._xlws.FILTER(Demand!$G$2:$X$66,(Demand!$E$2:$E$66=$A931),""),Demand!$G$1:$X$1=$C931,"")</f>
        <v>2.0653621171934842</v>
      </c>
    </row>
    <row r="932" spans="1:4">
      <c r="A932" t="s">
        <v>173</v>
      </c>
      <c r="B932" t="s">
        <v>136</v>
      </c>
      <c r="C932" s="11">
        <v>2075</v>
      </c>
      <c r="D932">
        <f t="array" ref="D932">_xlfn._xlws.FILTER(_xlfn._xlws.FILTER(Demand!$G$2:$X$66,(Demand!$E$2:$E$66=$A932),""),Demand!$G$1:$X$1=$C932,"")</f>
        <v>2.1169961701233211</v>
      </c>
    </row>
    <row r="933" spans="1:4">
      <c r="A933" t="s">
        <v>173</v>
      </c>
      <c r="B933" t="s">
        <v>136</v>
      </c>
      <c r="C933" s="11">
        <v>2080</v>
      </c>
      <c r="D933">
        <f t="array" ref="D933">_xlfn._xlws.FILTER(_xlfn._xlws.FILTER(Demand!$G$2:$X$66,(Demand!$E$2:$E$66=$A933),""),Demand!$G$1:$X$1=$C933,"")</f>
        <v>2.1699210743764041</v>
      </c>
    </row>
    <row r="934" spans="1:4">
      <c r="A934" t="s">
        <v>173</v>
      </c>
      <c r="B934" t="s">
        <v>136</v>
      </c>
      <c r="C934" s="11">
        <v>2085</v>
      </c>
      <c r="D934">
        <f t="array" ref="D934">_xlfn._xlws.FILTER(_xlfn._xlws.FILTER(Demand!$G$2:$X$66,(Demand!$E$2:$E$66=$A934),""),Demand!$G$1:$X$1=$C934,"")</f>
        <v>2.2241691012358138</v>
      </c>
    </row>
    <row r="935" spans="1:4">
      <c r="A935" t="s">
        <v>173</v>
      </c>
      <c r="B935" t="s">
        <v>136</v>
      </c>
      <c r="C935" s="11">
        <v>2090</v>
      </c>
      <c r="D935">
        <f t="array" ref="D935">_xlfn._xlws.FILTER(_xlfn._xlws.FILTER(Demand!$G$2:$X$66,(Demand!$E$2:$E$66=$A935),""),Demand!$G$1:$X$1=$C935,"")</f>
        <v>2.279773328766709</v>
      </c>
    </row>
    <row r="936" spans="1:4">
      <c r="A936" t="s">
        <v>173</v>
      </c>
      <c r="B936" t="s">
        <v>136</v>
      </c>
      <c r="C936" s="11">
        <v>2095</v>
      </c>
      <c r="D936">
        <f t="array" ref="D936">_xlfn._xlws.FILTER(_xlfn._xlws.FILTER(Demand!$G$2:$X$66,(Demand!$E$2:$E$66=$A936),""),Demand!$G$1:$X$1=$C936,"")</f>
        <v>2.3367676619858759</v>
      </c>
    </row>
    <row r="937" spans="1:4">
      <c r="A937" t="s">
        <v>173</v>
      </c>
      <c r="B937" t="s">
        <v>136</v>
      </c>
      <c r="C937" s="11">
        <v>2100</v>
      </c>
      <c r="D937">
        <f t="array" ref="D937">_xlfn._xlws.FILTER(_xlfn._xlws.FILTER(Demand!$G$2:$X$66,(Demand!$E$2:$E$66=$A937),""),Demand!$G$1:$X$1=$C937,"")</f>
        <v>2.395186853535523</v>
      </c>
    </row>
    <row r="938" spans="1:4">
      <c r="A938" t="s">
        <v>175</v>
      </c>
      <c r="B938" t="s">
        <v>136</v>
      </c>
      <c r="C938" s="11">
        <v>2019</v>
      </c>
      <c r="D938">
        <f t="array" ref="D938">_xlfn._xlws.FILTER(_xlfn._xlws.FILTER(Demand!$G$2:$X$66,(Demand!$E$2:$E$66=$A938),""),Demand!$G$1:$X$1=$C938,"")</f>
        <v>0.1257155698946095</v>
      </c>
    </row>
    <row r="939" spans="1:4">
      <c r="A939" t="s">
        <v>175</v>
      </c>
      <c r="B939" t="s">
        <v>136</v>
      </c>
      <c r="C939" s="11">
        <v>2020</v>
      </c>
      <c r="D939">
        <f t="array" ref="D939">_xlfn._xlws.FILTER(_xlfn._xlws.FILTER(Demand!$G$2:$X$66,(Demand!$E$2:$E$66=$A939),""),Demand!$G$1:$X$1=$C939,"")</f>
        <v>0.12634414774408251</v>
      </c>
    </row>
    <row r="940" spans="1:4">
      <c r="A940" t="s">
        <v>175</v>
      </c>
      <c r="B940" t="s">
        <v>136</v>
      </c>
      <c r="C940" s="11">
        <v>2025</v>
      </c>
      <c r="D940">
        <f t="array" ref="D940">_xlfn._xlws.FILTER(_xlfn._xlws.FILTER(Demand!$G$2:$X$66,(Demand!$E$2:$E$66=$A940),""),Demand!$G$1:$X$1=$C940,"")</f>
        <v>0.12950275143768461</v>
      </c>
    </row>
    <row r="941" spans="1:4">
      <c r="A941" t="s">
        <v>175</v>
      </c>
      <c r="B941" t="s">
        <v>136</v>
      </c>
      <c r="C941" s="11">
        <v>2030</v>
      </c>
      <c r="D941">
        <f t="array" ref="D941">_xlfn._xlws.FILTER(_xlfn._xlws.FILTER(Demand!$G$2:$X$66,(Demand!$E$2:$E$66=$A941),""),Demand!$G$1:$X$1=$C941,"")</f>
        <v>0.1327403202236267</v>
      </c>
    </row>
    <row r="942" spans="1:4">
      <c r="A942" t="s">
        <v>175</v>
      </c>
      <c r="B942" t="s">
        <v>136</v>
      </c>
      <c r="C942" s="11">
        <v>2035</v>
      </c>
      <c r="D942">
        <f t="array" ref="D942">_xlfn._xlws.FILTER(_xlfn._xlws.FILTER(Demand!$G$2:$X$66,(Demand!$E$2:$E$66=$A942),""),Demand!$G$1:$X$1=$C942,"")</f>
        <v>0.1360588282292173</v>
      </c>
    </row>
    <row r="943" spans="1:4">
      <c r="A943" t="s">
        <v>175</v>
      </c>
      <c r="B943" t="s">
        <v>136</v>
      </c>
      <c r="C943" s="11">
        <v>2040</v>
      </c>
      <c r="D943">
        <f t="array" ref="D943">_xlfn._xlws.FILTER(_xlfn._xlws.FILTER(Demand!$G$2:$X$66,(Demand!$E$2:$E$66=$A943),""),Demand!$G$1:$X$1=$C943,"")</f>
        <v>0.13946029893494771</v>
      </c>
    </row>
    <row r="944" spans="1:4">
      <c r="A944" t="s">
        <v>175</v>
      </c>
      <c r="B944" t="s">
        <v>136</v>
      </c>
      <c r="C944" s="11">
        <v>2045</v>
      </c>
      <c r="D944">
        <f t="array" ref="D944">_xlfn._xlws.FILTER(_xlfn._xlws.FILTER(Demand!$G$2:$X$66,(Demand!$E$2:$E$66=$A944),""),Demand!$G$1:$X$1=$C944,"")</f>
        <v>0.14294680640832139</v>
      </c>
    </row>
    <row r="945" spans="1:4">
      <c r="A945" t="s">
        <v>175</v>
      </c>
      <c r="B945" t="s">
        <v>136</v>
      </c>
      <c r="C945" s="11">
        <v>2050</v>
      </c>
      <c r="D945">
        <f t="array" ref="D945">_xlfn._xlws.FILTER(_xlfn._xlws.FILTER(Demand!$G$2:$X$66,(Demand!$E$2:$E$66=$A945),""),Demand!$G$1:$X$1=$C945,"")</f>
        <v>0.1465204765685294</v>
      </c>
    </row>
    <row r="946" spans="1:4">
      <c r="A946" t="s">
        <v>175</v>
      </c>
      <c r="B946" t="s">
        <v>136</v>
      </c>
      <c r="C946" s="11">
        <v>2055</v>
      </c>
      <c r="D946">
        <f t="array" ref="D946">_xlfn._xlws.FILTER(_xlfn._xlws.FILTER(Demand!$G$2:$X$66,(Demand!$E$2:$E$66=$A946),""),Demand!$G$1:$X$1=$C946,"")</f>
        <v>0.15018348848274271</v>
      </c>
    </row>
    <row r="947" spans="1:4">
      <c r="A947" t="s">
        <v>175</v>
      </c>
      <c r="B947" t="s">
        <v>136</v>
      </c>
      <c r="C947" s="11">
        <v>2060</v>
      </c>
      <c r="D947">
        <f t="array" ref="D947">_xlfn._xlws.FILTER(_xlfn._xlws.FILTER(Demand!$G$2:$X$66,(Demand!$E$2:$E$66=$A947),""),Demand!$G$1:$X$1=$C947,"")</f>
        <v>0.15393807569481119</v>
      </c>
    </row>
    <row r="948" spans="1:4">
      <c r="A948" t="s">
        <v>175</v>
      </c>
      <c r="B948" t="s">
        <v>136</v>
      </c>
      <c r="C948" s="11">
        <v>2065</v>
      </c>
      <c r="D948">
        <f t="array" ref="D948">_xlfn._xlws.FILTER(_xlfn._xlws.FILTER(Demand!$G$2:$X$66,(Demand!$E$2:$E$66=$A948),""),Demand!$G$1:$X$1=$C948,"")</f>
        <v>0.15778652758718151</v>
      </c>
    </row>
    <row r="949" spans="1:4">
      <c r="A949" t="s">
        <v>175</v>
      </c>
      <c r="B949" t="s">
        <v>136</v>
      </c>
      <c r="C949" s="11">
        <v>2070</v>
      </c>
      <c r="D949">
        <f t="array" ref="D949">_xlfn._xlws.FILTER(_xlfn._xlws.FILTER(Demand!$G$2:$X$66,(Demand!$E$2:$E$66=$A949),""),Demand!$G$1:$X$1=$C949,"")</f>
        <v>0.16173119077686099</v>
      </c>
    </row>
    <row r="950" spans="1:4">
      <c r="A950" t="s">
        <v>175</v>
      </c>
      <c r="B950" t="s">
        <v>136</v>
      </c>
      <c r="C950" s="11">
        <v>2075</v>
      </c>
      <c r="D950">
        <f t="array" ref="D950">_xlfn._xlws.FILTER(_xlfn._xlws.FILTER(Demand!$G$2:$X$66,(Demand!$E$2:$E$66=$A950),""),Demand!$G$1:$X$1=$C950,"")</f>
        <v>0.1657744705462825</v>
      </c>
    </row>
    <row r="951" spans="1:4">
      <c r="A951" t="s">
        <v>175</v>
      </c>
      <c r="B951" t="s">
        <v>136</v>
      </c>
      <c r="C951" s="11">
        <v>2080</v>
      </c>
      <c r="D951">
        <f t="array" ref="D951">_xlfn._xlws.FILTER(_xlfn._xlws.FILTER(Demand!$G$2:$X$66,(Demand!$E$2:$E$66=$A951),""),Demand!$G$1:$X$1=$C951,"")</f>
        <v>0.16991883230993951</v>
      </c>
    </row>
    <row r="952" spans="1:4">
      <c r="A952" t="s">
        <v>175</v>
      </c>
      <c r="B952" t="s">
        <v>136</v>
      </c>
      <c r="C952" s="11">
        <v>2085</v>
      </c>
      <c r="D952">
        <f t="array" ref="D952">_xlfn._xlws.FILTER(_xlfn._xlws.FILTER(Demand!$G$2:$X$66,(Demand!$E$2:$E$66=$A952),""),Demand!$G$1:$X$1=$C952,"")</f>
        <v>0.17416680311768801</v>
      </c>
    </row>
    <row r="953" spans="1:4">
      <c r="A953" t="s">
        <v>175</v>
      </c>
      <c r="B953" t="s">
        <v>136</v>
      </c>
      <c r="C953" s="11">
        <v>2090</v>
      </c>
      <c r="D953">
        <f t="array" ref="D953">_xlfn._xlws.FILTER(_xlfn._xlws.FILTER(Demand!$G$2:$X$66,(Demand!$E$2:$E$66=$A953),""),Demand!$G$1:$X$1=$C953,"")</f>
        <v>0.17852097319563021</v>
      </c>
    </row>
    <row r="954" spans="1:4">
      <c r="A954" t="s">
        <v>175</v>
      </c>
      <c r="B954" t="s">
        <v>136</v>
      </c>
      <c r="C954" s="11">
        <v>2095</v>
      </c>
      <c r="D954">
        <f t="array" ref="D954">_xlfn._xlws.FILTER(_xlfn._xlws.FILTER(Demand!$G$2:$X$66,(Demand!$E$2:$E$66=$A954),""),Demand!$G$1:$X$1=$C954,"")</f>
        <v>0.18298399752552089</v>
      </c>
    </row>
    <row r="955" spans="1:4">
      <c r="A955" t="s">
        <v>175</v>
      </c>
      <c r="B955" t="s">
        <v>136</v>
      </c>
      <c r="C955" s="11">
        <v>2100</v>
      </c>
      <c r="D955">
        <f t="array" ref="D955">_xlfn._xlws.FILTER(_xlfn._xlws.FILTER(Demand!$G$2:$X$66,(Demand!$E$2:$E$66=$A955),""),Demand!$G$1:$X$1=$C955,"")</f>
        <v>0.18755859746365891</v>
      </c>
    </row>
    <row r="956" spans="1:4">
      <c r="A956" t="s">
        <v>179</v>
      </c>
      <c r="B956" t="s">
        <v>180</v>
      </c>
      <c r="C956" s="11">
        <v>2019</v>
      </c>
      <c r="D956">
        <f t="array" ref="D956">_xlfn._xlws.FILTER(_xlfn._xlws.FILTER(Demand!$G$2:$X$66,(Demand!$E$2:$E$66=$A956),""),Demand!$G$1:$X$1=$C956,"")</f>
        <v>3375.0740840299131</v>
      </c>
    </row>
    <row r="957" spans="1:4">
      <c r="A957" t="s">
        <v>179</v>
      </c>
      <c r="B957" t="s">
        <v>180</v>
      </c>
      <c r="C957" s="11">
        <v>2020</v>
      </c>
      <c r="D957">
        <f t="array" ref="D957">_xlfn._xlws.FILTER(_xlfn._xlws.FILTER(Demand!$G$2:$X$66,(Demand!$E$2:$E$66=$A957),""),Demand!$G$1:$X$1=$C957,"")</f>
        <v>3391.9494544500621</v>
      </c>
    </row>
    <row r="958" spans="1:4">
      <c r="A958" t="s">
        <v>179</v>
      </c>
      <c r="B958" t="s">
        <v>180</v>
      </c>
      <c r="C958" s="11">
        <v>2025</v>
      </c>
      <c r="D958">
        <f t="array" ref="D958">_xlfn._xlws.FILTER(_xlfn._xlws.FILTER(Demand!$G$2:$X$66,(Demand!$E$2:$E$66=$A958),""),Demand!$G$1:$X$1=$C958,"")</f>
        <v>3476.7481908113132</v>
      </c>
    </row>
    <row r="959" spans="1:4">
      <c r="A959" t="s">
        <v>179</v>
      </c>
      <c r="B959" t="s">
        <v>180</v>
      </c>
      <c r="C959" s="11">
        <v>2030</v>
      </c>
      <c r="D959">
        <f t="array" ref="D959">_xlfn._xlws.FILTER(_xlfn._xlws.FILTER(Demand!$G$2:$X$66,(Demand!$E$2:$E$66=$A959),""),Demand!$G$1:$X$1=$C959,"")</f>
        <v>3563.6668955815949</v>
      </c>
    </row>
    <row r="960" spans="1:4">
      <c r="A960" t="s">
        <v>179</v>
      </c>
      <c r="B960" t="s">
        <v>180</v>
      </c>
      <c r="C960" s="11">
        <v>2035</v>
      </c>
      <c r="D960">
        <f t="array" ref="D960">_xlfn._xlws.FILTER(_xlfn._xlws.FILTER(Demand!$G$2:$X$66,(Demand!$E$2:$E$66=$A960),""),Demand!$G$1:$X$1=$C960,"")</f>
        <v>3652.7585679711351</v>
      </c>
    </row>
    <row r="961" spans="1:4">
      <c r="A961" t="s">
        <v>179</v>
      </c>
      <c r="B961" t="s">
        <v>180</v>
      </c>
      <c r="C961" s="11">
        <v>2040</v>
      </c>
      <c r="D961">
        <f t="array" ref="D961">_xlfn._xlws.FILTER(_xlfn._xlws.FILTER(Demand!$G$2:$X$66,(Demand!$E$2:$E$66=$A961),""),Demand!$G$1:$X$1=$C961,"")</f>
        <v>3744.0775321704132</v>
      </c>
    </row>
    <row r="962" spans="1:4">
      <c r="A962" t="s">
        <v>179</v>
      </c>
      <c r="B962" t="s">
        <v>180</v>
      </c>
      <c r="C962" s="11">
        <v>2045</v>
      </c>
      <c r="D962">
        <f t="array" ref="D962">_xlfn._xlws.FILTER(_xlfn._xlws.FILTER(Demand!$G$2:$X$66,(Demand!$E$2:$E$66=$A962),""),Demand!$G$1:$X$1=$C962,"")</f>
        <v>3837.6794704746731</v>
      </c>
    </row>
    <row r="963" spans="1:4">
      <c r="A963" t="s">
        <v>179</v>
      </c>
      <c r="B963" t="s">
        <v>180</v>
      </c>
      <c r="C963" s="11">
        <v>2050</v>
      </c>
      <c r="D963">
        <f t="array" ref="D963">_xlfn._xlws.FILTER(_xlfn._xlws.FILTER(Demand!$G$2:$X$66,(Demand!$E$2:$E$66=$A963),""),Demand!$G$1:$X$1=$C963,"")</f>
        <v>3933.6214572365402</v>
      </c>
    </row>
    <row r="964" spans="1:4">
      <c r="A964" t="s">
        <v>179</v>
      </c>
      <c r="B964" t="s">
        <v>180</v>
      </c>
      <c r="C964" s="11">
        <v>2055</v>
      </c>
      <c r="D964">
        <f t="array" ref="D964">_xlfn._xlws.FILTER(_xlfn._xlws.FILTER(Demand!$G$2:$X$66,(Demand!$E$2:$E$66=$A964),""),Demand!$G$1:$X$1=$C964,"")</f>
        <v>4031.961993667453</v>
      </c>
    </row>
    <row r="965" spans="1:4">
      <c r="A965" t="s">
        <v>179</v>
      </c>
      <c r="B965" t="s">
        <v>180</v>
      </c>
      <c r="C965" s="11">
        <v>2060</v>
      </c>
      <c r="D965">
        <f t="array" ref="D965">_xlfn._xlws.FILTER(_xlfn._xlws.FILTER(Demand!$G$2:$X$66,(Demand!$E$2:$E$66=$A965),""),Demand!$G$1:$X$1=$C965,"")</f>
        <v>4132.7610435091392</v>
      </c>
    </row>
    <row r="966" spans="1:4">
      <c r="A966" t="s">
        <v>179</v>
      </c>
      <c r="B966" t="s">
        <v>180</v>
      </c>
      <c r="C966" s="11">
        <v>2065</v>
      </c>
      <c r="D966">
        <f t="array" ref="D966">_xlfn._xlws.FILTER(_xlfn._xlws.FILTER(Demand!$G$2:$X$66,(Demand!$E$2:$E$66=$A966),""),Demand!$G$1:$X$1=$C966,"")</f>
        <v>4236.0800695968674</v>
      </c>
    </row>
    <row r="967" spans="1:4">
      <c r="A967" t="s">
        <v>179</v>
      </c>
      <c r="B967" t="s">
        <v>180</v>
      </c>
      <c r="C967" s="11">
        <v>2070</v>
      </c>
      <c r="D967">
        <f t="array" ref="D967">_xlfn._xlws.FILTER(_xlfn._xlws.FILTER(Demand!$G$2:$X$66,(Demand!$E$2:$E$66=$A967),""),Demand!$G$1:$X$1=$C967,"")</f>
        <v>4341.982071336789</v>
      </c>
    </row>
    <row r="968" spans="1:4">
      <c r="A968" t="s">
        <v>179</v>
      </c>
      <c r="B968" t="s">
        <v>180</v>
      </c>
      <c r="C968" s="11">
        <v>2075</v>
      </c>
      <c r="D968">
        <f t="array" ref="D968">_xlfn._xlws.FILTER(_xlfn._xlws.FILTER(Demand!$G$2:$X$66,(Demand!$E$2:$E$66=$A968),""),Demand!$G$1:$X$1=$C968,"")</f>
        <v>4450.5316231202087</v>
      </c>
    </row>
    <row r="969" spans="1:4">
      <c r="A969" t="s">
        <v>179</v>
      </c>
      <c r="B969" t="s">
        <v>180</v>
      </c>
      <c r="C969" s="11">
        <v>2080</v>
      </c>
      <c r="D969">
        <f t="array" ref="D969">_xlfn._xlws.FILTER(_xlfn._xlws.FILTER(Demand!$G$2:$X$66,(Demand!$E$2:$E$66=$A969),""),Demand!$G$1:$X$1=$C969,"")</f>
        <v>4561.7949136982133</v>
      </c>
    </row>
    <row r="970" spans="1:4">
      <c r="A970" t="s">
        <v>179</v>
      </c>
      <c r="B970" t="s">
        <v>180</v>
      </c>
      <c r="C970" s="11">
        <v>2085</v>
      </c>
      <c r="D970">
        <f t="array" ref="D970">_xlfn._xlws.FILTER(_xlfn._xlws.FILTER(Demand!$G$2:$X$66,(Demand!$E$2:$E$66=$A970),""),Demand!$G$1:$X$1=$C970,"")</f>
        <v>4675.8397865406687</v>
      </c>
    </row>
    <row r="971" spans="1:4">
      <c r="A971" t="s">
        <v>179</v>
      </c>
      <c r="B971" t="s">
        <v>180</v>
      </c>
      <c r="C971" s="11">
        <v>2090</v>
      </c>
      <c r="D971">
        <f t="array" ref="D971">_xlfn._xlws.FILTER(_xlfn._xlws.FILTER(Demand!$G$2:$X$66,(Demand!$E$2:$E$66=$A971),""),Demand!$G$1:$X$1=$C971,"")</f>
        <v>4792.7357812041846</v>
      </c>
    </row>
    <row r="972" spans="1:4">
      <c r="A972" t="s">
        <v>179</v>
      </c>
      <c r="B972" t="s">
        <v>180</v>
      </c>
      <c r="C972" s="11">
        <v>2095</v>
      </c>
      <c r="D972">
        <f t="array" ref="D972">_xlfn._xlws.FILTER(_xlfn._xlws.FILTER(Demand!$G$2:$X$66,(Demand!$E$2:$E$66=$A972),""),Demand!$G$1:$X$1=$C972,"")</f>
        <v>4912.5541757342889</v>
      </c>
    </row>
    <row r="973" spans="1:4">
      <c r="A973" t="s">
        <v>179</v>
      </c>
      <c r="B973" t="s">
        <v>180</v>
      </c>
      <c r="C973" s="11">
        <v>2100</v>
      </c>
      <c r="D973">
        <f t="array" ref="D973">_xlfn._xlws.FILTER(_xlfn._xlws.FILTER(Demand!$G$2:$X$66,(Demand!$E$2:$E$66=$A973),""),Demand!$G$1:$X$1=$C973,"")</f>
        <v>5035.3680301276454</v>
      </c>
    </row>
    <row r="974" spans="1:4">
      <c r="A974" t="s">
        <v>182</v>
      </c>
      <c r="B974" t="s">
        <v>180</v>
      </c>
      <c r="C974" s="11">
        <v>2019</v>
      </c>
      <c r="D974">
        <f t="array" ref="D974">_xlfn._xlws.FILTER(_xlfn._xlws.FILTER(Demand!$G$2:$X$66,(Demand!$E$2:$E$66=$A974),""),Demand!$G$1:$X$1=$C974,"")</f>
        <v>405.00889008358951</v>
      </c>
    </row>
    <row r="975" spans="1:4">
      <c r="A975" t="s">
        <v>182</v>
      </c>
      <c r="B975" t="s">
        <v>180</v>
      </c>
      <c r="C975" s="11">
        <v>2020</v>
      </c>
      <c r="D975">
        <f t="array" ref="D975">_xlfn._xlws.FILTER(_xlfn._xlws.FILTER(Demand!$G$2:$X$66,(Demand!$E$2:$E$66=$A975),""),Demand!$G$1:$X$1=$C975,"")</f>
        <v>407.03393453400741</v>
      </c>
    </row>
    <row r="976" spans="1:4">
      <c r="A976" t="s">
        <v>182</v>
      </c>
      <c r="B976" t="s">
        <v>180</v>
      </c>
      <c r="C976" s="11">
        <v>2025</v>
      </c>
      <c r="D976">
        <f t="array" ref="D976">_xlfn._xlws.FILTER(_xlfn._xlws.FILTER(Demand!$G$2:$X$66,(Demand!$E$2:$E$66=$A976),""),Demand!$G$1:$X$1=$C976,"")</f>
        <v>417.20978289735763</v>
      </c>
    </row>
    <row r="977" spans="1:4">
      <c r="A977" t="s">
        <v>182</v>
      </c>
      <c r="B977" t="s">
        <v>180</v>
      </c>
      <c r="C977" s="11">
        <v>2030</v>
      </c>
      <c r="D977">
        <f t="array" ref="D977">_xlfn._xlws.FILTER(_xlfn._xlws.FILTER(Demand!$G$2:$X$66,(Demand!$E$2:$E$66=$A977),""),Demand!$G$1:$X$1=$C977,"")</f>
        <v>427.64002746979139</v>
      </c>
    </row>
    <row r="978" spans="1:4">
      <c r="A978" t="s">
        <v>182</v>
      </c>
      <c r="B978" t="s">
        <v>180</v>
      </c>
      <c r="C978" s="11">
        <v>2035</v>
      </c>
      <c r="D978">
        <f t="array" ref="D978">_xlfn._xlws.FILTER(_xlfn._xlws.FILTER(Demand!$G$2:$X$66,(Demand!$E$2:$E$66=$A978),""),Demand!$G$1:$X$1=$C978,"")</f>
        <v>438.33102815653621</v>
      </c>
    </row>
    <row r="979" spans="1:4">
      <c r="A979" t="s">
        <v>182</v>
      </c>
      <c r="B979" t="s">
        <v>180</v>
      </c>
      <c r="C979" s="11">
        <v>2040</v>
      </c>
      <c r="D979">
        <f t="array" ref="D979">_xlfn._xlws.FILTER(_xlfn._xlws.FILTER(Demand!$G$2:$X$66,(Demand!$E$2:$E$66=$A979),""),Demand!$G$1:$X$1=$C979,"")</f>
        <v>449.28930386044959</v>
      </c>
    </row>
    <row r="980" spans="1:4">
      <c r="A980" t="s">
        <v>182</v>
      </c>
      <c r="B980" t="s">
        <v>180</v>
      </c>
      <c r="C980" s="11">
        <v>2045</v>
      </c>
      <c r="D980">
        <f t="array" ref="D980">_xlfn._xlws.FILTER(_xlfn._xlws.FILTER(Demand!$G$2:$X$66,(Demand!$E$2:$E$66=$A980),""),Demand!$G$1:$X$1=$C980,"")</f>
        <v>460.5215364569608</v>
      </c>
    </row>
    <row r="981" spans="1:4">
      <c r="A981" t="s">
        <v>182</v>
      </c>
      <c r="B981" t="s">
        <v>180</v>
      </c>
      <c r="C981" s="11">
        <v>2050</v>
      </c>
      <c r="D981">
        <f t="array" ref="D981">_xlfn._xlws.FILTER(_xlfn._xlws.FILTER(Demand!$G$2:$X$66,(Demand!$E$2:$E$66=$A981),""),Demand!$G$1:$X$1=$C981,"")</f>
        <v>472.03457486838482</v>
      </c>
    </row>
    <row r="982" spans="1:4">
      <c r="A982" t="s">
        <v>182</v>
      </c>
      <c r="B982" t="s">
        <v>180</v>
      </c>
      <c r="C982" s="11">
        <v>2055</v>
      </c>
      <c r="D982">
        <f t="array" ref="D982">_xlfn._xlws.FILTER(_xlfn._xlws.FILTER(Demand!$G$2:$X$66,(Demand!$E$2:$E$66=$A982),""),Demand!$G$1:$X$1=$C982,"")</f>
        <v>483.83543924009427</v>
      </c>
    </row>
    <row r="983" spans="1:4">
      <c r="A983" t="s">
        <v>182</v>
      </c>
      <c r="B983" t="s">
        <v>180</v>
      </c>
      <c r="C983" s="11">
        <v>2060</v>
      </c>
      <c r="D983">
        <f t="array" ref="D983">_xlfn._xlws.FILTER(_xlfn._xlws.FILTER(Demand!$G$2:$X$66,(Demand!$E$2:$E$66=$A983),""),Demand!$G$1:$X$1=$C983,"")</f>
        <v>495.93132522109659</v>
      </c>
    </row>
    <row r="984" spans="1:4">
      <c r="A984" t="s">
        <v>182</v>
      </c>
      <c r="B984" t="s">
        <v>180</v>
      </c>
      <c r="C984" s="11">
        <v>2065</v>
      </c>
      <c r="D984">
        <f t="array" ref="D984">_xlfn._xlws.FILTER(_xlfn._xlws.FILTER(Demand!$G$2:$X$66,(Demand!$E$2:$E$66=$A984),""),Demand!$G$1:$X$1=$C984,"")</f>
        <v>508.32960835162402</v>
      </c>
    </row>
    <row r="985" spans="1:4">
      <c r="A985" t="s">
        <v>182</v>
      </c>
      <c r="B985" t="s">
        <v>180</v>
      </c>
      <c r="C985" s="11">
        <v>2070</v>
      </c>
      <c r="D985">
        <f t="array" ref="D985">_xlfn._xlws.FILTER(_xlfn._xlws.FILTER(Demand!$G$2:$X$66,(Demand!$E$2:$E$66=$A985),""),Demand!$G$1:$X$1=$C985,"")</f>
        <v>521.03784856041455</v>
      </c>
    </row>
    <row r="986" spans="1:4">
      <c r="A986" t="s">
        <v>182</v>
      </c>
      <c r="B986" t="s">
        <v>180</v>
      </c>
      <c r="C986" s="11">
        <v>2075</v>
      </c>
      <c r="D986">
        <f t="array" ref="D986">_xlfn._xlws.FILTER(_xlfn._xlws.FILTER(Demand!$G$2:$X$66,(Demand!$E$2:$E$66=$A986),""),Demand!$G$1:$X$1=$C986,"")</f>
        <v>534.06379477442488</v>
      </c>
    </row>
    <row r="987" spans="1:4">
      <c r="A987" t="s">
        <v>182</v>
      </c>
      <c r="B987" t="s">
        <v>180</v>
      </c>
      <c r="C987" s="11">
        <v>2080</v>
      </c>
      <c r="D987">
        <f t="array" ref="D987">_xlfn._xlws.FILTER(_xlfn._xlws.FILTER(Demand!$G$2:$X$66,(Demand!$E$2:$E$66=$A987),""),Demand!$G$1:$X$1=$C987,"")</f>
        <v>547.41538964378549</v>
      </c>
    </row>
    <row r="988" spans="1:4">
      <c r="A988" t="s">
        <v>182</v>
      </c>
      <c r="B988" t="s">
        <v>180</v>
      </c>
      <c r="C988" s="11">
        <v>2085</v>
      </c>
      <c r="D988">
        <f t="array" ref="D988">_xlfn._xlws.FILTER(_xlfn._xlws.FILTER(Demand!$G$2:$X$66,(Demand!$E$2:$E$66=$A988),""),Demand!$G$1:$X$1=$C988,"")</f>
        <v>561.10077438488008</v>
      </c>
    </row>
    <row r="989" spans="1:4">
      <c r="A989" t="s">
        <v>182</v>
      </c>
      <c r="B989" t="s">
        <v>180</v>
      </c>
      <c r="C989" s="11">
        <v>2090</v>
      </c>
      <c r="D989">
        <f t="array" ref="D989">_xlfn._xlws.FILTER(_xlfn._xlws.FILTER(Demand!$G$2:$X$66,(Demand!$E$2:$E$66=$A989),""),Demand!$G$1:$X$1=$C989,"")</f>
        <v>575.128293744502</v>
      </c>
    </row>
    <row r="990" spans="1:4">
      <c r="A990" t="s">
        <v>182</v>
      </c>
      <c r="B990" t="s">
        <v>180</v>
      </c>
      <c r="C990" s="11">
        <v>2095</v>
      </c>
      <c r="D990">
        <f t="array" ref="D990">_xlfn._xlws.FILTER(_xlfn._xlws.FILTER(Demand!$G$2:$X$66,(Demand!$E$2:$E$66=$A990),""),Demand!$G$1:$X$1=$C990,"")</f>
        <v>589.50650108811453</v>
      </c>
    </row>
    <row r="991" spans="1:4">
      <c r="A991" t="s">
        <v>182</v>
      </c>
      <c r="B991" t="s">
        <v>180</v>
      </c>
      <c r="C991" s="11">
        <v>2100</v>
      </c>
      <c r="D991">
        <f t="array" ref="D991">_xlfn._xlws.FILTER(_xlfn._xlws.FILTER(Demand!$G$2:$X$66,(Demand!$E$2:$E$66=$A991),""),Demand!$G$1:$X$1=$C991,"")</f>
        <v>604.24416361531735</v>
      </c>
    </row>
    <row r="992" spans="1:4">
      <c r="A992" t="s">
        <v>184</v>
      </c>
      <c r="B992" t="s">
        <v>180</v>
      </c>
      <c r="C992" s="11">
        <v>2019</v>
      </c>
      <c r="D992">
        <f t="array" ref="D992">_xlfn._xlws.FILTER(_xlfn._xlws.FILTER(Demand!$G$2:$X$66,(Demand!$E$2:$E$66=$A992),""),Demand!$G$1:$X$1=$C992,"")</f>
        <v>540.01185344478597</v>
      </c>
    </row>
    <row r="993" spans="1:4">
      <c r="A993" t="s">
        <v>184</v>
      </c>
      <c r="B993" t="s">
        <v>180</v>
      </c>
      <c r="C993" s="11">
        <v>2020</v>
      </c>
      <c r="D993">
        <f t="array" ref="D993">_xlfn._xlws.FILTER(_xlfn._xlws.FILTER(Demand!$G$2:$X$66,(Demand!$E$2:$E$66=$A993),""),Demand!$G$1:$X$1=$C993,"")</f>
        <v>542.71191271200985</v>
      </c>
    </row>
    <row r="994" spans="1:4">
      <c r="A994" t="s">
        <v>184</v>
      </c>
      <c r="B994" t="s">
        <v>180</v>
      </c>
      <c r="C994" s="11">
        <v>2025</v>
      </c>
      <c r="D994">
        <f t="array" ref="D994">_xlfn._xlws.FILTER(_xlfn._xlws.FILTER(Demand!$G$2:$X$66,(Demand!$E$2:$E$66=$A994),""),Demand!$G$1:$X$1=$C994,"")</f>
        <v>556.27971052981002</v>
      </c>
    </row>
    <row r="995" spans="1:4">
      <c r="A995" t="s">
        <v>184</v>
      </c>
      <c r="B995" t="s">
        <v>180</v>
      </c>
      <c r="C995" s="11">
        <v>2030</v>
      </c>
      <c r="D995">
        <f t="array" ref="D995">_xlfn._xlws.FILTER(_xlfn._xlws.FILTER(Demand!$G$2:$X$66,(Demand!$E$2:$E$66=$A995),""),Demand!$G$1:$X$1=$C995,"")</f>
        <v>570.18670329305519</v>
      </c>
    </row>
    <row r="996" spans="1:4">
      <c r="A996" t="s">
        <v>184</v>
      </c>
      <c r="B996" t="s">
        <v>180</v>
      </c>
      <c r="C996" s="11">
        <v>2035</v>
      </c>
      <c r="D996">
        <f t="array" ref="D996">_xlfn._xlws.FILTER(_xlfn._xlws.FILTER(Demand!$G$2:$X$66,(Demand!$E$2:$E$66=$A996),""),Demand!$G$1:$X$1=$C996,"")</f>
        <v>584.44137087538149</v>
      </c>
    </row>
    <row r="997" spans="1:4">
      <c r="A997" t="s">
        <v>184</v>
      </c>
      <c r="B997" t="s">
        <v>180</v>
      </c>
      <c r="C997" s="11">
        <v>2040</v>
      </c>
      <c r="D997">
        <f t="array" ref="D997">_xlfn._xlws.FILTER(_xlfn._xlws.FILTER(Demand!$G$2:$X$66,(Demand!$E$2:$E$66=$A997),""),Demand!$G$1:$X$1=$C997,"")</f>
        <v>599.05240514726597</v>
      </c>
    </row>
    <row r="998" spans="1:4">
      <c r="A998" t="s">
        <v>184</v>
      </c>
      <c r="B998" t="s">
        <v>180</v>
      </c>
      <c r="C998" s="11">
        <v>2045</v>
      </c>
      <c r="D998">
        <f t="array" ref="D998">_xlfn._xlws.FILTER(_xlfn._xlws.FILTER(Demand!$G$2:$X$66,(Demand!$E$2:$E$66=$A998),""),Demand!$G$1:$X$1=$C998,"")</f>
        <v>614.02871527594755</v>
      </c>
    </row>
    <row r="999" spans="1:4">
      <c r="A999" t="s">
        <v>184</v>
      </c>
      <c r="B999" t="s">
        <v>180</v>
      </c>
      <c r="C999" s="11">
        <v>2050</v>
      </c>
      <c r="D999">
        <f t="array" ref="D999">_xlfn._xlws.FILTER(_xlfn._xlws.FILTER(Demand!$G$2:$X$66,(Demand!$E$2:$E$66=$A999),""),Demand!$G$1:$X$1=$C999,"")</f>
        <v>629.37943315784617</v>
      </c>
    </row>
    <row r="1000" spans="1:4">
      <c r="A1000" t="s">
        <v>184</v>
      </c>
      <c r="B1000" t="s">
        <v>180</v>
      </c>
      <c r="C1000" s="11">
        <v>2055</v>
      </c>
      <c r="D1000">
        <f t="array" ref="D1000">_xlfn._xlws.FILTER(_xlfn._xlws.FILTER(Demand!$G$2:$X$66,(Demand!$E$2:$E$66=$A1000),""),Demand!$G$1:$X$1=$C1000,"")</f>
        <v>645.11391898679221</v>
      </c>
    </row>
    <row r="1001" spans="1:4">
      <c r="A1001" t="s">
        <v>184</v>
      </c>
      <c r="B1001" t="s">
        <v>180</v>
      </c>
      <c r="C1001" s="11">
        <v>2060</v>
      </c>
      <c r="D1001">
        <f t="array" ref="D1001">_xlfn._xlws.FILTER(_xlfn._xlws.FILTER(Demand!$G$2:$X$66,(Demand!$E$2:$E$66=$A1001),""),Demand!$G$1:$X$1=$C1001,"")</f>
        <v>661.24176696146196</v>
      </c>
    </row>
    <row r="1002" spans="1:4">
      <c r="A1002" t="s">
        <v>184</v>
      </c>
      <c r="B1002" t="s">
        <v>180</v>
      </c>
      <c r="C1002" s="11">
        <v>2065</v>
      </c>
      <c r="D1002">
        <f t="array" ref="D1002">_xlfn._xlws.FILTER(_xlfn._xlws.FILTER(Demand!$G$2:$X$66,(Demand!$E$2:$E$66=$A1002),""),Demand!$G$1:$X$1=$C1002,"")</f>
        <v>677.7728111354985</v>
      </c>
    </row>
    <row r="1003" spans="1:4">
      <c r="A1003" t="s">
        <v>184</v>
      </c>
      <c r="B1003" t="s">
        <v>180</v>
      </c>
      <c r="C1003" s="11">
        <v>2070</v>
      </c>
      <c r="D1003">
        <f t="array" ref="D1003">_xlfn._xlws.FILTER(_xlfn._xlws.FILTER(Demand!$G$2:$X$66,(Demand!$E$2:$E$66=$A1003),""),Demand!$G$1:$X$1=$C1003,"")</f>
        <v>694.71713141388591</v>
      </c>
    </row>
    <row r="1004" spans="1:4">
      <c r="A1004" t="s">
        <v>184</v>
      </c>
      <c r="B1004" t="s">
        <v>180</v>
      </c>
      <c r="C1004" s="11">
        <v>2075</v>
      </c>
      <c r="D1004">
        <f t="array" ref="D1004">_xlfn._xlws.FILTER(_xlfn._xlws.FILTER(Demand!$G$2:$X$66,(Demand!$E$2:$E$66=$A1004),""),Demand!$G$1:$X$1=$C1004,"")</f>
        <v>712.08505969923294</v>
      </c>
    </row>
    <row r="1005" spans="1:4">
      <c r="A1005" t="s">
        <v>184</v>
      </c>
      <c r="B1005" t="s">
        <v>180</v>
      </c>
      <c r="C1005" s="11">
        <v>2080</v>
      </c>
      <c r="D1005">
        <f t="array" ref="D1005">_xlfn._xlws.FILTER(_xlfn._xlws.FILTER(Demand!$G$2:$X$66,(Demand!$E$2:$E$66=$A1005),""),Demand!$G$1:$X$1=$C1005,"")</f>
        <v>729.88718619171368</v>
      </c>
    </row>
    <row r="1006" spans="1:4">
      <c r="A1006" t="s">
        <v>184</v>
      </c>
      <c r="B1006" t="s">
        <v>180</v>
      </c>
      <c r="C1006" s="11">
        <v>2085</v>
      </c>
      <c r="D1006">
        <f t="array" ref="D1006">_xlfn._xlws.FILTER(_xlfn._xlws.FILTER(Demand!$G$2:$X$66,(Demand!$E$2:$E$66=$A1006),""),Demand!$G$1:$X$1=$C1006,"")</f>
        <v>748.13436584650651</v>
      </c>
    </row>
    <row r="1007" spans="1:4">
      <c r="A1007" t="s">
        <v>184</v>
      </c>
      <c r="B1007" t="s">
        <v>180</v>
      </c>
      <c r="C1007" s="11">
        <v>2090</v>
      </c>
      <c r="D1007">
        <f t="array" ref="D1007">_xlfn._xlws.FILTER(_xlfn._xlws.FILTER(Demand!$G$2:$X$66,(Demand!$E$2:$E$66=$A1007),""),Demand!$G$1:$X$1=$C1007,"")</f>
        <v>766.83772499266911</v>
      </c>
    </row>
    <row r="1008" spans="1:4">
      <c r="A1008" t="s">
        <v>184</v>
      </c>
      <c r="B1008" t="s">
        <v>180</v>
      </c>
      <c r="C1008" s="11">
        <v>2095</v>
      </c>
      <c r="D1008">
        <f t="array" ref="D1008">_xlfn._xlws.FILTER(_xlfn._xlws.FILTER(Demand!$G$2:$X$66,(Demand!$E$2:$E$66=$A1008),""),Demand!$G$1:$X$1=$C1008,"")</f>
        <v>786.00866811748574</v>
      </c>
    </row>
    <row r="1009" spans="1:4">
      <c r="A1009" t="s">
        <v>184</v>
      </c>
      <c r="B1009" t="s">
        <v>180</v>
      </c>
      <c r="C1009" s="11">
        <v>2100</v>
      </c>
      <c r="D1009">
        <f t="array" ref="D1009">_xlfn._xlws.FILTER(_xlfn._xlws.FILTER(Demand!$G$2:$X$66,(Demand!$E$2:$E$66=$A1009),""),Demand!$G$1:$X$1=$C1009,"")</f>
        <v>805.65888482042283</v>
      </c>
    </row>
    <row r="1010" spans="1:4">
      <c r="A1010" t="s">
        <v>186</v>
      </c>
      <c r="B1010" t="s">
        <v>180</v>
      </c>
      <c r="C1010" s="11">
        <v>2019</v>
      </c>
      <c r="D1010">
        <f t="array" ref="D1010">_xlfn._xlws.FILTER(_xlfn._xlws.FILTER(Demand!$G$2:$X$66,(Demand!$E$2:$E$66=$A1010),""),Demand!$G$1:$X$1=$C1010,"")</f>
        <v>1350.029633611965</v>
      </c>
    </row>
    <row r="1011" spans="1:4">
      <c r="A1011" t="s">
        <v>186</v>
      </c>
      <c r="B1011" t="s">
        <v>180</v>
      </c>
      <c r="C1011" s="11">
        <v>2020</v>
      </c>
      <c r="D1011">
        <f t="array" ref="D1011">_xlfn._xlws.FILTER(_xlfn._xlws.FILTER(Demand!$G$2:$X$66,(Demand!$E$2:$E$66=$A1011),""),Demand!$G$1:$X$1=$C1011,"")</f>
        <v>1356.7797817800249</v>
      </c>
    </row>
    <row r="1012" spans="1:4">
      <c r="A1012" t="s">
        <v>186</v>
      </c>
      <c r="B1012" t="s">
        <v>180</v>
      </c>
      <c r="C1012" s="11">
        <v>2025</v>
      </c>
      <c r="D1012">
        <f t="array" ref="D1012">_xlfn._xlws.FILTER(_xlfn._xlws.FILTER(Demand!$G$2:$X$66,(Demand!$E$2:$E$66=$A1012),""),Demand!$G$1:$X$1=$C1012,"")</f>
        <v>1390.699276324525</v>
      </c>
    </row>
    <row r="1013" spans="1:4">
      <c r="A1013" t="s">
        <v>186</v>
      </c>
      <c r="B1013" t="s">
        <v>180</v>
      </c>
      <c r="C1013" s="11">
        <v>2030</v>
      </c>
      <c r="D1013">
        <f t="array" ref="D1013">_xlfn._xlws.FILTER(_xlfn._xlws.FILTER(Demand!$G$2:$X$66,(Demand!$E$2:$E$66=$A1013),""),Demand!$G$1:$X$1=$C1013,"")</f>
        <v>1425.4667582326381</v>
      </c>
    </row>
    <row r="1014" spans="1:4">
      <c r="A1014" t="s">
        <v>186</v>
      </c>
      <c r="B1014" t="s">
        <v>180</v>
      </c>
      <c r="C1014" s="11">
        <v>2035</v>
      </c>
      <c r="D1014">
        <f t="array" ref="D1014">_xlfn._xlws.FILTER(_xlfn._xlws.FILTER(Demand!$G$2:$X$66,(Demand!$E$2:$E$66=$A1014),""),Demand!$G$1:$X$1=$C1014,"")</f>
        <v>1461.1034271884539</v>
      </c>
    </row>
    <row r="1015" spans="1:4">
      <c r="A1015" t="s">
        <v>186</v>
      </c>
      <c r="B1015" t="s">
        <v>180</v>
      </c>
      <c r="C1015" s="11">
        <v>2040</v>
      </c>
      <c r="D1015">
        <f t="array" ref="D1015">_xlfn._xlws.FILTER(_xlfn._xlws.FILTER(Demand!$G$2:$X$66,(Demand!$E$2:$E$66=$A1015),""),Demand!$G$1:$X$1=$C1015,"")</f>
        <v>1497.631012868165</v>
      </c>
    </row>
    <row r="1016" spans="1:4">
      <c r="A1016" t="s">
        <v>186</v>
      </c>
      <c r="B1016" t="s">
        <v>180</v>
      </c>
      <c r="C1016" s="11">
        <v>2045</v>
      </c>
      <c r="D1016">
        <f t="array" ref="D1016">_xlfn._xlws.FILTER(_xlfn._xlws.FILTER(Demand!$G$2:$X$66,(Demand!$E$2:$E$66=$A1016),""),Demand!$G$1:$X$1=$C1016,"")</f>
        <v>1535.071788189869</v>
      </c>
    </row>
    <row r="1017" spans="1:4">
      <c r="A1017" t="s">
        <v>186</v>
      </c>
      <c r="B1017" t="s">
        <v>180</v>
      </c>
      <c r="C1017" s="11">
        <v>2050</v>
      </c>
      <c r="D1017">
        <f t="array" ref="D1017">_xlfn._xlws.FILTER(_xlfn._xlws.FILTER(Demand!$G$2:$X$66,(Demand!$E$2:$E$66=$A1017),""),Demand!$G$1:$X$1=$C1017,"")</f>
        <v>1573.448582894616</v>
      </c>
    </row>
    <row r="1018" spans="1:4">
      <c r="A1018" t="s">
        <v>186</v>
      </c>
      <c r="B1018" t="s">
        <v>180</v>
      </c>
      <c r="C1018" s="11">
        <v>2055</v>
      </c>
      <c r="D1018">
        <f t="array" ref="D1018">_xlfn._xlws.FILTER(_xlfn._xlws.FILTER(Demand!$G$2:$X$66,(Demand!$E$2:$E$66=$A1018),""),Demand!$G$1:$X$1=$C1018,"")</f>
        <v>1612.784797466981</v>
      </c>
    </row>
    <row r="1019" spans="1:4">
      <c r="A1019" t="s">
        <v>186</v>
      </c>
      <c r="B1019" t="s">
        <v>180</v>
      </c>
      <c r="C1019" s="11">
        <v>2060</v>
      </c>
      <c r="D1019">
        <f t="array" ref="D1019">_xlfn._xlws.FILTER(_xlfn._xlws.FILTER(Demand!$G$2:$X$66,(Demand!$E$2:$E$66=$A1019),""),Demand!$G$1:$X$1=$C1019,"")</f>
        <v>1653.1044174036549</v>
      </c>
    </row>
    <row r="1020" spans="1:4">
      <c r="A1020" t="s">
        <v>186</v>
      </c>
      <c r="B1020" t="s">
        <v>180</v>
      </c>
      <c r="C1020" s="11">
        <v>2065</v>
      </c>
      <c r="D1020">
        <f t="array" ref="D1020">_xlfn._xlws.FILTER(_xlfn._xlws.FILTER(Demand!$G$2:$X$66,(Demand!$E$2:$E$66=$A1020),""),Demand!$G$1:$X$1=$C1020,"")</f>
        <v>1694.432027838747</v>
      </c>
    </row>
    <row r="1021" spans="1:4">
      <c r="A1021" t="s">
        <v>186</v>
      </c>
      <c r="B1021" t="s">
        <v>180</v>
      </c>
      <c r="C1021" s="11">
        <v>2070</v>
      </c>
      <c r="D1021">
        <f t="array" ref="D1021">_xlfn._xlws.FILTER(_xlfn._xlws.FILTER(Demand!$G$2:$X$66,(Demand!$E$2:$E$66=$A1021),""),Demand!$G$1:$X$1=$C1021,"")</f>
        <v>1736.792828534715</v>
      </c>
    </row>
    <row r="1022" spans="1:4">
      <c r="A1022" t="s">
        <v>186</v>
      </c>
      <c r="B1022" t="s">
        <v>180</v>
      </c>
      <c r="C1022" s="11">
        <v>2075</v>
      </c>
      <c r="D1022">
        <f t="array" ref="D1022">_xlfn._xlws.FILTER(_xlfn._xlws.FILTER(Demand!$G$2:$X$66,(Demand!$E$2:$E$66=$A1022),""),Demand!$G$1:$X$1=$C1022,"")</f>
        <v>1780.2126492480829</v>
      </c>
    </row>
    <row r="1023" spans="1:4">
      <c r="A1023" t="s">
        <v>186</v>
      </c>
      <c r="B1023" t="s">
        <v>180</v>
      </c>
      <c r="C1023" s="11">
        <v>2080</v>
      </c>
      <c r="D1023">
        <f t="array" ref="D1023">_xlfn._xlws.FILTER(_xlfn._xlws.FILTER(Demand!$G$2:$X$66,(Demand!$E$2:$E$66=$A1023),""),Demand!$G$1:$X$1=$C1023,"")</f>
        <v>1824.7179654792851</v>
      </c>
    </row>
    <row r="1024" spans="1:4">
      <c r="A1024" t="s">
        <v>186</v>
      </c>
      <c r="B1024" t="s">
        <v>180</v>
      </c>
      <c r="C1024" s="11">
        <v>2085</v>
      </c>
      <c r="D1024">
        <f t="array" ref="D1024">_xlfn._xlws.FILTER(_xlfn._xlws.FILTER(Demand!$G$2:$X$66,(Demand!$E$2:$E$66=$A1024),""),Demand!$G$1:$X$1=$C1024,"")</f>
        <v>1870.335914616267</v>
      </c>
    </row>
    <row r="1025" spans="1:4">
      <c r="A1025" t="s">
        <v>186</v>
      </c>
      <c r="B1025" t="s">
        <v>180</v>
      </c>
      <c r="C1025" s="11">
        <v>2090</v>
      </c>
      <c r="D1025">
        <f t="array" ref="D1025">_xlfn._xlws.FILTER(_xlfn._xlws.FILTER(Demand!$G$2:$X$66,(Demand!$E$2:$E$66=$A1025),""),Demand!$G$1:$X$1=$C1025,"")</f>
        <v>1917.0943124816729</v>
      </c>
    </row>
    <row r="1026" spans="1:4">
      <c r="A1026" t="s">
        <v>186</v>
      </c>
      <c r="B1026" t="s">
        <v>180</v>
      </c>
      <c r="C1026" s="11">
        <v>2095</v>
      </c>
      <c r="D1026">
        <f t="array" ref="D1026">_xlfn._xlws.FILTER(_xlfn._xlws.FILTER(Demand!$G$2:$X$66,(Demand!$E$2:$E$66=$A1026),""),Demand!$G$1:$X$1=$C1026,"")</f>
        <v>1965.021670293715</v>
      </c>
    </row>
    <row r="1027" spans="1:4">
      <c r="A1027" t="s">
        <v>186</v>
      </c>
      <c r="B1027" t="s">
        <v>180</v>
      </c>
      <c r="C1027" s="11">
        <v>2100</v>
      </c>
      <c r="D1027">
        <f t="array" ref="D1027">_xlfn._xlws.FILTER(_xlfn._xlws.FILTER(Demand!$G$2:$X$66,(Demand!$E$2:$E$66=$A1027),""),Demand!$G$1:$X$1=$C1027,"")</f>
        <v>2014.147212051058</v>
      </c>
    </row>
    <row r="1028" spans="1:4">
      <c r="A1028" t="s">
        <v>188</v>
      </c>
      <c r="B1028" t="s">
        <v>180</v>
      </c>
      <c r="C1028" s="11">
        <v>2019</v>
      </c>
      <c r="D1028">
        <f t="array" ref="D1028">_xlfn._xlws.FILTER(_xlfn._xlws.FILTER(Demand!$G$2:$X$66,(Demand!$E$2:$E$66=$A1028),""),Demand!$G$1:$X$1=$C1028,"")</f>
        <v>1485.0325969731609</v>
      </c>
    </row>
    <row r="1029" spans="1:4">
      <c r="A1029" t="s">
        <v>188</v>
      </c>
      <c r="B1029" t="s">
        <v>180</v>
      </c>
      <c r="C1029" s="11">
        <v>2020</v>
      </c>
      <c r="D1029">
        <f t="array" ref="D1029">_xlfn._xlws.FILTER(_xlfn._xlws.FILTER(Demand!$G$2:$X$66,(Demand!$E$2:$E$66=$A1029),""),Demand!$G$1:$X$1=$C1029,"")</f>
        <v>1492.4577599580271</v>
      </c>
    </row>
    <row r="1030" spans="1:4">
      <c r="A1030" t="s">
        <v>188</v>
      </c>
      <c r="B1030" t="s">
        <v>180</v>
      </c>
      <c r="C1030" s="11">
        <v>2025</v>
      </c>
      <c r="D1030">
        <f t="array" ref="D1030">_xlfn._xlws.FILTER(_xlfn._xlws.FILTER(Demand!$G$2:$X$66,(Demand!$E$2:$E$66=$A1030),""),Demand!$G$1:$X$1=$C1030,"")</f>
        <v>1529.769203956977</v>
      </c>
    </row>
    <row r="1031" spans="1:4">
      <c r="A1031" t="s">
        <v>188</v>
      </c>
      <c r="B1031" t="s">
        <v>180</v>
      </c>
      <c r="C1031" s="11">
        <v>2030</v>
      </c>
      <c r="D1031">
        <f t="array" ref="D1031">_xlfn._xlws.FILTER(_xlfn._xlws.FILTER(Demand!$G$2:$X$66,(Demand!$E$2:$E$66=$A1031),""),Demand!$G$1:$X$1=$C1031,"")</f>
        <v>1568.0134340559021</v>
      </c>
    </row>
    <row r="1032" spans="1:4">
      <c r="A1032" t="s">
        <v>188</v>
      </c>
      <c r="B1032" t="s">
        <v>180</v>
      </c>
      <c r="C1032" s="11">
        <v>2035</v>
      </c>
      <c r="D1032">
        <f t="array" ref="D1032">_xlfn._xlws.FILTER(_xlfn._xlws.FILTER(Demand!$G$2:$X$66,(Demand!$E$2:$E$66=$A1032),""),Demand!$G$1:$X$1=$C1032,"")</f>
        <v>1607.2137699072989</v>
      </c>
    </row>
    <row r="1033" spans="1:4">
      <c r="A1033" t="s">
        <v>188</v>
      </c>
      <c r="B1033" t="s">
        <v>180</v>
      </c>
      <c r="C1033" s="11">
        <v>2040</v>
      </c>
      <c r="D1033">
        <f t="array" ref="D1033">_xlfn._xlws.FILTER(_xlfn._xlws.FILTER(Demand!$G$2:$X$66,(Demand!$E$2:$E$66=$A1033),""),Demand!$G$1:$X$1=$C1033,"")</f>
        <v>1647.394114154981</v>
      </c>
    </row>
    <row r="1034" spans="1:4">
      <c r="A1034" t="s">
        <v>188</v>
      </c>
      <c r="B1034" t="s">
        <v>180</v>
      </c>
      <c r="C1034" s="11">
        <v>2045</v>
      </c>
      <c r="D1034">
        <f t="array" ref="D1034">_xlfn._xlws.FILTER(_xlfn._xlws.FILTER(Demand!$G$2:$X$66,(Demand!$E$2:$E$66=$A1034),""),Demand!$G$1:$X$1=$C1034,"")</f>
        <v>1688.5789670088559</v>
      </c>
    </row>
    <row r="1035" spans="1:4">
      <c r="A1035" t="s">
        <v>188</v>
      </c>
      <c r="B1035" t="s">
        <v>180</v>
      </c>
      <c r="C1035" s="11">
        <v>2050</v>
      </c>
      <c r="D1035">
        <f t="array" ref="D1035">_xlfn._xlws.FILTER(_xlfn._xlws.FILTER(Demand!$G$2:$X$66,(Demand!$E$2:$E$66=$A1035),""),Demand!$G$1:$X$1=$C1035,"")</f>
        <v>1730.793441184077</v>
      </c>
    </row>
    <row r="1036" spans="1:4">
      <c r="A1036" t="s">
        <v>188</v>
      </c>
      <c r="B1036" t="s">
        <v>180</v>
      </c>
      <c r="C1036" s="11">
        <v>2055</v>
      </c>
      <c r="D1036">
        <f t="array" ref="D1036">_xlfn._xlws.FILTER(_xlfn._xlws.FILTER(Demand!$G$2:$X$66,(Demand!$E$2:$E$66=$A1036),""),Demand!$G$1:$X$1=$C1036,"")</f>
        <v>1774.0632772136789</v>
      </c>
    </row>
    <row r="1037" spans="1:4">
      <c r="A1037" t="s">
        <v>188</v>
      </c>
      <c r="B1037" t="s">
        <v>180</v>
      </c>
      <c r="C1037" s="11">
        <v>2060</v>
      </c>
      <c r="D1037">
        <f t="array" ref="D1037">_xlfn._xlws.FILTER(_xlfn._xlws.FILTER(Demand!$G$2:$X$66,(Demand!$E$2:$E$66=$A1037),""),Demand!$G$1:$X$1=$C1037,"")</f>
        <v>1818.414859144021</v>
      </c>
    </row>
    <row r="1038" spans="1:4">
      <c r="A1038" t="s">
        <v>188</v>
      </c>
      <c r="B1038" t="s">
        <v>180</v>
      </c>
      <c r="C1038" s="11">
        <v>2065</v>
      </c>
      <c r="D1038">
        <f t="array" ref="D1038">_xlfn._xlws.FILTER(_xlfn._xlws.FILTER(Demand!$G$2:$X$66,(Demand!$E$2:$E$66=$A1038),""),Demand!$G$1:$X$1=$C1038,"")</f>
        <v>1863.8752306226211</v>
      </c>
    </row>
    <row r="1039" spans="1:4">
      <c r="A1039" t="s">
        <v>188</v>
      </c>
      <c r="B1039" t="s">
        <v>180</v>
      </c>
      <c r="C1039" s="11">
        <v>2070</v>
      </c>
      <c r="D1039">
        <f t="array" ref="D1039">_xlfn._xlws.FILTER(_xlfn._xlws.FILTER(Demand!$G$2:$X$66,(Demand!$E$2:$E$66=$A1039),""),Demand!$G$1:$X$1=$C1039,"")</f>
        <v>1910.472111388186</v>
      </c>
    </row>
    <row r="1040" spans="1:4">
      <c r="A1040" t="s">
        <v>188</v>
      </c>
      <c r="B1040" t="s">
        <v>180</v>
      </c>
      <c r="C1040" s="11">
        <v>2075</v>
      </c>
      <c r="D1040">
        <f t="array" ref="D1040">_xlfn._xlws.FILTER(_xlfn._xlws.FILTER(Demand!$G$2:$X$66,(Demand!$E$2:$E$66=$A1040),""),Demand!$G$1:$X$1=$C1040,"")</f>
        <v>1958.233914172891</v>
      </c>
    </row>
    <row r="1041" spans="1:4">
      <c r="A1041" t="s">
        <v>188</v>
      </c>
      <c r="B1041" t="s">
        <v>180</v>
      </c>
      <c r="C1041" s="11">
        <v>2080</v>
      </c>
      <c r="D1041">
        <f t="array" ref="D1041">_xlfn._xlws.FILTER(_xlfn._xlws.FILTER(Demand!$G$2:$X$66,(Demand!$E$2:$E$66=$A1041),""),Demand!$G$1:$X$1=$C1041,"")</f>
        <v>2007.189762027213</v>
      </c>
    </row>
    <row r="1042" spans="1:4">
      <c r="A1042" t="s">
        <v>188</v>
      </c>
      <c r="B1042" t="s">
        <v>180</v>
      </c>
      <c r="C1042" s="11">
        <v>2085</v>
      </c>
      <c r="D1042">
        <f t="array" ref="D1042">_xlfn._xlws.FILTER(_xlfn._xlws.FILTER(Demand!$G$2:$X$66,(Demand!$E$2:$E$66=$A1042),""),Demand!$G$1:$X$1=$C1042,"")</f>
        <v>2057.3695060778932</v>
      </c>
    </row>
    <row r="1043" spans="1:4">
      <c r="A1043" t="s">
        <v>188</v>
      </c>
      <c r="B1043" t="s">
        <v>180</v>
      </c>
      <c r="C1043" s="11">
        <v>2090</v>
      </c>
      <c r="D1043">
        <f t="array" ref="D1043">_xlfn._xlws.FILTER(_xlfn._xlws.FILTER(Demand!$G$2:$X$66,(Demand!$E$2:$E$66=$A1043),""),Demand!$G$1:$X$1=$C1043,"")</f>
        <v>2108.8037437298399</v>
      </c>
    </row>
    <row r="1044" spans="1:4">
      <c r="A1044" t="s">
        <v>188</v>
      </c>
      <c r="B1044" t="s">
        <v>180</v>
      </c>
      <c r="C1044" s="11">
        <v>2095</v>
      </c>
      <c r="D1044">
        <f t="array" ref="D1044">_xlfn._xlws.FILTER(_xlfn._xlws.FILTER(Demand!$G$2:$X$66,(Demand!$E$2:$E$66=$A1044),""),Demand!$G$1:$X$1=$C1044,"")</f>
        <v>2161.5238373230859</v>
      </c>
    </row>
    <row r="1045" spans="1:4">
      <c r="A1045" t="s">
        <v>188</v>
      </c>
      <c r="B1045" t="s">
        <v>180</v>
      </c>
      <c r="C1045" s="11">
        <v>2100</v>
      </c>
      <c r="D1045">
        <f t="array" ref="D1045">_xlfn._xlws.FILTER(_xlfn._xlws.FILTER(Demand!$G$2:$X$66,(Demand!$E$2:$E$66=$A1045),""),Demand!$G$1:$X$1=$C1045,"")</f>
        <v>2215.5619332561628</v>
      </c>
    </row>
    <row r="1046" spans="1:4">
      <c r="A1046" t="s">
        <v>190</v>
      </c>
      <c r="B1046" t="s">
        <v>180</v>
      </c>
      <c r="C1046" s="11">
        <v>2019</v>
      </c>
      <c r="D1046">
        <f t="array" ref="D1046">_xlfn._xlws.FILTER(_xlfn._xlws.FILTER(Demand!$G$2:$X$66,(Demand!$E$2:$E$66=$A1046),""),Demand!$G$1:$X$1=$C1046,"")</f>
        <v>1080.0237068895719</v>
      </c>
    </row>
    <row r="1047" spans="1:4">
      <c r="A1047" t="s">
        <v>190</v>
      </c>
      <c r="B1047" t="s">
        <v>180</v>
      </c>
      <c r="C1047" s="11">
        <v>2020</v>
      </c>
      <c r="D1047">
        <f t="array" ref="D1047">_xlfn._xlws.FILTER(_xlfn._xlws.FILTER(Demand!$G$2:$X$66,(Demand!$E$2:$E$66=$A1047),""),Demand!$G$1:$X$1=$C1047,"")</f>
        <v>1085.4238254240199</v>
      </c>
    </row>
    <row r="1048" spans="1:4">
      <c r="A1048" t="s">
        <v>190</v>
      </c>
      <c r="B1048" t="s">
        <v>180</v>
      </c>
      <c r="C1048" s="11">
        <v>2025</v>
      </c>
      <c r="D1048">
        <f t="array" ref="D1048">_xlfn._xlws.FILTER(_xlfn._xlws.FILTER(Demand!$G$2:$X$66,(Demand!$E$2:$E$66=$A1048),""),Demand!$G$1:$X$1=$C1048,"")</f>
        <v>1112.55942105962</v>
      </c>
    </row>
    <row r="1049" spans="1:4">
      <c r="A1049" t="s">
        <v>190</v>
      </c>
      <c r="B1049" t="s">
        <v>180</v>
      </c>
      <c r="C1049" s="11">
        <v>2030</v>
      </c>
      <c r="D1049">
        <f t="array" ref="D1049">_xlfn._xlws.FILTER(_xlfn._xlws.FILTER(Demand!$G$2:$X$66,(Demand!$E$2:$E$66=$A1049),""),Demand!$G$1:$X$1=$C1049,"")</f>
        <v>1140.3734065861099</v>
      </c>
    </row>
    <row r="1050" spans="1:4">
      <c r="A1050" t="s">
        <v>190</v>
      </c>
      <c r="B1050" t="s">
        <v>180</v>
      </c>
      <c r="C1050" s="11">
        <v>2035</v>
      </c>
      <c r="D1050">
        <f t="array" ref="D1050">_xlfn._xlws.FILTER(_xlfn._xlws.FILTER(Demand!$G$2:$X$66,(Demand!$E$2:$E$66=$A1050),""),Demand!$G$1:$X$1=$C1050,"")</f>
        <v>1168.882741750763</v>
      </c>
    </row>
    <row r="1051" spans="1:4">
      <c r="A1051" t="s">
        <v>190</v>
      </c>
      <c r="B1051" t="s">
        <v>180</v>
      </c>
      <c r="C1051" s="11">
        <v>2040</v>
      </c>
      <c r="D1051">
        <f t="array" ref="D1051">_xlfn._xlws.FILTER(_xlfn._xlws.FILTER(Demand!$G$2:$X$66,(Demand!$E$2:$E$66=$A1051),""),Demand!$G$1:$X$1=$C1051,"")</f>
        <v>1198.1048102945319</v>
      </c>
    </row>
    <row r="1052" spans="1:4">
      <c r="A1052" t="s">
        <v>190</v>
      </c>
      <c r="B1052" t="s">
        <v>180</v>
      </c>
      <c r="C1052" s="11">
        <v>2045</v>
      </c>
      <c r="D1052">
        <f t="array" ref="D1052">_xlfn._xlws.FILTER(_xlfn._xlws.FILTER(Demand!$G$2:$X$66,(Demand!$E$2:$E$66=$A1052),""),Demand!$G$1:$X$1=$C1052,"")</f>
        <v>1228.0574305518951</v>
      </c>
    </row>
    <row r="1053" spans="1:4">
      <c r="A1053" t="s">
        <v>190</v>
      </c>
      <c r="B1053" t="s">
        <v>180</v>
      </c>
      <c r="C1053" s="11">
        <v>2050</v>
      </c>
      <c r="D1053">
        <f t="array" ref="D1053">_xlfn._xlws.FILTER(_xlfn._xlws.FILTER(Demand!$G$2:$X$66,(Demand!$E$2:$E$66=$A1053),""),Demand!$G$1:$X$1=$C1053,"")</f>
        <v>1258.7588663156921</v>
      </c>
    </row>
    <row r="1054" spans="1:4">
      <c r="A1054" t="s">
        <v>190</v>
      </c>
      <c r="B1054" t="s">
        <v>180</v>
      </c>
      <c r="C1054" s="11">
        <v>2055</v>
      </c>
      <c r="D1054">
        <f t="array" ref="D1054">_xlfn._xlws.FILTER(_xlfn._xlws.FILTER(Demand!$G$2:$X$66,(Demand!$E$2:$E$66=$A1054),""),Demand!$G$1:$X$1=$C1054,"")</f>
        <v>1290.227837973584</v>
      </c>
    </row>
    <row r="1055" spans="1:4">
      <c r="A1055" t="s">
        <v>190</v>
      </c>
      <c r="B1055" t="s">
        <v>180</v>
      </c>
      <c r="C1055" s="11">
        <v>2060</v>
      </c>
      <c r="D1055">
        <f t="array" ref="D1055">_xlfn._xlws.FILTER(_xlfn._xlws.FILTER(Demand!$G$2:$X$66,(Demand!$E$2:$E$66=$A1055),""),Demand!$G$1:$X$1=$C1055,"")</f>
        <v>1322.4835339229239</v>
      </c>
    </row>
    <row r="1056" spans="1:4">
      <c r="A1056" t="s">
        <v>190</v>
      </c>
      <c r="B1056" t="s">
        <v>180</v>
      </c>
      <c r="C1056" s="11">
        <v>2065</v>
      </c>
      <c r="D1056">
        <f t="array" ref="D1056">_xlfn._xlws.FILTER(_xlfn._xlws.FILTER(Demand!$G$2:$X$66,(Demand!$E$2:$E$66=$A1056),""),Demand!$G$1:$X$1=$C1056,"")</f>
        <v>1355.545622270997</v>
      </c>
    </row>
    <row r="1057" spans="1:4">
      <c r="A1057" t="s">
        <v>190</v>
      </c>
      <c r="B1057" t="s">
        <v>180</v>
      </c>
      <c r="C1057" s="11">
        <v>2070</v>
      </c>
      <c r="D1057">
        <f t="array" ref="D1057">_xlfn._xlws.FILTER(_xlfn._xlws.FILTER(Demand!$G$2:$X$66,(Demand!$E$2:$E$66=$A1057),""),Demand!$G$1:$X$1=$C1057,"")</f>
        <v>1389.434262827772</v>
      </c>
    </row>
    <row r="1058" spans="1:4">
      <c r="A1058" t="s">
        <v>190</v>
      </c>
      <c r="B1058" t="s">
        <v>180</v>
      </c>
      <c r="C1058" s="11">
        <v>2075</v>
      </c>
      <c r="D1058">
        <f t="array" ref="D1058">_xlfn._xlws.FILTER(_xlfn._xlws.FILTER(Demand!$G$2:$X$66,(Demand!$E$2:$E$66=$A1058),""),Demand!$G$1:$X$1=$C1058,"")</f>
        <v>1424.1701193984661</v>
      </c>
    </row>
    <row r="1059" spans="1:4">
      <c r="A1059" t="s">
        <v>190</v>
      </c>
      <c r="B1059" t="s">
        <v>180</v>
      </c>
      <c r="C1059" s="11">
        <v>2080</v>
      </c>
      <c r="D1059">
        <f t="array" ref="D1059">_xlfn._xlws.FILTER(_xlfn._xlws.FILTER(Demand!$G$2:$X$66,(Demand!$E$2:$E$66=$A1059),""),Demand!$G$1:$X$1=$C1059,"")</f>
        <v>1459.7743723834269</v>
      </c>
    </row>
    <row r="1060" spans="1:4">
      <c r="A1060" t="s">
        <v>190</v>
      </c>
      <c r="B1060" t="s">
        <v>180</v>
      </c>
      <c r="C1060" s="11">
        <v>2085</v>
      </c>
      <c r="D1060">
        <f t="array" ref="D1060">_xlfn._xlws.FILTER(_xlfn._xlws.FILTER(Demand!$G$2:$X$66,(Demand!$E$2:$E$66=$A1060),""),Demand!$G$1:$X$1=$C1060,"")</f>
        <v>1496.268731693013</v>
      </c>
    </row>
    <row r="1061" spans="1:4">
      <c r="A1061" t="s">
        <v>190</v>
      </c>
      <c r="B1061" t="s">
        <v>180</v>
      </c>
      <c r="C1061" s="11">
        <v>2090</v>
      </c>
      <c r="D1061">
        <f t="array" ref="D1061">_xlfn._xlws.FILTER(_xlfn._xlws.FILTER(Demand!$G$2:$X$66,(Demand!$E$2:$E$66=$A1061),""),Demand!$G$1:$X$1=$C1061,"")</f>
        <v>1533.675449985338</v>
      </c>
    </row>
    <row r="1062" spans="1:4">
      <c r="A1062" t="s">
        <v>190</v>
      </c>
      <c r="B1062" t="s">
        <v>180</v>
      </c>
      <c r="C1062" s="11">
        <v>2095</v>
      </c>
      <c r="D1062">
        <f t="array" ref="D1062">_xlfn._xlws.FILTER(_xlfn._xlws.FILTER(Demand!$G$2:$X$66,(Demand!$E$2:$E$66=$A1062),""),Demand!$G$1:$X$1=$C1062,"")</f>
        <v>1572.017336234971</v>
      </c>
    </row>
    <row r="1063" spans="1:4">
      <c r="A1063" t="s">
        <v>190</v>
      </c>
      <c r="B1063" t="s">
        <v>180</v>
      </c>
      <c r="C1063" s="11">
        <v>2100</v>
      </c>
      <c r="D1063">
        <f t="array" ref="D1063">_xlfn._xlws.FILTER(_xlfn._xlws.FILTER(Demand!$G$2:$X$66,(Demand!$E$2:$E$66=$A1063),""),Demand!$G$1:$X$1=$C1063,"")</f>
        <v>1611.3177696408461</v>
      </c>
    </row>
    <row r="1064" spans="1:4">
      <c r="A1064" t="s">
        <v>192</v>
      </c>
      <c r="B1064" t="s">
        <v>180</v>
      </c>
      <c r="C1064" s="11">
        <v>2019</v>
      </c>
      <c r="D1064">
        <f t="array" ref="D1064">_xlfn._xlws.FILTER(_xlfn._xlws.FILTER(Demand!$G$2:$X$66,(Demand!$E$2:$E$66=$A1064),""),Demand!$G$1:$X$1=$C1064,"")</f>
        <v>5265.1155710866633</v>
      </c>
    </row>
    <row r="1065" spans="1:4">
      <c r="A1065" t="s">
        <v>192</v>
      </c>
      <c r="B1065" t="s">
        <v>180</v>
      </c>
      <c r="C1065" s="11">
        <v>2020</v>
      </c>
      <c r="D1065">
        <f t="array" ref="D1065">_xlfn._xlws.FILTER(_xlfn._xlws.FILTER(Demand!$G$2:$X$66,(Demand!$E$2:$E$66=$A1065),""),Demand!$G$1:$X$1=$C1065,"")</f>
        <v>5291.4411489420963</v>
      </c>
    </row>
    <row r="1066" spans="1:4">
      <c r="A1066" t="s">
        <v>192</v>
      </c>
      <c r="B1066" t="s">
        <v>180</v>
      </c>
      <c r="C1066" s="11">
        <v>2025</v>
      </c>
      <c r="D1066">
        <f t="array" ref="D1066">_xlfn._xlws.FILTER(_xlfn._xlws.FILTER(Demand!$G$2:$X$66,(Demand!$E$2:$E$66=$A1066),""),Demand!$G$1:$X$1=$C1066,"")</f>
        <v>5423.727177665648</v>
      </c>
    </row>
    <row r="1067" spans="1:4">
      <c r="A1067" t="s">
        <v>192</v>
      </c>
      <c r="B1067" t="s">
        <v>180</v>
      </c>
      <c r="C1067" s="11">
        <v>2030</v>
      </c>
      <c r="D1067">
        <f t="array" ref="D1067">_xlfn._xlws.FILTER(_xlfn._xlws.FILTER(Demand!$G$2:$X$66,(Demand!$E$2:$E$66=$A1067),""),Demand!$G$1:$X$1=$C1067,"")</f>
        <v>5559.3203571072891</v>
      </c>
    </row>
    <row r="1068" spans="1:4">
      <c r="A1068" t="s">
        <v>192</v>
      </c>
      <c r="B1068" t="s">
        <v>180</v>
      </c>
      <c r="C1068" s="11">
        <v>2035</v>
      </c>
      <c r="D1068">
        <f t="array" ref="D1068">_xlfn._xlws.FILTER(_xlfn._xlws.FILTER(Demand!$G$2:$X$66,(Demand!$E$2:$E$66=$A1068),""),Demand!$G$1:$X$1=$C1068,"")</f>
        <v>5698.3033660349711</v>
      </c>
    </row>
    <row r="1069" spans="1:4">
      <c r="A1069" t="s">
        <v>192</v>
      </c>
      <c r="B1069" t="s">
        <v>180</v>
      </c>
      <c r="C1069" s="11">
        <v>2040</v>
      </c>
      <c r="D1069">
        <f t="array" ref="D1069">_xlfn._xlws.FILTER(_xlfn._xlws.FILTER(Demand!$G$2:$X$66,(Demand!$E$2:$E$66=$A1069),""),Demand!$G$1:$X$1=$C1069,"")</f>
        <v>5840.7609501858451</v>
      </c>
    </row>
    <row r="1070" spans="1:4">
      <c r="A1070" t="s">
        <v>192</v>
      </c>
      <c r="B1070" t="s">
        <v>180</v>
      </c>
      <c r="C1070" s="11">
        <v>2045</v>
      </c>
      <c r="D1070">
        <f t="array" ref="D1070">_xlfn._xlws.FILTER(_xlfn._xlws.FILTER(Demand!$G$2:$X$66,(Demand!$E$2:$E$66=$A1070),""),Demand!$G$1:$X$1=$C1070,"")</f>
        <v>5986.7799739404909</v>
      </c>
    </row>
    <row r="1071" spans="1:4">
      <c r="A1071" t="s">
        <v>192</v>
      </c>
      <c r="B1071" t="s">
        <v>180</v>
      </c>
      <c r="C1071" s="11">
        <v>2050</v>
      </c>
      <c r="D1071">
        <f t="array" ref="D1071">_xlfn._xlws.FILTER(_xlfn._xlws.FILTER(Demand!$G$2:$X$66,(Demand!$E$2:$E$66=$A1071),""),Demand!$G$1:$X$1=$C1071,"")</f>
        <v>6136.4494732890034</v>
      </c>
    </row>
    <row r="1072" spans="1:4">
      <c r="A1072" t="s">
        <v>192</v>
      </c>
      <c r="B1072" t="s">
        <v>180</v>
      </c>
      <c r="C1072" s="11">
        <v>2055</v>
      </c>
      <c r="D1072">
        <f t="array" ref="D1072">_xlfn._xlws.FILTER(_xlfn._xlws.FILTER(Demand!$G$2:$X$66,(Demand!$E$2:$E$66=$A1072),""),Demand!$G$1:$X$1=$C1072,"")</f>
        <v>6289.8607101212274</v>
      </c>
    </row>
    <row r="1073" spans="1:4">
      <c r="A1073" t="s">
        <v>192</v>
      </c>
      <c r="B1073" t="s">
        <v>180</v>
      </c>
      <c r="C1073" s="11">
        <v>2060</v>
      </c>
      <c r="D1073">
        <f t="array" ref="D1073">_xlfn._xlws.FILTER(_xlfn._xlws.FILTER(Demand!$G$2:$X$66,(Demand!$E$2:$E$66=$A1073),""),Demand!$G$1:$X$1=$C1073,"")</f>
        <v>6447.1072278742577</v>
      </c>
    </row>
    <row r="1074" spans="1:4">
      <c r="A1074" t="s">
        <v>192</v>
      </c>
      <c r="B1074" t="s">
        <v>180</v>
      </c>
      <c r="C1074" s="11">
        <v>2065</v>
      </c>
      <c r="D1074">
        <f t="array" ref="D1074">_xlfn._xlws.FILTER(_xlfn._xlws.FILTER(Demand!$G$2:$X$66,(Demand!$E$2:$E$66=$A1074),""),Demand!$G$1:$X$1=$C1074,"")</f>
        <v>6608.2849085711132</v>
      </c>
    </row>
    <row r="1075" spans="1:4">
      <c r="A1075" t="s">
        <v>192</v>
      </c>
      <c r="B1075" t="s">
        <v>180</v>
      </c>
      <c r="C1075" s="11">
        <v>2070</v>
      </c>
      <c r="D1075">
        <f t="array" ref="D1075">_xlfn._xlws.FILTER(_xlfn._xlws.FILTER(Demand!$G$2:$X$66,(Demand!$E$2:$E$66=$A1075),""),Demand!$G$1:$X$1=$C1075,"")</f>
        <v>6773.4920312853901</v>
      </c>
    </row>
    <row r="1076" spans="1:4">
      <c r="A1076" t="s">
        <v>192</v>
      </c>
      <c r="B1076" t="s">
        <v>180</v>
      </c>
      <c r="C1076" s="11">
        <v>2075</v>
      </c>
      <c r="D1076">
        <f t="array" ref="D1076">_xlfn._xlws.FILTER(_xlfn._xlws.FILTER(Demand!$G$2:$X$66,(Demand!$E$2:$E$66=$A1076),""),Demand!$G$1:$X$1=$C1076,"")</f>
        <v>6942.8293320675239</v>
      </c>
    </row>
    <row r="1077" spans="1:4">
      <c r="A1077" t="s">
        <v>192</v>
      </c>
      <c r="B1077" t="s">
        <v>180</v>
      </c>
      <c r="C1077" s="11">
        <v>2080</v>
      </c>
      <c r="D1077">
        <f t="array" ref="D1077">_xlfn._xlws.FILTER(_xlfn._xlws.FILTER(Demand!$G$2:$X$66,(Demand!$E$2:$E$66=$A1077),""),Demand!$G$1:$X$1=$C1077,"")</f>
        <v>7116.400065369211</v>
      </c>
    </row>
    <row r="1078" spans="1:4">
      <c r="A1078" t="s">
        <v>192</v>
      </c>
      <c r="B1078" t="s">
        <v>180</v>
      </c>
      <c r="C1078" s="11">
        <v>2085</v>
      </c>
      <c r="D1078">
        <f t="array" ref="D1078">_xlfn._xlws.FILTER(_xlfn._xlws.FILTER(Demand!$G$2:$X$66,(Demand!$E$2:$E$66=$A1078),""),Demand!$G$1:$X$1=$C1078,"")</f>
        <v>7294.310067003441</v>
      </c>
    </row>
    <row r="1079" spans="1:4">
      <c r="A1079" t="s">
        <v>192</v>
      </c>
      <c r="B1079" t="s">
        <v>180</v>
      </c>
      <c r="C1079" s="11">
        <v>2090</v>
      </c>
      <c r="D1079">
        <f t="array" ref="D1079">_xlfn._xlws.FILTER(_xlfn._xlws.FILTER(Demand!$G$2:$X$66,(Demand!$E$2:$E$66=$A1079),""),Demand!$G$1:$X$1=$C1079,"")</f>
        <v>7476.6678186785266</v>
      </c>
    </row>
    <row r="1080" spans="1:4">
      <c r="A1080" t="s">
        <v>192</v>
      </c>
      <c r="B1080" t="s">
        <v>180</v>
      </c>
      <c r="C1080" s="11">
        <v>2095</v>
      </c>
      <c r="D1080">
        <f t="array" ref="D1080">_xlfn._xlws.FILTER(_xlfn._xlws.FILTER(Demand!$G$2:$X$66,(Demand!$E$2:$E$66=$A1080),""),Demand!$G$1:$X$1=$C1080,"")</f>
        <v>7663.5845141454893</v>
      </c>
    </row>
    <row r="1081" spans="1:4">
      <c r="A1081" t="s">
        <v>192</v>
      </c>
      <c r="B1081" t="s">
        <v>180</v>
      </c>
      <c r="C1081" s="11">
        <v>2100</v>
      </c>
      <c r="D1081">
        <f t="array" ref="D1081">_xlfn._xlws.FILTER(_xlfn._xlws.FILTER(Demand!$G$2:$X$66,(Demand!$E$2:$E$66=$A1081),""),Demand!$G$1:$X$1=$C1081,"")</f>
        <v>7855.1741269991262</v>
      </c>
    </row>
    <row r="1082" spans="1:4">
      <c r="A1082" t="s">
        <v>194</v>
      </c>
      <c r="B1082" t="s">
        <v>180</v>
      </c>
      <c r="C1082" s="11">
        <v>2019</v>
      </c>
      <c r="D1082">
        <f t="array" ref="D1082">_xlfn._xlws.FILTER(_xlfn._xlws.FILTER(Demand!$G$2:$X$66,(Demand!$E$2:$E$66=$A1082),""),Demand!$G$1:$X$1=$C1082,"")</f>
        <v>206463.0681189782</v>
      </c>
    </row>
    <row r="1083" spans="1:4">
      <c r="A1083" t="s">
        <v>194</v>
      </c>
      <c r="B1083" t="s">
        <v>180</v>
      </c>
      <c r="C1083" s="11">
        <v>2020</v>
      </c>
      <c r="D1083">
        <f t="array" ref="D1083">_xlfn._xlws.FILTER(_xlfn._xlws.FILTER(Demand!$G$2:$X$66,(Demand!$E$2:$E$66=$A1083),""),Demand!$G$1:$X$1=$C1083,"")</f>
        <v>0</v>
      </c>
    </row>
    <row r="1084" spans="1:4">
      <c r="A1084" t="s">
        <v>194</v>
      </c>
      <c r="B1084" t="s">
        <v>180</v>
      </c>
      <c r="C1084" s="11">
        <v>2025</v>
      </c>
      <c r="D1084">
        <f t="array" ref="D1084">_xlfn._xlws.FILTER(_xlfn._xlws.FILTER(Demand!$G$2:$X$66,(Demand!$E$2:$E$66=$A1084),""),Demand!$G$1:$X$1=$C1084,"")</f>
        <v>0</v>
      </c>
    </row>
    <row r="1085" spans="1:4">
      <c r="A1085" t="s">
        <v>194</v>
      </c>
      <c r="B1085" t="s">
        <v>180</v>
      </c>
      <c r="C1085" s="11">
        <v>2030</v>
      </c>
      <c r="D1085">
        <f t="array" ref="D1085">_xlfn._xlws.FILTER(_xlfn._xlws.FILTER(Demand!$G$2:$X$66,(Demand!$E$2:$E$66=$A1085),""),Demand!$G$1:$X$1=$C1085,"")</f>
        <v>0</v>
      </c>
    </row>
    <row r="1086" spans="1:4">
      <c r="A1086" t="s">
        <v>194</v>
      </c>
      <c r="B1086" t="s">
        <v>180</v>
      </c>
      <c r="C1086" s="11">
        <v>2035</v>
      </c>
      <c r="D1086">
        <f t="array" ref="D1086">_xlfn._xlws.FILTER(_xlfn._xlws.FILTER(Demand!$G$2:$X$66,(Demand!$E$2:$E$66=$A1086),""),Demand!$G$1:$X$1=$C1086,"")</f>
        <v>0</v>
      </c>
    </row>
    <row r="1087" spans="1:4">
      <c r="A1087" t="s">
        <v>194</v>
      </c>
      <c r="B1087" t="s">
        <v>180</v>
      </c>
      <c r="C1087" s="11">
        <v>2040</v>
      </c>
      <c r="D1087">
        <f t="array" ref="D1087">_xlfn._xlws.FILTER(_xlfn._xlws.FILTER(Demand!$G$2:$X$66,(Demand!$E$2:$E$66=$A1087),""),Demand!$G$1:$X$1=$C1087,"")</f>
        <v>0</v>
      </c>
    </row>
    <row r="1088" spans="1:4">
      <c r="A1088" t="s">
        <v>194</v>
      </c>
      <c r="B1088" t="s">
        <v>180</v>
      </c>
      <c r="C1088" s="11">
        <v>2045</v>
      </c>
      <c r="D1088">
        <f t="array" ref="D1088">_xlfn._xlws.FILTER(_xlfn._xlws.FILTER(Demand!$G$2:$X$66,(Demand!$E$2:$E$66=$A1088),""),Demand!$G$1:$X$1=$C1088,"")</f>
        <v>0</v>
      </c>
    </row>
    <row r="1089" spans="1:4">
      <c r="A1089" t="s">
        <v>194</v>
      </c>
      <c r="B1089" t="s">
        <v>180</v>
      </c>
      <c r="C1089" s="11">
        <v>2050</v>
      </c>
      <c r="D1089">
        <f t="array" ref="D1089">_xlfn._xlws.FILTER(_xlfn._xlws.FILTER(Demand!$G$2:$X$66,(Demand!$E$2:$E$66=$A1089),""),Demand!$G$1:$X$1=$C1089,"")</f>
        <v>0</v>
      </c>
    </row>
    <row r="1090" spans="1:4">
      <c r="A1090" t="s">
        <v>194</v>
      </c>
      <c r="B1090" t="s">
        <v>180</v>
      </c>
      <c r="C1090" s="11">
        <v>2055</v>
      </c>
      <c r="D1090">
        <f t="array" ref="D1090">_xlfn._xlws.FILTER(_xlfn._xlws.FILTER(Demand!$G$2:$X$66,(Demand!$E$2:$E$66=$A1090),""),Demand!$G$1:$X$1=$C1090,"")</f>
        <v>0</v>
      </c>
    </row>
    <row r="1091" spans="1:4">
      <c r="A1091" t="s">
        <v>194</v>
      </c>
      <c r="B1091" t="s">
        <v>180</v>
      </c>
      <c r="C1091" s="11">
        <v>2060</v>
      </c>
      <c r="D1091">
        <f t="array" ref="D1091">_xlfn._xlws.FILTER(_xlfn._xlws.FILTER(Demand!$G$2:$X$66,(Demand!$E$2:$E$66=$A1091),""),Demand!$G$1:$X$1=$C1091,"")</f>
        <v>0</v>
      </c>
    </row>
    <row r="1092" spans="1:4">
      <c r="A1092" t="s">
        <v>194</v>
      </c>
      <c r="B1092" t="s">
        <v>180</v>
      </c>
      <c r="C1092" s="11">
        <v>2065</v>
      </c>
      <c r="D1092">
        <f t="array" ref="D1092">_xlfn._xlws.FILTER(_xlfn._xlws.FILTER(Demand!$G$2:$X$66,(Demand!$E$2:$E$66=$A1092),""),Demand!$G$1:$X$1=$C1092,"")</f>
        <v>0</v>
      </c>
    </row>
    <row r="1093" spans="1:4">
      <c r="A1093" t="s">
        <v>194</v>
      </c>
      <c r="B1093" t="s">
        <v>180</v>
      </c>
      <c r="C1093" s="11">
        <v>2070</v>
      </c>
      <c r="D1093">
        <f t="array" ref="D1093">_xlfn._xlws.FILTER(_xlfn._xlws.FILTER(Demand!$G$2:$X$66,(Demand!$E$2:$E$66=$A1093),""),Demand!$G$1:$X$1=$C1093,"")</f>
        <v>0</v>
      </c>
    </row>
    <row r="1094" spans="1:4">
      <c r="A1094" t="s">
        <v>194</v>
      </c>
      <c r="B1094" t="s">
        <v>180</v>
      </c>
      <c r="C1094" s="11">
        <v>2075</v>
      </c>
      <c r="D1094">
        <f t="array" ref="D1094">_xlfn._xlws.FILTER(_xlfn._xlws.FILTER(Demand!$G$2:$X$66,(Demand!$E$2:$E$66=$A1094),""),Demand!$G$1:$X$1=$C1094,"")</f>
        <v>0</v>
      </c>
    </row>
    <row r="1095" spans="1:4">
      <c r="A1095" t="s">
        <v>194</v>
      </c>
      <c r="B1095" t="s">
        <v>180</v>
      </c>
      <c r="C1095" s="11">
        <v>2080</v>
      </c>
      <c r="D1095">
        <f t="array" ref="D1095">_xlfn._xlws.FILTER(_xlfn._xlws.FILTER(Demand!$G$2:$X$66,(Demand!$E$2:$E$66=$A1095),""),Demand!$G$1:$X$1=$C1095,"")</f>
        <v>0</v>
      </c>
    </row>
    <row r="1096" spans="1:4">
      <c r="A1096" t="s">
        <v>194</v>
      </c>
      <c r="B1096" t="s">
        <v>180</v>
      </c>
      <c r="C1096" s="11">
        <v>2085</v>
      </c>
      <c r="D1096">
        <f t="array" ref="D1096">_xlfn._xlws.FILTER(_xlfn._xlws.FILTER(Demand!$G$2:$X$66,(Demand!$E$2:$E$66=$A1096),""),Demand!$G$1:$X$1=$C1096,"")</f>
        <v>0</v>
      </c>
    </row>
    <row r="1097" spans="1:4">
      <c r="A1097" t="s">
        <v>194</v>
      </c>
      <c r="B1097" t="s">
        <v>180</v>
      </c>
      <c r="C1097" s="11">
        <v>2090</v>
      </c>
      <c r="D1097">
        <f t="array" ref="D1097">_xlfn._xlws.FILTER(_xlfn._xlws.FILTER(Demand!$G$2:$X$66,(Demand!$E$2:$E$66=$A1097),""),Demand!$G$1:$X$1=$C1097,"")</f>
        <v>0</v>
      </c>
    </row>
    <row r="1098" spans="1:4">
      <c r="A1098" t="s">
        <v>194</v>
      </c>
      <c r="B1098" t="s">
        <v>180</v>
      </c>
      <c r="C1098" s="11">
        <v>2095</v>
      </c>
      <c r="D1098">
        <f t="array" ref="D1098">_xlfn._xlws.FILTER(_xlfn._xlws.FILTER(Demand!$G$2:$X$66,(Demand!$E$2:$E$66=$A1098),""),Demand!$G$1:$X$1=$C1098,"")</f>
        <v>0</v>
      </c>
    </row>
    <row r="1099" spans="1:4">
      <c r="A1099" t="s">
        <v>194</v>
      </c>
      <c r="B1099" t="s">
        <v>180</v>
      </c>
      <c r="C1099" s="11">
        <v>2100</v>
      </c>
      <c r="D1099">
        <f t="array" ref="D1099">_xlfn._xlws.FILTER(_xlfn._xlws.FILTER(Demand!$G$2:$X$66,(Demand!$E$2:$E$66=$A1099),""),Demand!$G$1:$X$1=$C1099,"")</f>
        <v>0</v>
      </c>
    </row>
    <row r="1100" spans="1:4">
      <c r="A1100" t="s">
        <v>197</v>
      </c>
      <c r="B1100" t="s">
        <v>198</v>
      </c>
      <c r="C1100" s="11">
        <v>2019</v>
      </c>
      <c r="D1100">
        <f t="array" ref="D1100">_xlfn._xlws.FILTER(_xlfn._xlws.FILTER(Demand!$G$2:$X$66,(Demand!$E$2:$E$66=$A1100),""),Demand!$G$1:$X$1=$C1100,"")</f>
        <v>1957.9449839347731</v>
      </c>
    </row>
    <row r="1101" spans="1:4">
      <c r="A1101" t="s">
        <v>197</v>
      </c>
      <c r="B1101" t="s">
        <v>198</v>
      </c>
      <c r="C1101" s="11">
        <v>2020</v>
      </c>
      <c r="D1101">
        <f t="array" ref="D1101">_xlfn._xlws.FILTER(_xlfn._xlws.FILTER(Demand!$G$2:$X$66,(Demand!$E$2:$E$66=$A1101),""),Demand!$G$1:$X$1=$C1101,"")</f>
        <v>1967.7347088544459</v>
      </c>
    </row>
    <row r="1102" spans="1:4">
      <c r="A1102" t="s">
        <v>197</v>
      </c>
      <c r="B1102" t="s">
        <v>198</v>
      </c>
      <c r="C1102" s="11">
        <v>2025</v>
      </c>
      <c r="D1102">
        <f t="array" ref="D1102">_xlfn._xlws.FILTER(_xlfn._xlws.FILTER(Demand!$G$2:$X$66,(Demand!$E$2:$E$66=$A1102),""),Demand!$G$1:$X$1=$C1102,"")</f>
        <v>2016.9280765758069</v>
      </c>
    </row>
    <row r="1103" spans="1:4">
      <c r="A1103" t="s">
        <v>197</v>
      </c>
      <c r="B1103" t="s">
        <v>198</v>
      </c>
      <c r="C1103" s="11">
        <v>2030</v>
      </c>
      <c r="D1103">
        <f t="array" ref="D1103">_xlfn._xlws.FILTER(_xlfn._xlws.FILTER(Demand!$G$2:$X$66,(Demand!$E$2:$E$66=$A1103),""),Demand!$G$1:$X$1=$C1103,"")</f>
        <v>2067.3512784902018</v>
      </c>
    </row>
    <row r="1104" spans="1:4">
      <c r="A1104" t="s">
        <v>197</v>
      </c>
      <c r="B1104" t="s">
        <v>198</v>
      </c>
      <c r="C1104" s="11">
        <v>2035</v>
      </c>
      <c r="D1104">
        <f t="array" ref="D1104">_xlfn._xlws.FILTER(_xlfn._xlws.FILTER(Demand!$G$2:$X$66,(Demand!$E$2:$E$66=$A1104),""),Demand!$G$1:$X$1=$C1104,"")</f>
        <v>2119.0350604524569</v>
      </c>
    </row>
    <row r="1105" spans="1:4">
      <c r="A1105" t="s">
        <v>197</v>
      </c>
      <c r="B1105" t="s">
        <v>198</v>
      </c>
      <c r="C1105" s="11">
        <v>2040</v>
      </c>
      <c r="D1105">
        <f t="array" ref="D1105">_xlfn._xlws.FILTER(_xlfn._xlws.FILTER(Demand!$G$2:$X$66,(Demand!$E$2:$E$66=$A1105),""),Demand!$G$1:$X$1=$C1105,"")</f>
        <v>2172.010936963768</v>
      </c>
    </row>
    <row r="1106" spans="1:4">
      <c r="A1106" t="s">
        <v>197</v>
      </c>
      <c r="B1106" t="s">
        <v>198</v>
      </c>
      <c r="C1106" s="11">
        <v>2045</v>
      </c>
      <c r="D1106">
        <f t="array" ref="D1106">_xlfn._xlws.FILTER(_xlfn._xlws.FILTER(Demand!$G$2:$X$66,(Demand!$E$2:$E$66=$A1106),""),Demand!$G$1:$X$1=$C1106,"")</f>
        <v>2226.311210387862</v>
      </c>
    </row>
    <row r="1107" spans="1:4">
      <c r="A1107" t="s">
        <v>197</v>
      </c>
      <c r="B1107" t="s">
        <v>198</v>
      </c>
      <c r="C1107" s="11">
        <v>2050</v>
      </c>
      <c r="D1107">
        <f t="array" ref="D1107">_xlfn._xlws.FILTER(_xlfn._xlws.FILTER(Demand!$G$2:$X$66,(Demand!$E$2:$E$66=$A1107),""),Demand!$G$1:$X$1=$C1107,"")</f>
        <v>2281.9689906475578</v>
      </c>
    </row>
    <row r="1108" spans="1:4">
      <c r="A1108" t="s">
        <v>197</v>
      </c>
      <c r="B1108" t="s">
        <v>198</v>
      </c>
      <c r="C1108" s="11">
        <v>2055</v>
      </c>
      <c r="D1108">
        <f t="array" ref="D1108">_xlfn._xlws.FILTER(_xlfn._xlws.FILTER(Demand!$G$2:$X$66,(Demand!$E$2:$E$66=$A1108),""),Demand!$G$1:$X$1=$C1108,"")</f>
        <v>2339.0182154137469</v>
      </c>
    </row>
    <row r="1109" spans="1:4">
      <c r="A1109" t="s">
        <v>197</v>
      </c>
      <c r="B1109" t="s">
        <v>198</v>
      </c>
      <c r="C1109" s="11">
        <v>2060</v>
      </c>
      <c r="D1109">
        <f t="array" ref="D1109">_xlfn._xlws.FILTER(_xlfn._xlws.FILTER(Demand!$G$2:$X$66,(Demand!$E$2:$E$66=$A1109),""),Demand!$G$1:$X$1=$C1109,"")</f>
        <v>2397.493670799091</v>
      </c>
    </row>
    <row r="1110" spans="1:4">
      <c r="A1110" t="s">
        <v>197</v>
      </c>
      <c r="B1110" t="s">
        <v>198</v>
      </c>
      <c r="C1110" s="11">
        <v>2065</v>
      </c>
      <c r="D1110">
        <f t="array" ref="D1110">_xlfn._xlws.FILTER(_xlfn._xlws.FILTER(Demand!$G$2:$X$66,(Demand!$E$2:$E$66=$A1110),""),Demand!$G$1:$X$1=$C1110,"")</f>
        <v>2457.4310125690681</v>
      </c>
    </row>
    <row r="1111" spans="1:4">
      <c r="A1111" t="s">
        <v>197</v>
      </c>
      <c r="B1111" t="s">
        <v>198</v>
      </c>
      <c r="C1111" s="11">
        <v>2070</v>
      </c>
      <c r="D1111">
        <f t="array" ref="D1111">_xlfn._xlws.FILTER(_xlfn._xlws.FILTER(Demand!$G$2:$X$66,(Demand!$E$2:$E$66=$A1111),""),Demand!$G$1:$X$1=$C1111,"")</f>
        <v>2518.8667878832939</v>
      </c>
    </row>
    <row r="1112" spans="1:4">
      <c r="A1112" t="s">
        <v>197</v>
      </c>
      <c r="B1112" t="s">
        <v>198</v>
      </c>
      <c r="C1112" s="11">
        <v>2075</v>
      </c>
      <c r="D1112">
        <f t="array" ref="D1112">_xlfn._xlws.FILTER(_xlfn._xlws.FILTER(Demand!$G$2:$X$66,(Demand!$E$2:$E$66=$A1112),""),Demand!$G$1:$X$1=$C1112,"")</f>
        <v>2581.8384575803761</v>
      </c>
    </row>
    <row r="1113" spans="1:4">
      <c r="A1113" t="s">
        <v>197</v>
      </c>
      <c r="B1113" t="s">
        <v>198</v>
      </c>
      <c r="C1113" s="11">
        <v>2080</v>
      </c>
      <c r="D1113">
        <f t="array" ref="D1113">_xlfn._xlws.FILTER(_xlfn._xlws.FILTER(Demand!$G$2:$X$66,(Demand!$E$2:$E$66=$A1113),""),Demand!$G$1:$X$1=$C1113,"")</f>
        <v>2646.3844190198852</v>
      </c>
    </row>
    <row r="1114" spans="1:4">
      <c r="A1114" t="s">
        <v>197</v>
      </c>
      <c r="B1114" t="s">
        <v>198</v>
      </c>
      <c r="C1114" s="11">
        <v>2085</v>
      </c>
      <c r="D1114">
        <f t="array" ref="D1114">_xlfn._xlws.FILTER(_xlfn._xlws.FILTER(Demand!$G$2:$X$66,(Demand!$E$2:$E$66=$A1114),""),Demand!$G$1:$X$1=$C1114,"")</f>
        <v>2712.5440294953819</v>
      </c>
    </row>
    <row r="1115" spans="1:4">
      <c r="A1115" t="s">
        <v>197</v>
      </c>
      <c r="B1115" t="s">
        <v>198</v>
      </c>
      <c r="C1115" s="11">
        <v>2090</v>
      </c>
      <c r="D1115">
        <f t="array" ref="D1115">_xlfn._xlws.FILTER(_xlfn._xlws.FILTER(Demand!$G$2:$X$66,(Demand!$E$2:$E$66=$A1115),""),Demand!$G$1:$X$1=$C1115,"")</f>
        <v>2780.357630232766</v>
      </c>
    </row>
    <row r="1116" spans="1:4">
      <c r="A1116" t="s">
        <v>197</v>
      </c>
      <c r="B1116" t="s">
        <v>198</v>
      </c>
      <c r="C1116" s="11">
        <v>2095</v>
      </c>
      <c r="D1116">
        <f t="array" ref="D1116">_xlfn._xlws.FILTER(_xlfn._xlws.FILTER(Demand!$G$2:$X$66,(Demand!$E$2:$E$66=$A1116),""),Demand!$G$1:$X$1=$C1116,"")</f>
        <v>2849.866570988585</v>
      </c>
    </row>
    <row r="1117" spans="1:4">
      <c r="A1117" t="s">
        <v>197</v>
      </c>
      <c r="B1117" t="s">
        <v>198</v>
      </c>
      <c r="C1117" s="11">
        <v>2100</v>
      </c>
      <c r="D1117">
        <f t="array" ref="D1117">_xlfn._xlws.FILTER(_xlfn._xlws.FILTER(Demand!$G$2:$X$66,(Demand!$E$2:$E$66=$A1117),""),Demand!$G$1:$X$1=$C1117,"")</f>
        <v>2921.113235263299</v>
      </c>
    </row>
    <row r="1118" spans="1:4">
      <c r="A1118" t="s">
        <v>200</v>
      </c>
      <c r="B1118" t="s">
        <v>198</v>
      </c>
      <c r="C1118" s="11">
        <v>2019</v>
      </c>
      <c r="D1118">
        <f t="array" ref="D1118">_xlfn._xlws.FILTER(_xlfn._xlws.FILTER(Demand!$G$2:$X$66,(Demand!$E$2:$E$66=$A1118),""),Demand!$G$1:$X$1=$C1118,"")</f>
        <v>118.5672</v>
      </c>
    </row>
    <row r="1119" spans="1:4">
      <c r="A1119" t="s">
        <v>200</v>
      </c>
      <c r="B1119" t="s">
        <v>198</v>
      </c>
      <c r="C1119" s="11">
        <v>2020</v>
      </c>
      <c r="D1119">
        <f t="array" ref="D1119">_xlfn._xlws.FILTER(_xlfn._xlws.FILTER(Demand!$G$2:$X$66,(Demand!$E$2:$E$66=$A1119),""),Demand!$G$1:$X$1=$C1119,"")</f>
        <v>118.5672</v>
      </c>
    </row>
    <row r="1120" spans="1:4">
      <c r="A1120" t="s">
        <v>200</v>
      </c>
      <c r="B1120" t="s">
        <v>198</v>
      </c>
      <c r="C1120" s="11">
        <v>2025</v>
      </c>
      <c r="D1120">
        <f t="array" ref="D1120">_xlfn._xlws.FILTER(_xlfn._xlws.FILTER(Demand!$G$2:$X$66,(Demand!$E$2:$E$66=$A1120),""),Demand!$G$1:$X$1=$C1120,"")</f>
        <v>118.5672</v>
      </c>
    </row>
    <row r="1121" spans="1:4">
      <c r="A1121" t="s">
        <v>200</v>
      </c>
      <c r="B1121" t="s">
        <v>198</v>
      </c>
      <c r="C1121" s="11">
        <v>2030</v>
      </c>
      <c r="D1121">
        <f t="array" ref="D1121">_xlfn._xlws.FILTER(_xlfn._xlws.FILTER(Demand!$G$2:$X$66,(Demand!$E$2:$E$66=$A1121),""),Demand!$G$1:$X$1=$C1121,"")</f>
        <v>118.5672</v>
      </c>
    </row>
    <row r="1122" spans="1:4">
      <c r="A1122" t="s">
        <v>200</v>
      </c>
      <c r="B1122" t="s">
        <v>198</v>
      </c>
      <c r="C1122" s="11">
        <v>2035</v>
      </c>
      <c r="D1122">
        <f t="array" ref="D1122">_xlfn._xlws.FILTER(_xlfn._xlws.FILTER(Demand!$G$2:$X$66,(Demand!$E$2:$E$66=$A1122),""),Demand!$G$1:$X$1=$C1122,"")</f>
        <v>118.5672</v>
      </c>
    </row>
    <row r="1123" spans="1:4">
      <c r="A1123" t="s">
        <v>200</v>
      </c>
      <c r="B1123" t="s">
        <v>198</v>
      </c>
      <c r="C1123" s="11">
        <v>2040</v>
      </c>
      <c r="D1123">
        <f t="array" ref="D1123">_xlfn._xlws.FILTER(_xlfn._xlws.FILTER(Demand!$G$2:$X$66,(Demand!$E$2:$E$66=$A1123),""),Demand!$G$1:$X$1=$C1123,"")</f>
        <v>118.5672</v>
      </c>
    </row>
    <row r="1124" spans="1:4">
      <c r="A1124" t="s">
        <v>200</v>
      </c>
      <c r="B1124" t="s">
        <v>198</v>
      </c>
      <c r="C1124" s="11">
        <v>2045</v>
      </c>
      <c r="D1124">
        <f t="array" ref="D1124">_xlfn._xlws.FILTER(_xlfn._xlws.FILTER(Demand!$G$2:$X$66,(Demand!$E$2:$E$66=$A1124),""),Demand!$G$1:$X$1=$C1124,"")</f>
        <v>118.5672</v>
      </c>
    </row>
    <row r="1125" spans="1:4">
      <c r="A1125" t="s">
        <v>200</v>
      </c>
      <c r="B1125" t="s">
        <v>198</v>
      </c>
      <c r="C1125" s="11">
        <v>2050</v>
      </c>
      <c r="D1125">
        <f t="array" ref="D1125">_xlfn._xlws.FILTER(_xlfn._xlws.FILTER(Demand!$G$2:$X$66,(Demand!$E$2:$E$66=$A1125),""),Demand!$G$1:$X$1=$C1125,"")</f>
        <v>118.5672</v>
      </c>
    </row>
    <row r="1126" spans="1:4">
      <c r="A1126" t="s">
        <v>200</v>
      </c>
      <c r="B1126" t="s">
        <v>198</v>
      </c>
      <c r="C1126" s="11">
        <v>2055</v>
      </c>
      <c r="D1126">
        <f t="array" ref="D1126">_xlfn._xlws.FILTER(_xlfn._xlws.FILTER(Demand!$G$2:$X$66,(Demand!$E$2:$E$66=$A1126),""),Demand!$G$1:$X$1=$C1126,"")</f>
        <v>118.5672</v>
      </c>
    </row>
    <row r="1127" spans="1:4">
      <c r="A1127" t="s">
        <v>200</v>
      </c>
      <c r="B1127" t="s">
        <v>198</v>
      </c>
      <c r="C1127" s="11">
        <v>2060</v>
      </c>
      <c r="D1127">
        <f t="array" ref="D1127">_xlfn._xlws.FILTER(_xlfn._xlws.FILTER(Demand!$G$2:$X$66,(Demand!$E$2:$E$66=$A1127),""),Demand!$G$1:$X$1=$C1127,"")</f>
        <v>118.5672</v>
      </c>
    </row>
    <row r="1128" spans="1:4">
      <c r="A1128" t="s">
        <v>200</v>
      </c>
      <c r="B1128" t="s">
        <v>198</v>
      </c>
      <c r="C1128" s="11">
        <v>2065</v>
      </c>
      <c r="D1128">
        <f t="array" ref="D1128">_xlfn._xlws.FILTER(_xlfn._xlws.FILTER(Demand!$G$2:$X$66,(Demand!$E$2:$E$66=$A1128),""),Demand!$G$1:$X$1=$C1128,"")</f>
        <v>118.5672</v>
      </c>
    </row>
    <row r="1129" spans="1:4">
      <c r="A1129" t="s">
        <v>200</v>
      </c>
      <c r="B1129" t="s">
        <v>198</v>
      </c>
      <c r="C1129" s="11">
        <v>2070</v>
      </c>
      <c r="D1129">
        <f t="array" ref="D1129">_xlfn._xlws.FILTER(_xlfn._xlws.FILTER(Demand!$G$2:$X$66,(Demand!$E$2:$E$66=$A1129),""),Demand!$G$1:$X$1=$C1129,"")</f>
        <v>118.5672</v>
      </c>
    </row>
    <row r="1130" spans="1:4">
      <c r="A1130" t="s">
        <v>200</v>
      </c>
      <c r="B1130" t="s">
        <v>198</v>
      </c>
      <c r="C1130" s="11">
        <v>2075</v>
      </c>
      <c r="D1130">
        <f t="array" ref="D1130">_xlfn._xlws.FILTER(_xlfn._xlws.FILTER(Demand!$G$2:$X$66,(Demand!$E$2:$E$66=$A1130),""),Demand!$G$1:$X$1=$C1130,"")</f>
        <v>118.5672</v>
      </c>
    </row>
    <row r="1131" spans="1:4">
      <c r="A1131" t="s">
        <v>200</v>
      </c>
      <c r="B1131" t="s">
        <v>198</v>
      </c>
      <c r="C1131" s="11">
        <v>2080</v>
      </c>
      <c r="D1131">
        <f t="array" ref="D1131">_xlfn._xlws.FILTER(_xlfn._xlws.FILTER(Demand!$G$2:$X$66,(Demand!$E$2:$E$66=$A1131),""),Demand!$G$1:$X$1=$C1131,"")</f>
        <v>118.5672</v>
      </c>
    </row>
    <row r="1132" spans="1:4">
      <c r="A1132" t="s">
        <v>200</v>
      </c>
      <c r="B1132" t="s">
        <v>198</v>
      </c>
      <c r="C1132" s="11">
        <v>2085</v>
      </c>
      <c r="D1132">
        <f t="array" ref="D1132">_xlfn._xlws.FILTER(_xlfn._xlws.FILTER(Demand!$G$2:$X$66,(Demand!$E$2:$E$66=$A1132),""),Demand!$G$1:$X$1=$C1132,"")</f>
        <v>118.5672</v>
      </c>
    </row>
    <row r="1133" spans="1:4">
      <c r="A1133" t="s">
        <v>200</v>
      </c>
      <c r="B1133" t="s">
        <v>198</v>
      </c>
      <c r="C1133" s="11">
        <v>2090</v>
      </c>
      <c r="D1133">
        <f t="array" ref="D1133">_xlfn._xlws.FILTER(_xlfn._xlws.FILTER(Demand!$G$2:$X$66,(Demand!$E$2:$E$66=$A1133),""),Demand!$G$1:$X$1=$C1133,"")</f>
        <v>118.5672</v>
      </c>
    </row>
    <row r="1134" spans="1:4">
      <c r="A1134" t="s">
        <v>200</v>
      </c>
      <c r="B1134" t="s">
        <v>198</v>
      </c>
      <c r="C1134" s="11">
        <v>2095</v>
      </c>
      <c r="D1134">
        <f t="array" ref="D1134">_xlfn._xlws.FILTER(_xlfn._xlws.FILTER(Demand!$G$2:$X$66,(Demand!$E$2:$E$66=$A1134),""),Demand!$G$1:$X$1=$C1134,"")</f>
        <v>118.5672</v>
      </c>
    </row>
    <row r="1135" spans="1:4">
      <c r="A1135" t="s">
        <v>200</v>
      </c>
      <c r="B1135" t="s">
        <v>198</v>
      </c>
      <c r="C1135" s="11">
        <v>2100</v>
      </c>
      <c r="D1135">
        <f t="array" ref="D1135">_xlfn._xlws.FILTER(_xlfn._xlws.FILTER(Demand!$G$2:$X$66,(Demand!$E$2:$E$66=$A1135),""),Demand!$G$1:$X$1=$C1135,"")</f>
        <v>118.5672</v>
      </c>
    </row>
    <row r="1136" spans="1:4">
      <c r="A1136" t="s">
        <v>203</v>
      </c>
      <c r="B1136" t="s">
        <v>131</v>
      </c>
      <c r="C1136" s="11">
        <v>2019</v>
      </c>
      <c r="D1136">
        <f t="array" ref="D1136">_xlfn._xlws.FILTER(_xlfn._xlws.FILTER(Demand!$G$2:$X$66,(Demand!$E$2:$E$66=$A1136),""),Demand!$G$1:$X$1=$C1136,"")</f>
        <v>-43034.141007505437</v>
      </c>
    </row>
    <row r="1137" spans="1:4">
      <c r="A1137" t="s">
        <v>203</v>
      </c>
      <c r="B1137" t="s">
        <v>131</v>
      </c>
      <c r="C1137" s="11">
        <v>2020</v>
      </c>
      <c r="D1137">
        <f t="array" ref="D1137">_xlfn._xlws.FILTER(_xlfn._xlws.FILTER(Demand!$G$2:$X$66,(Demand!$E$2:$E$66=$A1137),""),Demand!$G$1:$X$1=$C1137,"")</f>
        <v>-43034.141007505437</v>
      </c>
    </row>
    <row r="1138" spans="1:4">
      <c r="A1138" t="s">
        <v>203</v>
      </c>
      <c r="B1138" t="s">
        <v>131</v>
      </c>
      <c r="C1138" s="11">
        <v>2025</v>
      </c>
      <c r="D1138">
        <f t="array" ref="D1138">_xlfn._xlws.FILTER(_xlfn._xlws.FILTER(Demand!$G$2:$X$66,(Demand!$E$2:$E$66=$A1138),""),Demand!$G$1:$X$1=$C1138,"")</f>
        <v>-43034.141007505437</v>
      </c>
    </row>
    <row r="1139" spans="1:4">
      <c r="A1139" t="s">
        <v>203</v>
      </c>
      <c r="B1139" t="s">
        <v>131</v>
      </c>
      <c r="C1139" s="11">
        <v>2030</v>
      </c>
      <c r="D1139">
        <f t="array" ref="D1139">_xlfn._xlws.FILTER(_xlfn._xlws.FILTER(Demand!$G$2:$X$66,(Demand!$E$2:$E$66=$A1139),""),Demand!$G$1:$X$1=$C1139,"")</f>
        <v>-43034.141007505437</v>
      </c>
    </row>
    <row r="1140" spans="1:4">
      <c r="A1140" t="s">
        <v>203</v>
      </c>
      <c r="B1140" t="s">
        <v>131</v>
      </c>
      <c r="C1140" s="11">
        <v>2035</v>
      </c>
      <c r="D1140">
        <f t="array" ref="D1140">_xlfn._xlws.FILTER(_xlfn._xlws.FILTER(Demand!$G$2:$X$66,(Demand!$E$2:$E$66=$A1140),""),Demand!$G$1:$X$1=$C1140,"")</f>
        <v>-43034.141007505437</v>
      </c>
    </row>
    <row r="1141" spans="1:4">
      <c r="A1141" t="s">
        <v>203</v>
      </c>
      <c r="B1141" t="s">
        <v>131</v>
      </c>
      <c r="C1141" s="11">
        <v>2040</v>
      </c>
      <c r="D1141">
        <f t="array" ref="D1141">_xlfn._xlws.FILTER(_xlfn._xlws.FILTER(Demand!$G$2:$X$66,(Demand!$E$2:$E$66=$A1141),""),Demand!$G$1:$X$1=$C1141,"")</f>
        <v>-43034.141007505437</v>
      </c>
    </row>
    <row r="1142" spans="1:4">
      <c r="A1142" t="s">
        <v>203</v>
      </c>
      <c r="B1142" t="s">
        <v>131</v>
      </c>
      <c r="C1142" s="11">
        <v>2045</v>
      </c>
      <c r="D1142">
        <f t="array" ref="D1142">_xlfn._xlws.FILTER(_xlfn._xlws.FILTER(Demand!$G$2:$X$66,(Demand!$E$2:$E$66=$A1142),""),Demand!$G$1:$X$1=$C1142,"")</f>
        <v>-43034.141007505437</v>
      </c>
    </row>
    <row r="1143" spans="1:4">
      <c r="A1143" t="s">
        <v>203</v>
      </c>
      <c r="B1143" t="s">
        <v>131</v>
      </c>
      <c r="C1143" s="11">
        <v>2050</v>
      </c>
      <c r="D1143">
        <f t="array" ref="D1143">_xlfn._xlws.FILTER(_xlfn._xlws.FILTER(Demand!$G$2:$X$66,(Demand!$E$2:$E$66=$A1143),""),Demand!$G$1:$X$1=$C1143,"")</f>
        <v>-43034.141007505437</v>
      </c>
    </row>
    <row r="1144" spans="1:4">
      <c r="A1144" t="s">
        <v>203</v>
      </c>
      <c r="B1144" t="s">
        <v>131</v>
      </c>
      <c r="C1144" s="11">
        <v>2055</v>
      </c>
      <c r="D1144">
        <f t="array" ref="D1144">_xlfn._xlws.FILTER(_xlfn._xlws.FILTER(Demand!$G$2:$X$66,(Demand!$E$2:$E$66=$A1144),""),Demand!$G$1:$X$1=$C1144,"")</f>
        <v>-43034.141007505437</v>
      </c>
    </row>
    <row r="1145" spans="1:4">
      <c r="A1145" t="s">
        <v>203</v>
      </c>
      <c r="B1145" t="s">
        <v>131</v>
      </c>
      <c r="C1145" s="11">
        <v>2060</v>
      </c>
      <c r="D1145">
        <f t="array" ref="D1145">_xlfn._xlws.FILTER(_xlfn._xlws.FILTER(Demand!$G$2:$X$66,(Demand!$E$2:$E$66=$A1145),""),Demand!$G$1:$X$1=$C1145,"")</f>
        <v>-43034.141007505437</v>
      </c>
    </row>
    <row r="1146" spans="1:4">
      <c r="A1146" t="s">
        <v>203</v>
      </c>
      <c r="B1146" t="s">
        <v>131</v>
      </c>
      <c r="C1146" s="11">
        <v>2065</v>
      </c>
      <c r="D1146">
        <f t="array" ref="D1146">_xlfn._xlws.FILTER(_xlfn._xlws.FILTER(Demand!$G$2:$X$66,(Demand!$E$2:$E$66=$A1146),""),Demand!$G$1:$X$1=$C1146,"")</f>
        <v>-43034.141007505437</v>
      </c>
    </row>
    <row r="1147" spans="1:4">
      <c r="A1147" t="s">
        <v>203</v>
      </c>
      <c r="B1147" t="s">
        <v>131</v>
      </c>
      <c r="C1147" s="11">
        <v>2070</v>
      </c>
      <c r="D1147">
        <f t="array" ref="D1147">_xlfn._xlws.FILTER(_xlfn._xlws.FILTER(Demand!$G$2:$X$66,(Demand!$E$2:$E$66=$A1147),""),Demand!$G$1:$X$1=$C1147,"")</f>
        <v>-43034.141007505437</v>
      </c>
    </row>
    <row r="1148" spans="1:4">
      <c r="A1148" t="s">
        <v>203</v>
      </c>
      <c r="B1148" t="s">
        <v>131</v>
      </c>
      <c r="C1148" s="11">
        <v>2075</v>
      </c>
      <c r="D1148">
        <f t="array" ref="D1148">_xlfn._xlws.FILTER(_xlfn._xlws.FILTER(Demand!$G$2:$X$66,(Demand!$E$2:$E$66=$A1148),""),Demand!$G$1:$X$1=$C1148,"")</f>
        <v>-43034.141007505437</v>
      </c>
    </row>
    <row r="1149" spans="1:4">
      <c r="A1149" t="s">
        <v>203</v>
      </c>
      <c r="B1149" t="s">
        <v>131</v>
      </c>
      <c r="C1149" s="11">
        <v>2080</v>
      </c>
      <c r="D1149">
        <f t="array" ref="D1149">_xlfn._xlws.FILTER(_xlfn._xlws.FILTER(Demand!$G$2:$X$66,(Demand!$E$2:$E$66=$A1149),""),Demand!$G$1:$X$1=$C1149,"")</f>
        <v>-43034.141007505437</v>
      </c>
    </row>
    <row r="1150" spans="1:4">
      <c r="A1150" t="s">
        <v>203</v>
      </c>
      <c r="B1150" t="s">
        <v>131</v>
      </c>
      <c r="C1150" s="11">
        <v>2085</v>
      </c>
      <c r="D1150">
        <f t="array" ref="D1150">_xlfn._xlws.FILTER(_xlfn._xlws.FILTER(Demand!$G$2:$X$66,(Demand!$E$2:$E$66=$A1150),""),Demand!$G$1:$X$1=$C1150,"")</f>
        <v>-43034.141007505437</v>
      </c>
    </row>
    <row r="1151" spans="1:4">
      <c r="A1151" t="s">
        <v>203</v>
      </c>
      <c r="B1151" t="s">
        <v>131</v>
      </c>
      <c r="C1151" s="11">
        <v>2090</v>
      </c>
      <c r="D1151">
        <f t="array" ref="D1151">_xlfn._xlws.FILTER(_xlfn._xlws.FILTER(Demand!$G$2:$X$66,(Demand!$E$2:$E$66=$A1151),""),Demand!$G$1:$X$1=$C1151,"")</f>
        <v>-43034.141007505437</v>
      </c>
    </row>
    <row r="1152" spans="1:4">
      <c r="A1152" t="s">
        <v>203</v>
      </c>
      <c r="B1152" t="s">
        <v>131</v>
      </c>
      <c r="C1152" s="11">
        <v>2095</v>
      </c>
      <c r="D1152">
        <f t="array" ref="D1152">_xlfn._xlws.FILTER(_xlfn._xlws.FILTER(Demand!$G$2:$X$66,(Demand!$E$2:$E$66=$A1152),""),Demand!$G$1:$X$1=$C1152,"")</f>
        <v>-43034.141007505437</v>
      </c>
    </row>
    <row r="1153" spans="1:4">
      <c r="A1153" t="s">
        <v>203</v>
      </c>
      <c r="B1153" t="s">
        <v>131</v>
      </c>
      <c r="C1153" s="11">
        <v>2100</v>
      </c>
      <c r="D1153">
        <f t="array" ref="D1153">_xlfn._xlws.FILTER(_xlfn._xlws.FILTER(Demand!$G$2:$X$66,(Demand!$E$2:$E$66=$A1153),""),Demand!$G$1:$X$1=$C1153,"")</f>
        <v>-43034.141007505437</v>
      </c>
    </row>
    <row r="1154" spans="1:4">
      <c r="A1154" t="s">
        <v>205</v>
      </c>
      <c r="B1154" t="s">
        <v>198</v>
      </c>
      <c r="C1154" s="11">
        <v>2019</v>
      </c>
      <c r="D1154">
        <f t="array" ref="D1154">_xlfn._xlws.FILTER(_xlfn._xlws.FILTER(Demand!$G$2:$X$66,(Demand!$E$2:$E$66=$A1154),""),Demand!$G$1:$X$1=$C1154,"")</f>
        <v>1718.825872023252</v>
      </c>
    </row>
    <row r="1155" spans="1:4">
      <c r="A1155" t="s">
        <v>205</v>
      </c>
      <c r="B1155" t="s">
        <v>198</v>
      </c>
      <c r="C1155" s="11">
        <v>2020</v>
      </c>
      <c r="D1155">
        <f t="array" ref="D1155">_xlfn._xlws.FILTER(_xlfn._xlws.FILTER(Demand!$G$2:$X$66,(Demand!$E$2:$E$66=$A1155),""),Demand!$G$1:$X$1=$C1155,"")</f>
        <v>1727.4200013833679</v>
      </c>
    </row>
    <row r="1156" spans="1:4">
      <c r="A1156" t="s">
        <v>205</v>
      </c>
      <c r="B1156" t="s">
        <v>198</v>
      </c>
      <c r="C1156" s="11">
        <v>2025</v>
      </c>
      <c r="D1156">
        <f t="array" ref="D1156">_xlfn._xlws.FILTER(_xlfn._xlws.FILTER(Demand!$G$2:$X$66,(Demand!$E$2:$E$66=$A1156),""),Demand!$G$1:$X$1=$C1156,"")</f>
        <v>1770.6055014179519</v>
      </c>
    </row>
    <row r="1157" spans="1:4">
      <c r="A1157" t="s">
        <v>205</v>
      </c>
      <c r="B1157" t="s">
        <v>198</v>
      </c>
      <c r="C1157" s="11">
        <v>2030</v>
      </c>
      <c r="D1157">
        <f t="array" ref="D1157">_xlfn._xlws.FILTER(_xlfn._xlws.FILTER(Demand!$G$2:$X$66,(Demand!$E$2:$E$66=$A1157),""),Demand!$G$1:$X$1=$C1157,"")</f>
        <v>1814.8706389534011</v>
      </c>
    </row>
    <row r="1158" spans="1:4">
      <c r="A1158" t="s">
        <v>205</v>
      </c>
      <c r="B1158" t="s">
        <v>198</v>
      </c>
      <c r="C1158" s="11">
        <v>2035</v>
      </c>
      <c r="D1158">
        <f t="array" ref="D1158">_xlfn._xlws.FILTER(_xlfn._xlws.FILTER(Demand!$G$2:$X$66,(Demand!$E$2:$E$66=$A1158),""),Demand!$G$1:$X$1=$C1158,"")</f>
        <v>1860.2424049272361</v>
      </c>
    </row>
    <row r="1159" spans="1:4">
      <c r="A1159" t="s">
        <v>205</v>
      </c>
      <c r="B1159" t="s">
        <v>198</v>
      </c>
      <c r="C1159" s="11">
        <v>2040</v>
      </c>
      <c r="D1159">
        <f t="array" ref="D1159">_xlfn._xlws.FILTER(_xlfn._xlws.FILTER(Demand!$G$2:$X$66,(Demand!$E$2:$E$66=$A1159),""),Demand!$G$1:$X$1=$C1159,"")</f>
        <v>1906.7484650504171</v>
      </c>
    </row>
    <row r="1160" spans="1:4">
      <c r="A1160" t="s">
        <v>205</v>
      </c>
      <c r="B1160" t="s">
        <v>198</v>
      </c>
      <c r="C1160" s="11">
        <v>2045</v>
      </c>
      <c r="D1160">
        <f t="array" ref="D1160">_xlfn._xlws.FILTER(_xlfn._xlws.FILTER(Demand!$G$2:$X$66,(Demand!$E$2:$E$66=$A1160),""),Demand!$G$1:$X$1=$C1160,"")</f>
        <v>1954.4171766766769</v>
      </c>
    </row>
    <row r="1161" spans="1:4">
      <c r="A1161" t="s">
        <v>205</v>
      </c>
      <c r="B1161" t="s">
        <v>198</v>
      </c>
      <c r="C1161" s="11">
        <v>2050</v>
      </c>
      <c r="D1161">
        <f t="array" ref="D1161">_xlfn._xlws.FILTER(_xlfn._xlws.FILTER(Demand!$G$2:$X$66,(Demand!$E$2:$E$66=$A1161),""),Demand!$G$1:$X$1=$C1161,"")</f>
        <v>2003.2776060935939</v>
      </c>
    </row>
    <row r="1162" spans="1:4">
      <c r="A1162" t="s">
        <v>205</v>
      </c>
      <c r="B1162" t="s">
        <v>198</v>
      </c>
      <c r="C1162" s="11">
        <v>2055</v>
      </c>
      <c r="D1162">
        <f t="array" ref="D1162">_xlfn._xlws.FILTER(_xlfn._xlws.FILTER(Demand!$G$2:$X$66,(Demand!$E$2:$E$66=$A1162),""),Demand!$G$1:$X$1=$C1162,"")</f>
        <v>2053.359546245933</v>
      </c>
    </row>
    <row r="1163" spans="1:4">
      <c r="A1163" t="s">
        <v>205</v>
      </c>
      <c r="B1163" t="s">
        <v>198</v>
      </c>
      <c r="C1163" s="11">
        <v>2060</v>
      </c>
      <c r="D1163">
        <f t="array" ref="D1163">_xlfn._xlws.FILTER(_xlfn._xlws.FILTER(Demand!$G$2:$X$66,(Demand!$E$2:$E$66=$A1163),""),Demand!$G$1:$X$1=$C1163,"")</f>
        <v>2104.693534902081</v>
      </c>
    </row>
    <row r="1164" spans="1:4">
      <c r="A1164" t="s">
        <v>205</v>
      </c>
      <c r="B1164" t="s">
        <v>198</v>
      </c>
      <c r="C1164" s="11">
        <v>2065</v>
      </c>
      <c r="D1164">
        <f t="array" ref="D1164">_xlfn._xlws.FILTER(_xlfn._xlws.FILTER(Demand!$G$2:$X$66,(Demand!$E$2:$E$66=$A1164),""),Demand!$G$1:$X$1=$C1164,"")</f>
        <v>2157.3108732746332</v>
      </c>
    </row>
    <row r="1165" spans="1:4">
      <c r="A1165" t="s">
        <v>205</v>
      </c>
      <c r="B1165" t="s">
        <v>198</v>
      </c>
      <c r="C1165" s="11">
        <v>2070</v>
      </c>
      <c r="D1165">
        <f t="array" ref="D1165">_xlfn._xlws.FILTER(_xlfn._xlws.FILTER(Demand!$G$2:$X$66,(Demand!$E$2:$E$66=$A1165),""),Demand!$G$1:$X$1=$C1165,"")</f>
        <v>2211.2436451064991</v>
      </c>
    </row>
    <row r="1166" spans="1:4">
      <c r="A1166" t="s">
        <v>205</v>
      </c>
      <c r="B1166" t="s">
        <v>198</v>
      </c>
      <c r="C1166" s="11">
        <v>2075</v>
      </c>
      <c r="D1166">
        <f t="array" ref="D1166">_xlfn._xlws.FILTER(_xlfn._xlws.FILTER(Demand!$G$2:$X$66,(Demand!$E$2:$E$66=$A1166),""),Demand!$G$1:$X$1=$C1166,"")</f>
        <v>2266.5247362341611</v>
      </c>
    </row>
    <row r="1167" spans="1:4">
      <c r="A1167" t="s">
        <v>205</v>
      </c>
      <c r="B1167" t="s">
        <v>198</v>
      </c>
      <c r="C1167" s="11">
        <v>2080</v>
      </c>
      <c r="D1167">
        <f t="array" ref="D1167">_xlfn._xlws.FILTER(_xlfn._xlws.FILTER(Demand!$G$2:$X$66,(Demand!$E$2:$E$66=$A1167),""),Demand!$G$1:$X$1=$C1167,"")</f>
        <v>2323.1878546400148</v>
      </c>
    </row>
    <row r="1168" spans="1:4">
      <c r="A1168" t="s">
        <v>205</v>
      </c>
      <c r="B1168" t="s">
        <v>198</v>
      </c>
      <c r="C1168" s="11">
        <v>2085</v>
      </c>
      <c r="D1168">
        <f t="array" ref="D1168">_xlfn._xlws.FILTER(_xlfn._xlws.FILTER(Demand!$G$2:$X$66,(Demand!$E$2:$E$66=$A1168),""),Demand!$G$1:$X$1=$C1168,"")</f>
        <v>2381.2675510060149</v>
      </c>
    </row>
    <row r="1169" spans="1:4">
      <c r="A1169" t="s">
        <v>205</v>
      </c>
      <c r="B1169" t="s">
        <v>198</v>
      </c>
      <c r="C1169" s="11">
        <v>2090</v>
      </c>
      <c r="D1169">
        <f t="array" ref="D1169">_xlfn._xlws.FILTER(_xlfn._xlws.FILTER(Demand!$G$2:$X$66,(Demand!$E$2:$E$66=$A1169),""),Demand!$G$1:$X$1=$C1169,"")</f>
        <v>2440.7992397811649</v>
      </c>
    </row>
    <row r="1170" spans="1:4">
      <c r="A1170" t="s">
        <v>205</v>
      </c>
      <c r="B1170" t="s">
        <v>198</v>
      </c>
      <c r="C1170" s="11">
        <v>2095</v>
      </c>
      <c r="D1170">
        <f t="array" ref="D1170">_xlfn._xlws.FILTER(_xlfn._xlws.FILTER(Demand!$G$2:$X$66,(Demand!$E$2:$E$66=$A1170),""),Demand!$G$1:$X$1=$C1170,"")</f>
        <v>2501.8192207756938</v>
      </c>
    </row>
    <row r="1171" spans="1:4">
      <c r="A1171" t="s">
        <v>205</v>
      </c>
      <c r="B1171" t="s">
        <v>198</v>
      </c>
      <c r="C1171" s="11">
        <v>2100</v>
      </c>
      <c r="D1171">
        <f t="array" ref="D1171">_xlfn._xlws.FILTER(_xlfn._xlws.FILTER(Demand!$G$2:$X$66,(Demand!$E$2:$E$66=$A1171),""),Demand!$G$1:$X$1=$C1171,"")</f>
        <v>2564.364701295086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I17" sqref="I1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O60"/>
  <sheetViews>
    <sheetView zoomScale="70" zoomScaleNormal="70" workbookViewId="0">
      <selection activeCell="B7" sqref="B7"/>
    </sheetView>
  </sheetViews>
  <sheetFormatPr defaultRowHeight="15"/>
  <cols>
    <col min="2" max="2" width="19.5703125" bestFit="1" customWidth="1"/>
    <col min="3" max="3" width="58.7109375" bestFit="1" customWidth="1"/>
    <col min="4" max="4" width="12" customWidth="1"/>
    <col min="5" max="5" width="12.85546875" bestFit="1" customWidth="1"/>
    <col min="6" max="6" width="6.42578125" bestFit="1" customWidth="1"/>
    <col min="7" max="7" width="9.5703125" bestFit="1" customWidth="1"/>
    <col min="8" max="9" width="12.42578125" customWidth="1"/>
    <col min="10" max="10" width="30.5703125" customWidth="1"/>
    <col min="11" max="11" width="30.28515625" bestFit="1" customWidth="1"/>
    <col min="12" max="13" width="12" customWidth="1"/>
    <col min="14" max="14" width="5.7109375" customWidth="1"/>
  </cols>
  <sheetData>
    <row r="4" spans="2:15">
      <c r="B4" s="8" t="s">
        <v>207</v>
      </c>
      <c r="C4" s="8"/>
      <c r="J4" s="8" t="s">
        <v>207</v>
      </c>
      <c r="K4" s="8"/>
    </row>
    <row r="5" spans="2:15">
      <c r="B5" s="9" t="s">
        <v>208</v>
      </c>
      <c r="C5" s="9" t="s">
        <v>209</v>
      </c>
      <c r="D5" s="9" t="s">
        <v>210</v>
      </c>
      <c r="E5" s="9" t="s">
        <v>206</v>
      </c>
      <c r="F5" s="9" t="s">
        <v>30</v>
      </c>
      <c r="G5" s="9" t="s">
        <v>211</v>
      </c>
      <c r="J5" s="9" t="s">
        <v>208</v>
      </c>
      <c r="K5" s="9" t="s">
        <v>209</v>
      </c>
      <c r="L5" s="9" t="s">
        <v>206</v>
      </c>
      <c r="M5" s="9" t="s">
        <v>212</v>
      </c>
      <c r="N5" s="9" t="s">
        <v>30</v>
      </c>
      <c r="O5" s="9" t="s">
        <v>211</v>
      </c>
    </row>
    <row r="6" spans="2:15" ht="15" customHeight="1" thickBot="1">
      <c r="B6" s="10" t="s">
        <v>213</v>
      </c>
      <c r="C6" s="10" t="s">
        <v>213</v>
      </c>
      <c r="D6" s="10" t="s">
        <v>213</v>
      </c>
      <c r="E6" s="10" t="s">
        <v>213</v>
      </c>
      <c r="F6" s="10" t="s">
        <v>213</v>
      </c>
      <c r="G6" s="10" t="s">
        <v>213</v>
      </c>
      <c r="J6" s="10" t="s">
        <v>213</v>
      </c>
      <c r="K6" s="10" t="s">
        <v>213</v>
      </c>
      <c r="L6" s="10" t="s">
        <v>213</v>
      </c>
      <c r="M6" s="10" t="s">
        <v>213</v>
      </c>
      <c r="N6" s="10" t="s">
        <v>213</v>
      </c>
      <c r="O6" s="10" t="s">
        <v>213</v>
      </c>
    </row>
    <row r="7" spans="2:15">
      <c r="B7" t="str">
        <f>Demand!$E$65</f>
        <v>ELCMISEGRIDDMD</v>
      </c>
      <c r="C7" t="str">
        <f>"DEMAND - "&amp;Demand!$A$65&amp;" "&amp;Demand!$B$65&amp;" "&amp;Demand!$C$65&amp;" "&amp;Demand!$D$65</f>
        <v xml:space="preserve">DEMAND - Electricity Miscellanous EGRID electricity demand  </v>
      </c>
      <c r="D7" t="str">
        <f>_xlfn.XLOOKUP(B7,Trans_Demand!A:A,Trans_Demand!B:B)</f>
        <v>TJ</v>
      </c>
      <c r="E7" t="s">
        <v>214</v>
      </c>
      <c r="F7">
        <f t="array" ref="F7:F24">_xlfn._xlws.FILTER(_xlfn.UNIQUE(Trans_Demand!C2:C10000),_xlfn.UNIQUE(Trans_Demand!C2:C10000)&lt;&gt;0,"")</f>
        <v>2019</v>
      </c>
      <c r="G7" s="12">
        <f>SUMIFS(Trans_Demand!D:D,Trans_Demand!A:A,DMD_ELC!B7,Trans_Demand!C:C,DMD_ELC!F7,Trans_Demand!D:D,"&gt;0")</f>
        <v>0</v>
      </c>
      <c r="J7" t="str">
        <f>Demand!$E$65</f>
        <v>ELCMISEGRIDDMD</v>
      </c>
      <c r="K7" t="str">
        <f>"DEMAND - "&amp;Demand!$A$65&amp;" "&amp;Demand!$B$65&amp;" "&amp;Demand!$C$65&amp;" "&amp;Demand!$D$65</f>
        <v xml:space="preserve">DEMAND - Electricity Miscellanous EGRID electricity demand  </v>
      </c>
      <c r="L7" t="s">
        <v>215</v>
      </c>
      <c r="M7" t="s">
        <v>216</v>
      </c>
      <c r="N7">
        <f>Demand!$G$1</f>
        <v>2019</v>
      </c>
      <c r="O7">
        <v>8.2199999999999995E-2</v>
      </c>
    </row>
    <row r="8" spans="2:15">
      <c r="B8" t="str">
        <f>Demand!$E$65</f>
        <v>ELCMISEGRIDDMD</v>
      </c>
      <c r="C8" t="str">
        <f>"DEMAND - "&amp;Demand!$A$65&amp;" "&amp;Demand!$B$65&amp;" "&amp;Demand!$C$65&amp;" "&amp;Demand!$D$65</f>
        <v xml:space="preserve">DEMAND - Electricity Miscellanous EGRID electricity demand  </v>
      </c>
      <c r="D8" t="str">
        <f>_xlfn.XLOOKUP(B8,Trans_Demand!A:A,Trans_Demand!B:B)</f>
        <v>TJ</v>
      </c>
      <c r="E8" t="s">
        <v>214</v>
      </c>
      <c r="F8">
        <v>2020</v>
      </c>
      <c r="G8" s="12">
        <f>SUMIFS(Trans_Demand!D:D,Trans_Demand!A:A,DMD_ELC!B8,Trans_Demand!C:C,DMD_ELC!F8,Trans_Demand!D:D,"&gt;0")</f>
        <v>0</v>
      </c>
      <c r="J8" t="str">
        <f>Demand!$E$65</f>
        <v>ELCMISEGRIDDMD</v>
      </c>
      <c r="K8" t="str">
        <f>"DEMAND - "&amp;Demand!$A$65&amp;" "&amp;Demand!$B$65&amp;" "&amp;Demand!$C$65&amp;" "&amp;Demand!$D$65</f>
        <v xml:space="preserve">DEMAND - Electricity Miscellanous EGRID electricity demand  </v>
      </c>
      <c r="L8" t="s">
        <v>215</v>
      </c>
      <c r="M8" t="s">
        <v>217</v>
      </c>
      <c r="N8">
        <f>Demand!$G$1</f>
        <v>2019</v>
      </c>
      <c r="O8">
        <v>9.5699999999999993E-2</v>
      </c>
    </row>
    <row r="9" spans="2:15">
      <c r="B9" t="str">
        <f>Demand!$E$65</f>
        <v>ELCMISEGRIDDMD</v>
      </c>
      <c r="C9" t="str">
        <f>"DEMAND - "&amp;Demand!$A$65&amp;" "&amp;Demand!$B$65&amp;" "&amp;Demand!$C$65&amp;" "&amp;Demand!$D$65</f>
        <v xml:space="preserve">DEMAND - Electricity Miscellanous EGRID electricity demand  </v>
      </c>
      <c r="D9" t="str">
        <f>_xlfn.XLOOKUP(B9,Trans_Demand!A:A,Trans_Demand!B:B)</f>
        <v>TJ</v>
      </c>
      <c r="E9" t="s">
        <v>214</v>
      </c>
      <c r="F9">
        <v>2025</v>
      </c>
      <c r="G9" s="12">
        <f>SUMIFS(Trans_Demand!D:D,Trans_Demand!A:A,DMD_ELC!B9,Trans_Demand!C:C,DMD_ELC!F9,Trans_Demand!D:D,"&gt;0")</f>
        <v>0</v>
      </c>
      <c r="J9" t="str">
        <f>Demand!$E$65</f>
        <v>ELCMISEGRIDDMD</v>
      </c>
      <c r="K9" t="str">
        <f>"DEMAND - "&amp;Demand!$A$65&amp;" "&amp;Demand!$B$65&amp;" "&amp;Demand!$C$65&amp;" "&amp;Demand!$D$65</f>
        <v xml:space="preserve">DEMAND - Electricity Miscellanous EGRID electricity demand  </v>
      </c>
      <c r="L9" t="s">
        <v>215</v>
      </c>
      <c r="M9" t="s">
        <v>218</v>
      </c>
      <c r="N9">
        <f>Demand!$G$1</f>
        <v>2019</v>
      </c>
      <c r="O9">
        <v>0.1532</v>
      </c>
    </row>
    <row r="10" spans="2:15">
      <c r="B10" t="str">
        <f>Demand!$E$65</f>
        <v>ELCMISEGRIDDMD</v>
      </c>
      <c r="C10" t="str">
        <f>"DEMAND - "&amp;Demand!$A$65&amp;" "&amp;Demand!$B$65&amp;" "&amp;Demand!$C$65&amp;" "&amp;Demand!$D$65</f>
        <v xml:space="preserve">DEMAND - Electricity Miscellanous EGRID electricity demand  </v>
      </c>
      <c r="D10" t="str">
        <f>_xlfn.XLOOKUP(B10,Trans_Demand!A:A,Trans_Demand!B:B)</f>
        <v>TJ</v>
      </c>
      <c r="E10" t="s">
        <v>214</v>
      </c>
      <c r="F10">
        <v>2030</v>
      </c>
      <c r="G10" s="12">
        <f>SUMIFS(Trans_Demand!D:D,Trans_Demand!A:A,DMD_ELC!B10,Trans_Demand!C:C,DMD_ELC!F10,Trans_Demand!D:D,"&gt;0")</f>
        <v>0</v>
      </c>
      <c r="J10" t="str">
        <f>Demand!$E$65</f>
        <v>ELCMISEGRIDDMD</v>
      </c>
      <c r="K10" t="str">
        <f>"DEMAND - "&amp;Demand!$A$65&amp;" "&amp;Demand!$B$65&amp;" "&amp;Demand!$C$65&amp;" "&amp;Demand!$D$65</f>
        <v xml:space="preserve">DEMAND - Electricity Miscellanous EGRID electricity demand  </v>
      </c>
      <c r="L10" t="s">
        <v>215</v>
      </c>
      <c r="M10" t="s">
        <v>219</v>
      </c>
      <c r="N10">
        <f>Demand!$G$1</f>
        <v>2019</v>
      </c>
      <c r="O10">
        <v>3.2000000000000002E-3</v>
      </c>
    </row>
    <row r="11" spans="2:15">
      <c r="B11" t="str">
        <f>Demand!$E$65</f>
        <v>ELCMISEGRIDDMD</v>
      </c>
      <c r="C11" t="str">
        <f>"DEMAND - "&amp;Demand!$A$65&amp;" "&amp;Demand!$B$65&amp;" "&amp;Demand!$C$65&amp;" "&amp;Demand!$D$65</f>
        <v xml:space="preserve">DEMAND - Electricity Miscellanous EGRID electricity demand  </v>
      </c>
      <c r="D11" t="str">
        <f>_xlfn.XLOOKUP(B11,Trans_Demand!A:A,Trans_Demand!B:B)</f>
        <v>TJ</v>
      </c>
      <c r="E11" t="s">
        <v>214</v>
      </c>
      <c r="F11">
        <v>2035</v>
      </c>
      <c r="G11" s="12">
        <f>SUMIFS(Trans_Demand!D:D,Trans_Demand!A:A,DMD_ELC!B11,Trans_Demand!C:C,DMD_ELC!F11,Trans_Demand!D:D,"&gt;0")</f>
        <v>0</v>
      </c>
      <c r="J11" t="str">
        <f>Demand!$E$65</f>
        <v>ELCMISEGRIDDMD</v>
      </c>
      <c r="K11" t="str">
        <f>"DEMAND - "&amp;Demand!$A$65&amp;" "&amp;Demand!$B$65&amp;" "&amp;Demand!$C$65&amp;" "&amp;Demand!$D$65</f>
        <v xml:space="preserve">DEMAND - Electricity Miscellanous EGRID electricity demand  </v>
      </c>
      <c r="L11" t="s">
        <v>215</v>
      </c>
      <c r="M11" t="s">
        <v>220</v>
      </c>
      <c r="N11">
        <f>Demand!$G$1</f>
        <v>2019</v>
      </c>
      <c r="O11">
        <v>8.1500000000000003E-2</v>
      </c>
    </row>
    <row r="12" spans="2:15">
      <c r="B12" t="str">
        <f>Demand!$E$65</f>
        <v>ELCMISEGRIDDMD</v>
      </c>
      <c r="C12" t="str">
        <f>"DEMAND - "&amp;Demand!$A$65&amp;" "&amp;Demand!$B$65&amp;" "&amp;Demand!$C$65&amp;" "&amp;Demand!$D$65</f>
        <v xml:space="preserve">DEMAND - Electricity Miscellanous EGRID electricity demand  </v>
      </c>
      <c r="D12" t="str">
        <f>_xlfn.XLOOKUP(B12,Trans_Demand!A:A,Trans_Demand!B:B)</f>
        <v>TJ</v>
      </c>
      <c r="E12" t="s">
        <v>214</v>
      </c>
      <c r="F12">
        <v>2040</v>
      </c>
      <c r="G12" s="12">
        <f>SUMIFS(Trans_Demand!D:D,Trans_Demand!A:A,DMD_ELC!B12,Trans_Demand!C:C,DMD_ELC!F12,Trans_Demand!D:D,"&gt;0")</f>
        <v>0</v>
      </c>
      <c r="J12" t="str">
        <f>Demand!$E$65</f>
        <v>ELCMISEGRIDDMD</v>
      </c>
      <c r="K12" t="str">
        <f>"DEMAND - "&amp;Demand!$A$65&amp;" "&amp;Demand!$B$65&amp;" "&amp;Demand!$C$65&amp;" "&amp;Demand!$D$65</f>
        <v xml:space="preserve">DEMAND - Electricity Miscellanous EGRID electricity demand  </v>
      </c>
      <c r="L12" t="s">
        <v>215</v>
      </c>
      <c r="M12" t="s">
        <v>221</v>
      </c>
      <c r="N12">
        <f>Demand!$G$1</f>
        <v>2019</v>
      </c>
      <c r="O12">
        <v>0.1087</v>
      </c>
    </row>
    <row r="13" spans="2:15">
      <c r="B13" t="str">
        <f>Demand!$E$65</f>
        <v>ELCMISEGRIDDMD</v>
      </c>
      <c r="C13" t="str">
        <f>"DEMAND - "&amp;Demand!$A$65&amp;" "&amp;Demand!$B$65&amp;" "&amp;Demand!$C$65&amp;" "&amp;Demand!$D$65</f>
        <v xml:space="preserve">DEMAND - Electricity Miscellanous EGRID electricity demand  </v>
      </c>
      <c r="D13" t="str">
        <f>_xlfn.XLOOKUP(B13,Trans_Demand!A:A,Trans_Demand!B:B)</f>
        <v>TJ</v>
      </c>
      <c r="E13" t="s">
        <v>214</v>
      </c>
      <c r="F13">
        <v>2045</v>
      </c>
      <c r="G13" s="12">
        <f>SUMIFS(Trans_Demand!D:D,Trans_Demand!A:A,DMD_ELC!B13,Trans_Demand!C:C,DMD_ELC!F13,Trans_Demand!D:D,"&gt;0")</f>
        <v>0</v>
      </c>
      <c r="J13" t="str">
        <f>Demand!$E$65</f>
        <v>ELCMISEGRIDDMD</v>
      </c>
      <c r="K13" t="str">
        <f>"DEMAND - "&amp;Demand!$A$65&amp;" "&amp;Demand!$B$65&amp;" "&amp;Demand!$C$65&amp;" "&amp;Demand!$D$65</f>
        <v xml:space="preserve">DEMAND - Electricity Miscellanous EGRID electricity demand  </v>
      </c>
      <c r="L13" t="s">
        <v>215</v>
      </c>
      <c r="M13" t="s">
        <v>222</v>
      </c>
      <c r="N13">
        <f>Demand!$G$1</f>
        <v>2019</v>
      </c>
      <c r="O13">
        <v>0.1381</v>
      </c>
    </row>
    <row r="14" spans="2:15">
      <c r="B14" t="str">
        <f>Demand!$E$65</f>
        <v>ELCMISEGRIDDMD</v>
      </c>
      <c r="C14" t="str">
        <f>"DEMAND - "&amp;Demand!$A$65&amp;" "&amp;Demand!$B$65&amp;" "&amp;Demand!$C$65&amp;" "&amp;Demand!$D$65</f>
        <v xml:space="preserve">DEMAND - Electricity Miscellanous EGRID electricity demand  </v>
      </c>
      <c r="D14" t="str">
        <f>_xlfn.XLOOKUP(B14,Trans_Demand!A:A,Trans_Demand!B:B)</f>
        <v>TJ</v>
      </c>
      <c r="E14" t="s">
        <v>214</v>
      </c>
      <c r="F14">
        <v>2050</v>
      </c>
      <c r="G14" s="12">
        <f>SUMIFS(Trans_Demand!D:D,Trans_Demand!A:A,DMD_ELC!B14,Trans_Demand!C:C,DMD_ELC!F14,Trans_Demand!D:D,"&gt;0")</f>
        <v>0</v>
      </c>
      <c r="J14" t="str">
        <f>Demand!$E$65</f>
        <v>ELCMISEGRIDDMD</v>
      </c>
      <c r="K14" t="str">
        <f>"DEMAND - "&amp;Demand!$A$65&amp;" "&amp;Demand!$B$65&amp;" "&amp;Demand!$C$65&amp;" "&amp;Demand!$D$65</f>
        <v xml:space="preserve">DEMAND - Electricity Miscellanous EGRID electricity demand  </v>
      </c>
      <c r="L14" t="s">
        <v>215</v>
      </c>
      <c r="M14" t="s">
        <v>223</v>
      </c>
      <c r="N14">
        <f>Demand!$G$1</f>
        <v>2019</v>
      </c>
      <c r="O14">
        <v>3.2000000000000002E-3</v>
      </c>
    </row>
    <row r="15" spans="2:15">
      <c r="B15" t="str">
        <f>Demand!$E$65</f>
        <v>ELCMISEGRIDDMD</v>
      </c>
      <c r="C15" t="str">
        <f>"DEMAND - "&amp;Demand!$A$65&amp;" "&amp;Demand!$B$65&amp;" "&amp;Demand!$C$65&amp;" "&amp;Demand!$D$65</f>
        <v xml:space="preserve">DEMAND - Electricity Miscellanous EGRID electricity demand  </v>
      </c>
      <c r="D15" t="str">
        <f>_xlfn.XLOOKUP(B15,Trans_Demand!A:A,Trans_Demand!B:B)</f>
        <v>TJ</v>
      </c>
      <c r="E15" t="s">
        <v>214</v>
      </c>
      <c r="F15">
        <v>2055</v>
      </c>
      <c r="G15" s="12">
        <f>SUMIFS(Trans_Demand!D:D,Trans_Demand!A:A,DMD_ELC!B15,Trans_Demand!C:C,DMD_ELC!F15,Trans_Demand!D:D,"&gt;0")</f>
        <v>0</v>
      </c>
      <c r="J15" t="str">
        <f>Demand!$E$65</f>
        <v>ELCMISEGRIDDMD</v>
      </c>
      <c r="K15" t="str">
        <f>"DEMAND - "&amp;Demand!$A$65&amp;" "&amp;Demand!$B$65&amp;" "&amp;Demand!$C$65&amp;" "&amp;Demand!$D$65</f>
        <v xml:space="preserve">DEMAND - Electricity Miscellanous EGRID electricity demand  </v>
      </c>
      <c r="L15" t="s">
        <v>215</v>
      </c>
      <c r="M15" t="s">
        <v>224</v>
      </c>
      <c r="N15">
        <f>Demand!$G$1</f>
        <v>2019</v>
      </c>
      <c r="O15">
        <v>9.7500000000000003E-2</v>
      </c>
    </row>
    <row r="16" spans="2:15">
      <c r="B16" t="str">
        <f>Demand!$E$65</f>
        <v>ELCMISEGRIDDMD</v>
      </c>
      <c r="C16" t="str">
        <f>"DEMAND - "&amp;Demand!$A$65&amp;" "&amp;Demand!$B$65&amp;" "&amp;Demand!$C$65&amp;" "&amp;Demand!$D$65</f>
        <v xml:space="preserve">DEMAND - Electricity Miscellanous EGRID electricity demand  </v>
      </c>
      <c r="D16" t="str">
        <f>_xlfn.XLOOKUP(B16,Trans_Demand!A:A,Trans_Demand!B:B)</f>
        <v>TJ</v>
      </c>
      <c r="E16" t="s">
        <v>214</v>
      </c>
      <c r="F16">
        <v>2060</v>
      </c>
      <c r="G16" s="12">
        <f>SUMIFS(Trans_Demand!D:D,Trans_Demand!A:A,DMD_ELC!B16,Trans_Demand!C:C,DMD_ELC!F16,Trans_Demand!D:D,"&gt;0")</f>
        <v>0</v>
      </c>
      <c r="J16" t="str">
        <f>Demand!$E$65</f>
        <v>ELCMISEGRIDDMD</v>
      </c>
      <c r="K16" t="str">
        <f>"DEMAND - "&amp;Demand!$A$65&amp;" "&amp;Demand!$B$65&amp;" "&amp;Demand!$C$65&amp;" "&amp;Demand!$D$65</f>
        <v xml:space="preserve">DEMAND - Electricity Miscellanous EGRID electricity demand  </v>
      </c>
      <c r="L16" t="s">
        <v>215</v>
      </c>
      <c r="M16" t="s">
        <v>225</v>
      </c>
      <c r="N16">
        <f>Demand!$G$1</f>
        <v>2019</v>
      </c>
      <c r="O16">
        <v>0.1087</v>
      </c>
    </row>
    <row r="17" spans="2:15">
      <c r="B17" t="str">
        <f>Demand!$E$65</f>
        <v>ELCMISEGRIDDMD</v>
      </c>
      <c r="C17" t="str">
        <f>"DEMAND - "&amp;Demand!$A$65&amp;" "&amp;Demand!$B$65&amp;" "&amp;Demand!$C$65&amp;" "&amp;Demand!$D$65</f>
        <v xml:space="preserve">DEMAND - Electricity Miscellanous EGRID electricity demand  </v>
      </c>
      <c r="D17" t="str">
        <f>_xlfn.XLOOKUP(B17,Trans_Demand!A:A,Trans_Demand!B:B)</f>
        <v>TJ</v>
      </c>
      <c r="E17" t="s">
        <v>214</v>
      </c>
      <c r="F17">
        <v>2065</v>
      </c>
      <c r="G17" s="12">
        <f>SUMIFS(Trans_Demand!D:D,Trans_Demand!A:A,DMD_ELC!B17,Trans_Demand!C:C,DMD_ELC!F17,Trans_Demand!D:D,"&gt;0")</f>
        <v>0</v>
      </c>
      <c r="J17" t="str">
        <f>Demand!$E$65</f>
        <v>ELCMISEGRIDDMD</v>
      </c>
      <c r="K17" t="str">
        <f>"DEMAND - "&amp;Demand!$A$65&amp;" "&amp;Demand!$B$65&amp;" "&amp;Demand!$C$65&amp;" "&amp;Demand!$D$65</f>
        <v xml:space="preserve">DEMAND - Electricity Miscellanous EGRID electricity demand  </v>
      </c>
      <c r="L17" t="s">
        <v>215</v>
      </c>
      <c r="M17" t="s">
        <v>226</v>
      </c>
      <c r="N17">
        <f>Demand!$G$1</f>
        <v>2019</v>
      </c>
      <c r="O17">
        <v>0.12529999999999999</v>
      </c>
    </row>
    <row r="18" spans="2:15">
      <c r="B18" t="str">
        <f>Demand!$E$65</f>
        <v>ELCMISEGRIDDMD</v>
      </c>
      <c r="C18" t="str">
        <f>"DEMAND - "&amp;Demand!$A$65&amp;" "&amp;Demand!$B$65&amp;" "&amp;Demand!$C$65&amp;" "&amp;Demand!$D$65</f>
        <v xml:space="preserve">DEMAND - Electricity Miscellanous EGRID electricity demand  </v>
      </c>
      <c r="D18" t="str">
        <f>_xlfn.XLOOKUP(B18,Trans_Demand!A:A,Trans_Demand!B:B)</f>
        <v>TJ</v>
      </c>
      <c r="E18" t="s">
        <v>214</v>
      </c>
      <c r="F18">
        <v>2070</v>
      </c>
      <c r="G18" s="12">
        <f>SUMIFS(Trans_Demand!D:D,Trans_Demand!A:A,DMD_ELC!B18,Trans_Demand!C:C,DMD_ELC!F18,Trans_Demand!D:D,"&gt;0")</f>
        <v>0</v>
      </c>
      <c r="J18" t="str">
        <f>Demand!$E$65</f>
        <v>ELCMISEGRIDDMD</v>
      </c>
      <c r="K18" t="str">
        <f>"DEMAND - "&amp;Demand!$A$65&amp;" "&amp;Demand!$B$65&amp;" "&amp;Demand!$C$65&amp;" "&amp;Demand!$D$65</f>
        <v xml:space="preserve">DEMAND - Electricity Miscellanous EGRID electricity demand  </v>
      </c>
      <c r="L18" t="s">
        <v>215</v>
      </c>
      <c r="M18" t="s">
        <v>227</v>
      </c>
      <c r="N18">
        <f>Demand!$G$1</f>
        <v>2019</v>
      </c>
      <c r="O18">
        <v>2.7000000000000001E-3</v>
      </c>
    </row>
    <row r="19" spans="2:15">
      <c r="B19" t="str">
        <f>Demand!$E$65</f>
        <v>ELCMISEGRIDDMD</v>
      </c>
      <c r="C19" t="str">
        <f>"DEMAND - "&amp;Demand!$A$65&amp;" "&amp;Demand!$B$65&amp;" "&amp;Demand!$C$65&amp;" "&amp;Demand!$D$65</f>
        <v xml:space="preserve">DEMAND - Electricity Miscellanous EGRID electricity demand  </v>
      </c>
      <c r="D19" t="str">
        <f>_xlfn.XLOOKUP(B19,Trans_Demand!A:A,Trans_Demand!B:B)</f>
        <v>TJ</v>
      </c>
      <c r="E19" t="s">
        <v>214</v>
      </c>
      <c r="F19">
        <v>2075</v>
      </c>
      <c r="G19" s="12">
        <f>SUMIFS(Trans_Demand!D:D,Trans_Demand!A:A,DMD_ELC!B19,Trans_Demand!C:C,DMD_ELC!F19,Trans_Demand!D:D,"&gt;0")</f>
        <v>0</v>
      </c>
      <c r="J19" t="str">
        <f>Demand!$E$65</f>
        <v>ELCMISEGRIDDMD</v>
      </c>
      <c r="K19" t="str">
        <f>"DEMAND - "&amp;Demand!$A$65&amp;" "&amp;Demand!$B$65&amp;" "&amp;Demand!$C$65&amp;" "&amp;Demand!$D$65</f>
        <v xml:space="preserve">DEMAND - Electricity Miscellanous EGRID electricity demand  </v>
      </c>
      <c r="L19" t="s">
        <v>215</v>
      </c>
      <c r="M19" t="s">
        <v>216</v>
      </c>
      <c r="N19">
        <v>2100</v>
      </c>
      <c r="O19">
        <v>8.2199999999999995E-2</v>
      </c>
    </row>
    <row r="20" spans="2:15">
      <c r="B20" t="str">
        <f>Demand!$E$65</f>
        <v>ELCMISEGRIDDMD</v>
      </c>
      <c r="C20" t="str">
        <f>"DEMAND - "&amp;Demand!$A$65&amp;" "&amp;Demand!$B$65&amp;" "&amp;Demand!$C$65&amp;" "&amp;Demand!$D$65</f>
        <v xml:space="preserve">DEMAND - Electricity Miscellanous EGRID electricity demand  </v>
      </c>
      <c r="D20" t="str">
        <f>_xlfn.XLOOKUP(B20,Trans_Demand!A:A,Trans_Demand!B:B)</f>
        <v>TJ</v>
      </c>
      <c r="E20" t="s">
        <v>214</v>
      </c>
      <c r="F20">
        <v>2080</v>
      </c>
      <c r="G20" s="12">
        <f>SUMIFS(Trans_Demand!D:D,Trans_Demand!A:A,DMD_ELC!B20,Trans_Demand!C:C,DMD_ELC!F20,Trans_Demand!D:D,"&gt;0")</f>
        <v>0</v>
      </c>
      <c r="J20" t="str">
        <f>Demand!$E$65</f>
        <v>ELCMISEGRIDDMD</v>
      </c>
      <c r="K20" t="str">
        <f>"DEMAND - "&amp;Demand!$A$65&amp;" "&amp;Demand!$B$65&amp;" "&amp;Demand!$C$65&amp;" "&amp;Demand!$D$65</f>
        <v xml:space="preserve">DEMAND - Electricity Miscellanous EGRID electricity demand  </v>
      </c>
      <c r="L20" t="s">
        <v>215</v>
      </c>
      <c r="M20" t="s">
        <v>217</v>
      </c>
      <c r="N20">
        <v>2100</v>
      </c>
      <c r="O20">
        <v>9.5699999999999993E-2</v>
      </c>
    </row>
    <row r="21" spans="2:15">
      <c r="B21" t="str">
        <f>Demand!$E$65</f>
        <v>ELCMISEGRIDDMD</v>
      </c>
      <c r="C21" t="str">
        <f>"DEMAND - "&amp;Demand!$A$65&amp;" "&amp;Demand!$B$65&amp;" "&amp;Demand!$C$65&amp;" "&amp;Demand!$D$65</f>
        <v xml:space="preserve">DEMAND - Electricity Miscellanous EGRID electricity demand  </v>
      </c>
      <c r="D21" t="str">
        <f>_xlfn.XLOOKUP(B21,Trans_Demand!A:A,Trans_Demand!B:B)</f>
        <v>TJ</v>
      </c>
      <c r="E21" t="s">
        <v>214</v>
      </c>
      <c r="F21">
        <v>2085</v>
      </c>
      <c r="G21" s="12">
        <f>SUMIFS(Trans_Demand!D:D,Trans_Demand!A:A,DMD_ELC!B21,Trans_Demand!C:C,DMD_ELC!F21,Trans_Demand!D:D,"&gt;0")</f>
        <v>0</v>
      </c>
      <c r="J21" t="str">
        <f>Demand!$E$65</f>
        <v>ELCMISEGRIDDMD</v>
      </c>
      <c r="K21" t="str">
        <f>"DEMAND - "&amp;Demand!$A$65&amp;" "&amp;Demand!$B$65&amp;" "&amp;Demand!$C$65&amp;" "&amp;Demand!$D$65</f>
        <v xml:space="preserve">DEMAND - Electricity Miscellanous EGRID electricity demand  </v>
      </c>
      <c r="L21" t="s">
        <v>215</v>
      </c>
      <c r="M21" t="s">
        <v>218</v>
      </c>
      <c r="N21">
        <v>2100</v>
      </c>
      <c r="O21">
        <v>0.1532</v>
      </c>
    </row>
    <row r="22" spans="2:15">
      <c r="B22" t="str">
        <f>Demand!$E$65</f>
        <v>ELCMISEGRIDDMD</v>
      </c>
      <c r="C22" t="str">
        <f>"DEMAND - "&amp;Demand!$A$65&amp;" "&amp;Demand!$B$65&amp;" "&amp;Demand!$C$65&amp;" "&amp;Demand!$D$65</f>
        <v xml:space="preserve">DEMAND - Electricity Miscellanous EGRID electricity demand  </v>
      </c>
      <c r="D22" t="str">
        <f>_xlfn.XLOOKUP(B22,Trans_Demand!A:A,Trans_Demand!B:B)</f>
        <v>TJ</v>
      </c>
      <c r="E22" t="s">
        <v>214</v>
      </c>
      <c r="F22">
        <v>2090</v>
      </c>
      <c r="G22" s="12">
        <f>SUMIFS(Trans_Demand!D:D,Trans_Demand!A:A,DMD_ELC!B22,Trans_Demand!C:C,DMD_ELC!F22,Trans_Demand!D:D,"&gt;0")</f>
        <v>0</v>
      </c>
      <c r="J22" t="str">
        <f>Demand!$E$65</f>
        <v>ELCMISEGRIDDMD</v>
      </c>
      <c r="K22" t="str">
        <f>"DEMAND - "&amp;Demand!$A$65&amp;" "&amp;Demand!$B$65&amp;" "&amp;Demand!$C$65&amp;" "&amp;Demand!$D$65</f>
        <v xml:space="preserve">DEMAND - Electricity Miscellanous EGRID electricity demand  </v>
      </c>
      <c r="L22" t="s">
        <v>215</v>
      </c>
      <c r="M22" t="s">
        <v>219</v>
      </c>
      <c r="N22">
        <v>2100</v>
      </c>
      <c r="O22">
        <v>3.2000000000000002E-3</v>
      </c>
    </row>
    <row r="23" spans="2:15">
      <c r="B23" t="str">
        <f>Demand!$E$65</f>
        <v>ELCMISEGRIDDMD</v>
      </c>
      <c r="C23" t="str">
        <f>"DEMAND - "&amp;Demand!$A$65&amp;" "&amp;Demand!$B$65&amp;" "&amp;Demand!$C$65&amp;" "&amp;Demand!$D$65</f>
        <v xml:space="preserve">DEMAND - Electricity Miscellanous EGRID electricity demand  </v>
      </c>
      <c r="D23" t="str">
        <f>_xlfn.XLOOKUP(B23,Trans_Demand!A:A,Trans_Demand!B:B)</f>
        <v>TJ</v>
      </c>
      <c r="E23" t="s">
        <v>214</v>
      </c>
      <c r="F23">
        <v>2095</v>
      </c>
      <c r="G23" s="12">
        <f>SUMIFS(Trans_Demand!D:D,Trans_Demand!A:A,DMD_ELC!B23,Trans_Demand!C:C,DMD_ELC!F23,Trans_Demand!D:D,"&gt;0")</f>
        <v>0</v>
      </c>
      <c r="J23" t="str">
        <f>Demand!$E$65</f>
        <v>ELCMISEGRIDDMD</v>
      </c>
      <c r="K23" t="str">
        <f>"DEMAND - "&amp;Demand!$A$65&amp;" "&amp;Demand!$B$65&amp;" "&amp;Demand!$C$65&amp;" "&amp;Demand!$D$65</f>
        <v xml:space="preserve">DEMAND - Electricity Miscellanous EGRID electricity demand  </v>
      </c>
      <c r="L23" t="s">
        <v>215</v>
      </c>
      <c r="M23" t="s">
        <v>220</v>
      </c>
      <c r="N23">
        <v>2100</v>
      </c>
      <c r="O23">
        <v>8.1500000000000003E-2</v>
      </c>
    </row>
    <row r="24" spans="2:15">
      <c r="B24" t="str">
        <f>Demand!$E$65</f>
        <v>ELCMISEGRIDDMD</v>
      </c>
      <c r="C24" t="str">
        <f>"DEMAND - "&amp;Demand!$A$65&amp;" "&amp;Demand!$B$65&amp;" "&amp;Demand!$C$65&amp;" "&amp;Demand!$D$65</f>
        <v xml:space="preserve">DEMAND - Electricity Miscellanous EGRID electricity demand  </v>
      </c>
      <c r="D24" t="str">
        <f>_xlfn.XLOOKUP(B24,Trans_Demand!A:A,Trans_Demand!B:B)</f>
        <v>TJ</v>
      </c>
      <c r="E24" t="s">
        <v>214</v>
      </c>
      <c r="F24">
        <v>2100</v>
      </c>
      <c r="G24" s="12">
        <f>SUMIFS(Trans_Demand!D:D,Trans_Demand!A:A,DMD_ELC!B24,Trans_Demand!C:C,DMD_ELC!F24,Trans_Demand!D:D,"&gt;0")</f>
        <v>0</v>
      </c>
      <c r="J24" t="str">
        <f>Demand!$E$65</f>
        <v>ELCMISEGRIDDMD</v>
      </c>
      <c r="K24" t="str">
        <f>"DEMAND - "&amp;Demand!$A$65&amp;" "&amp;Demand!$B$65&amp;" "&amp;Demand!$C$65&amp;" "&amp;Demand!$D$65</f>
        <v xml:space="preserve">DEMAND - Electricity Miscellanous EGRID electricity demand  </v>
      </c>
      <c r="L24" t="s">
        <v>215</v>
      </c>
      <c r="M24" t="s">
        <v>221</v>
      </c>
      <c r="N24">
        <v>2100</v>
      </c>
      <c r="O24">
        <v>0.1087</v>
      </c>
    </row>
    <row r="25" spans="2:15">
      <c r="B25" t="str">
        <f>Demand!$E$65</f>
        <v>ELCMISEGRIDDMD</v>
      </c>
      <c r="C25" t="str">
        <f>"DEMAND - "&amp;Demand!$A$65&amp;" "&amp;Demand!$B$65&amp;" "&amp;Demand!$C$65&amp;" "&amp;Demand!$D$65</f>
        <v xml:space="preserve">DEMAND - Electricity Miscellanous EGRID electricity demand  </v>
      </c>
      <c r="D25" t="str">
        <f>_xlfn.XLOOKUP(B25,Trans_Demand!A:A,Trans_Demand!B:B)</f>
        <v>TJ</v>
      </c>
      <c r="E25" t="s">
        <v>214</v>
      </c>
      <c r="F25">
        <v>0</v>
      </c>
      <c r="G25" s="12">
        <v>5</v>
      </c>
      <c r="J25" t="str">
        <f>Demand!$E$65</f>
        <v>ELCMISEGRIDDMD</v>
      </c>
      <c r="K25" t="str">
        <f>"DEMAND - "&amp;Demand!$A$65&amp;" "&amp;Demand!$B$65&amp;" "&amp;Demand!$C$65&amp;" "&amp;Demand!$D$65</f>
        <v xml:space="preserve">DEMAND - Electricity Miscellanous EGRID electricity demand  </v>
      </c>
      <c r="L25" t="s">
        <v>215</v>
      </c>
      <c r="M25" t="s">
        <v>222</v>
      </c>
      <c r="N25">
        <v>2100</v>
      </c>
      <c r="O25">
        <v>0.1381</v>
      </c>
    </row>
    <row r="26" spans="2:15">
      <c r="G26" s="11"/>
      <c r="J26" t="str">
        <f>Demand!$E$65</f>
        <v>ELCMISEGRIDDMD</v>
      </c>
      <c r="K26" t="str">
        <f>"DEMAND - "&amp;Demand!$A$65&amp;" "&amp;Demand!$B$65&amp;" "&amp;Demand!$C$65&amp;" "&amp;Demand!$D$65</f>
        <v xml:space="preserve">DEMAND - Electricity Miscellanous EGRID electricity demand  </v>
      </c>
      <c r="L26" t="s">
        <v>215</v>
      </c>
      <c r="M26" t="s">
        <v>223</v>
      </c>
      <c r="N26">
        <v>2100</v>
      </c>
      <c r="O26">
        <v>3.2000000000000002E-3</v>
      </c>
    </row>
    <row r="27" spans="2:15">
      <c r="G27" s="11"/>
      <c r="J27" t="str">
        <f>Demand!$E$65</f>
        <v>ELCMISEGRIDDMD</v>
      </c>
      <c r="K27" t="str">
        <f>"DEMAND - "&amp;Demand!$A$65&amp;" "&amp;Demand!$B$65&amp;" "&amp;Demand!$C$65&amp;" "&amp;Demand!$D$65</f>
        <v xml:space="preserve">DEMAND - Electricity Miscellanous EGRID electricity demand  </v>
      </c>
      <c r="L27" t="s">
        <v>215</v>
      </c>
      <c r="M27" t="s">
        <v>224</v>
      </c>
      <c r="N27">
        <v>2100</v>
      </c>
      <c r="O27">
        <v>9.7500000000000003E-2</v>
      </c>
    </row>
    <row r="28" spans="2:15">
      <c r="J28" t="str">
        <f>Demand!$E$65</f>
        <v>ELCMISEGRIDDMD</v>
      </c>
      <c r="K28" t="str">
        <f>"DEMAND - "&amp;Demand!$A$65&amp;" "&amp;Demand!$B$65&amp;" "&amp;Demand!$C$65&amp;" "&amp;Demand!$D$65</f>
        <v xml:space="preserve">DEMAND - Electricity Miscellanous EGRID electricity demand  </v>
      </c>
      <c r="L28" t="s">
        <v>215</v>
      </c>
      <c r="M28" t="s">
        <v>225</v>
      </c>
      <c r="N28">
        <v>2100</v>
      </c>
      <c r="O28">
        <v>0.1087</v>
      </c>
    </row>
    <row r="29" spans="2:15">
      <c r="J29" t="str">
        <f>Demand!$E$65</f>
        <v>ELCMISEGRIDDMD</v>
      </c>
      <c r="K29" t="str">
        <f>"DEMAND - "&amp;Demand!$A$65&amp;" "&amp;Demand!$B$65&amp;" "&amp;Demand!$C$65&amp;" "&amp;Demand!$D$65</f>
        <v xml:space="preserve">DEMAND - Electricity Miscellanous EGRID electricity demand  </v>
      </c>
      <c r="L29" t="s">
        <v>215</v>
      </c>
      <c r="M29" t="s">
        <v>226</v>
      </c>
      <c r="N29">
        <v>2100</v>
      </c>
      <c r="O29">
        <v>0.12529999999999999</v>
      </c>
    </row>
    <row r="30" spans="2:15">
      <c r="J30" t="str">
        <f>Demand!$E$65</f>
        <v>ELCMISEGRIDDMD</v>
      </c>
      <c r="K30" t="str">
        <f>"DEMAND - "&amp;Demand!$A$65&amp;" "&amp;Demand!$B$65&amp;" "&amp;Demand!$C$65&amp;" "&amp;Demand!$D$65</f>
        <v xml:space="preserve">DEMAND - Electricity Miscellanous EGRID electricity demand  </v>
      </c>
      <c r="L30" t="s">
        <v>215</v>
      </c>
      <c r="M30" t="s">
        <v>227</v>
      </c>
      <c r="N30">
        <v>2100</v>
      </c>
      <c r="O30">
        <v>2.7000000000000001E-3</v>
      </c>
    </row>
    <row r="56" spans="2:7">
      <c r="G56" s="11"/>
    </row>
    <row r="57" spans="2:7">
      <c r="B57" s="8" t="s">
        <v>207</v>
      </c>
      <c r="C57" s="8"/>
    </row>
    <row r="58" spans="2:7">
      <c r="B58" s="9" t="s">
        <v>208</v>
      </c>
      <c r="C58" s="9" t="s">
        <v>209</v>
      </c>
      <c r="D58" s="9" t="s">
        <v>210</v>
      </c>
      <c r="E58" s="9" t="s">
        <v>206</v>
      </c>
      <c r="F58" s="9" t="s">
        <v>30</v>
      </c>
      <c r="G58" s="9" t="s">
        <v>228</v>
      </c>
    </row>
    <row r="59" spans="2:7" ht="15" customHeight="1" thickBot="1">
      <c r="B59" s="10" t="s">
        <v>213</v>
      </c>
      <c r="C59" s="10" t="s">
        <v>213</v>
      </c>
      <c r="D59" s="10" t="s">
        <v>213</v>
      </c>
      <c r="E59" s="10" t="s">
        <v>213</v>
      </c>
      <c r="F59" s="10" t="s">
        <v>213</v>
      </c>
      <c r="G59" s="10" t="s">
        <v>213</v>
      </c>
    </row>
    <row r="60" spans="2:7">
      <c r="B60" s="13"/>
      <c r="C60" s="13"/>
      <c r="D60" s="13"/>
      <c r="E60" s="13"/>
      <c r="F60" s="13"/>
      <c r="G60" s="1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229"/>
  <sheetViews>
    <sheetView topLeftCell="A123" zoomScale="60" zoomScaleNormal="60" workbookViewId="0">
      <selection activeCell="H144" sqref="H144"/>
    </sheetView>
  </sheetViews>
  <sheetFormatPr defaultRowHeight="15"/>
  <cols>
    <col min="2" max="2" width="22.5703125" bestFit="1" customWidth="1"/>
    <col min="3" max="3" width="35" bestFit="1" customWidth="1"/>
    <col min="4" max="4" width="8.28515625" bestFit="1" customWidth="1"/>
    <col min="5" max="5" width="10.42578125" bestFit="1" customWidth="1"/>
    <col min="6" max="6" width="9.140625" bestFit="1" customWidth="1"/>
    <col min="7" max="7" width="10.42578125" bestFit="1" customWidth="1"/>
  </cols>
  <sheetData>
    <row r="2" spans="2:7">
      <c r="B2" s="8" t="s">
        <v>207</v>
      </c>
    </row>
    <row r="3" spans="2:7">
      <c r="B3" s="9" t="s">
        <v>208</v>
      </c>
      <c r="C3" s="9" t="s">
        <v>209</v>
      </c>
      <c r="D3" s="9" t="s">
        <v>210</v>
      </c>
      <c r="E3" s="9" t="s">
        <v>206</v>
      </c>
      <c r="F3" s="9" t="s">
        <v>30</v>
      </c>
      <c r="G3" s="9" t="s">
        <v>228</v>
      </c>
    </row>
    <row r="4" spans="2:7" ht="15.75" customHeight="1" thickBot="1">
      <c r="B4" s="10" t="s">
        <v>213</v>
      </c>
      <c r="C4" s="10" t="s">
        <v>213</v>
      </c>
      <c r="D4" s="10" t="s">
        <v>213</v>
      </c>
      <c r="E4" s="10" t="s">
        <v>213</v>
      </c>
      <c r="F4" s="10" t="s">
        <v>213</v>
      </c>
      <c r="G4" s="10" t="s">
        <v>213</v>
      </c>
    </row>
    <row r="5" spans="2:7">
      <c r="B5" t="str">
        <f>Trans_Demand!A956</f>
        <v>WASSOLPAPDMD</v>
      </c>
      <c r="C5" t="str">
        <f>"DEMAND - "&amp;_xlfn.XLOOKUP(B5,Demand!E:E,Demand!A:A)&amp;" "&amp;_xlfn.XLOOKUP(B5,Demand!E:E,Demand!B:B)&amp;" "&amp;_xlfn.XLOOKUP(B5,Demand!E:E,Demand!C:C)&amp;" "&amp;_xlfn.XLOOKUP(B5,Demand!E:E,Demand!D:D)</f>
        <v xml:space="preserve">DEMAND - Waste Solid Paper </v>
      </c>
      <c r="D5" t="str">
        <f>Trans_Demand!B956</f>
        <v>k tonnes</v>
      </c>
      <c r="E5" t="s">
        <v>214</v>
      </c>
      <c r="F5" s="11">
        <f>Trans_Demand!C956</f>
        <v>2019</v>
      </c>
      <c r="G5" s="11">
        <f>Trans_Demand!D956</f>
        <v>3375.0740840299131</v>
      </c>
    </row>
    <row r="6" spans="2:7">
      <c r="B6" t="str">
        <f>Trans_Demand!A957</f>
        <v>WASSOLPAPDMD</v>
      </c>
      <c r="C6" t="str">
        <f>"DEMAND - "&amp;_xlfn.XLOOKUP(B6,Demand!E:E,Demand!A:A)&amp;" "&amp;_xlfn.XLOOKUP(B6,Demand!E:E,Demand!B:B)&amp;" "&amp;_xlfn.XLOOKUP(B6,Demand!E:E,Demand!C:C)&amp;" "&amp;_xlfn.XLOOKUP(B6,Demand!E:E,Demand!D:D)</f>
        <v xml:space="preserve">DEMAND - Waste Solid Paper </v>
      </c>
      <c r="D6" t="str">
        <f>Trans_Demand!B957</f>
        <v>k tonnes</v>
      </c>
      <c r="E6" t="s">
        <v>214</v>
      </c>
      <c r="F6" s="11">
        <f>Trans_Demand!C957</f>
        <v>2020</v>
      </c>
      <c r="G6" s="11">
        <f>Trans_Demand!D957</f>
        <v>3391.9494544500621</v>
      </c>
    </row>
    <row r="7" spans="2:7">
      <c r="B7" t="str">
        <f>Trans_Demand!A958</f>
        <v>WASSOLPAPDMD</v>
      </c>
      <c r="C7" t="str">
        <f>"DEMAND - "&amp;_xlfn.XLOOKUP(B7,Demand!E:E,Demand!A:A)&amp;" "&amp;_xlfn.XLOOKUP(B7,Demand!E:E,Demand!B:B)&amp;" "&amp;_xlfn.XLOOKUP(B7,Demand!E:E,Demand!C:C)&amp;" "&amp;_xlfn.XLOOKUP(B7,Demand!E:E,Demand!D:D)</f>
        <v xml:space="preserve">DEMAND - Waste Solid Paper </v>
      </c>
      <c r="D7" t="str">
        <f>Trans_Demand!B958</f>
        <v>k tonnes</v>
      </c>
      <c r="E7" t="s">
        <v>214</v>
      </c>
      <c r="F7" s="11">
        <f>Trans_Demand!C958</f>
        <v>2025</v>
      </c>
      <c r="G7" s="11">
        <f>Trans_Demand!D958</f>
        <v>3476.7481908113132</v>
      </c>
    </row>
    <row r="8" spans="2:7">
      <c r="B8" t="str">
        <f>Trans_Demand!A959</f>
        <v>WASSOLPAPDMD</v>
      </c>
      <c r="C8" t="str">
        <f>"DEMAND - "&amp;_xlfn.XLOOKUP(B8,Demand!E:E,Demand!A:A)&amp;" "&amp;_xlfn.XLOOKUP(B8,Demand!E:E,Demand!B:B)&amp;" "&amp;_xlfn.XLOOKUP(B8,Demand!E:E,Demand!C:C)&amp;" "&amp;_xlfn.XLOOKUP(B8,Demand!E:E,Demand!D:D)</f>
        <v xml:space="preserve">DEMAND - Waste Solid Paper </v>
      </c>
      <c r="D8" t="str">
        <f>Trans_Demand!B959</f>
        <v>k tonnes</v>
      </c>
      <c r="E8" t="s">
        <v>214</v>
      </c>
      <c r="F8" s="11">
        <f>Trans_Demand!C959</f>
        <v>2030</v>
      </c>
      <c r="G8" s="11">
        <f>Trans_Demand!D959</f>
        <v>3563.6668955815949</v>
      </c>
    </row>
    <row r="9" spans="2:7">
      <c r="B9" t="str">
        <f>Trans_Demand!A960</f>
        <v>WASSOLPAPDMD</v>
      </c>
      <c r="C9" t="str">
        <f>"DEMAND - "&amp;_xlfn.XLOOKUP(B9,Demand!E:E,Demand!A:A)&amp;" "&amp;_xlfn.XLOOKUP(B9,Demand!E:E,Demand!B:B)&amp;" "&amp;_xlfn.XLOOKUP(B9,Demand!E:E,Demand!C:C)&amp;" "&amp;_xlfn.XLOOKUP(B9,Demand!E:E,Demand!D:D)</f>
        <v xml:space="preserve">DEMAND - Waste Solid Paper </v>
      </c>
      <c r="D9" t="str">
        <f>Trans_Demand!B960</f>
        <v>k tonnes</v>
      </c>
      <c r="E9" t="s">
        <v>214</v>
      </c>
      <c r="F9" s="11">
        <f>Trans_Demand!C960</f>
        <v>2035</v>
      </c>
      <c r="G9" s="11">
        <f>Trans_Demand!D960</f>
        <v>3652.7585679711351</v>
      </c>
    </row>
    <row r="10" spans="2:7">
      <c r="B10" t="str">
        <f>Trans_Demand!A961</f>
        <v>WASSOLPAPDMD</v>
      </c>
      <c r="C10" t="str">
        <f>"DEMAND - "&amp;_xlfn.XLOOKUP(B10,Demand!E:E,Demand!A:A)&amp;" "&amp;_xlfn.XLOOKUP(B10,Demand!E:E,Demand!B:B)&amp;" "&amp;_xlfn.XLOOKUP(B10,Demand!E:E,Demand!C:C)&amp;" "&amp;_xlfn.XLOOKUP(B10,Demand!E:E,Demand!D:D)</f>
        <v xml:space="preserve">DEMAND - Waste Solid Paper </v>
      </c>
      <c r="D10" t="str">
        <f>Trans_Demand!B961</f>
        <v>k tonnes</v>
      </c>
      <c r="E10" t="s">
        <v>214</v>
      </c>
      <c r="F10" s="11">
        <f>Trans_Demand!C961</f>
        <v>2040</v>
      </c>
      <c r="G10" s="11">
        <f>Trans_Demand!D961</f>
        <v>3744.0775321704132</v>
      </c>
    </row>
    <row r="11" spans="2:7">
      <c r="B11" t="str">
        <f>Trans_Demand!A962</f>
        <v>WASSOLPAPDMD</v>
      </c>
      <c r="C11" t="str">
        <f>"DEMAND - "&amp;_xlfn.XLOOKUP(B11,Demand!E:E,Demand!A:A)&amp;" "&amp;_xlfn.XLOOKUP(B11,Demand!E:E,Demand!B:B)&amp;" "&amp;_xlfn.XLOOKUP(B11,Demand!E:E,Demand!C:C)&amp;" "&amp;_xlfn.XLOOKUP(B11,Demand!E:E,Demand!D:D)</f>
        <v xml:space="preserve">DEMAND - Waste Solid Paper </v>
      </c>
      <c r="D11" t="str">
        <f>Trans_Demand!B962</f>
        <v>k tonnes</v>
      </c>
      <c r="E11" t="s">
        <v>214</v>
      </c>
      <c r="F11" s="11">
        <f>Trans_Demand!C962</f>
        <v>2045</v>
      </c>
      <c r="G11" s="11">
        <f>Trans_Demand!D962</f>
        <v>3837.6794704746731</v>
      </c>
    </row>
    <row r="12" spans="2:7">
      <c r="B12" t="str">
        <f>Trans_Demand!A963</f>
        <v>WASSOLPAPDMD</v>
      </c>
      <c r="C12" t="str">
        <f>"DEMAND - "&amp;_xlfn.XLOOKUP(B12,Demand!E:E,Demand!A:A)&amp;" "&amp;_xlfn.XLOOKUP(B12,Demand!E:E,Demand!B:B)&amp;" "&amp;_xlfn.XLOOKUP(B12,Demand!E:E,Demand!C:C)&amp;" "&amp;_xlfn.XLOOKUP(B12,Demand!E:E,Demand!D:D)</f>
        <v xml:space="preserve">DEMAND - Waste Solid Paper </v>
      </c>
      <c r="D12" t="str">
        <f>Trans_Demand!B963</f>
        <v>k tonnes</v>
      </c>
      <c r="E12" t="s">
        <v>214</v>
      </c>
      <c r="F12" s="11">
        <f>Trans_Demand!C963</f>
        <v>2050</v>
      </c>
      <c r="G12" s="11">
        <f>Trans_Demand!D963</f>
        <v>3933.6214572365402</v>
      </c>
    </row>
    <row r="13" spans="2:7">
      <c r="B13" t="str">
        <f>Trans_Demand!A964</f>
        <v>WASSOLPAPDMD</v>
      </c>
      <c r="C13" t="str">
        <f>"DEMAND - "&amp;_xlfn.XLOOKUP(B13,Demand!E:E,Demand!A:A)&amp;" "&amp;_xlfn.XLOOKUP(B13,Demand!E:E,Demand!B:B)&amp;" "&amp;_xlfn.XLOOKUP(B13,Demand!E:E,Demand!C:C)&amp;" "&amp;_xlfn.XLOOKUP(B13,Demand!E:E,Demand!D:D)</f>
        <v xml:space="preserve">DEMAND - Waste Solid Paper </v>
      </c>
      <c r="D13" t="str">
        <f>Trans_Demand!B964</f>
        <v>k tonnes</v>
      </c>
      <c r="E13" t="s">
        <v>214</v>
      </c>
      <c r="F13" s="11">
        <f>Trans_Demand!C964</f>
        <v>2055</v>
      </c>
      <c r="G13" s="11">
        <f>Trans_Demand!D964</f>
        <v>4031.961993667453</v>
      </c>
    </row>
    <row r="14" spans="2:7">
      <c r="B14" t="str">
        <f>Trans_Demand!A965</f>
        <v>WASSOLPAPDMD</v>
      </c>
      <c r="C14" t="str">
        <f>"DEMAND - "&amp;_xlfn.XLOOKUP(B14,Demand!E:E,Demand!A:A)&amp;" "&amp;_xlfn.XLOOKUP(B14,Demand!E:E,Demand!B:B)&amp;" "&amp;_xlfn.XLOOKUP(B14,Demand!E:E,Demand!C:C)&amp;" "&amp;_xlfn.XLOOKUP(B14,Demand!E:E,Demand!D:D)</f>
        <v xml:space="preserve">DEMAND - Waste Solid Paper </v>
      </c>
      <c r="D14" t="str">
        <f>Trans_Demand!B965</f>
        <v>k tonnes</v>
      </c>
      <c r="E14" t="s">
        <v>214</v>
      </c>
      <c r="F14" s="11">
        <f>Trans_Demand!C965</f>
        <v>2060</v>
      </c>
      <c r="G14" s="11">
        <f>Trans_Demand!D965</f>
        <v>4132.7610435091392</v>
      </c>
    </row>
    <row r="15" spans="2:7">
      <c r="B15" t="str">
        <f>Trans_Demand!A966</f>
        <v>WASSOLPAPDMD</v>
      </c>
      <c r="C15" t="str">
        <f>"DEMAND - "&amp;_xlfn.XLOOKUP(B15,Demand!E:E,Demand!A:A)&amp;" "&amp;_xlfn.XLOOKUP(B15,Demand!E:E,Demand!B:B)&amp;" "&amp;_xlfn.XLOOKUP(B15,Demand!E:E,Demand!C:C)&amp;" "&amp;_xlfn.XLOOKUP(B15,Demand!E:E,Demand!D:D)</f>
        <v xml:space="preserve">DEMAND - Waste Solid Paper </v>
      </c>
      <c r="D15" t="str">
        <f>Trans_Demand!B966</f>
        <v>k tonnes</v>
      </c>
      <c r="E15" t="s">
        <v>214</v>
      </c>
      <c r="F15" s="11">
        <f>Trans_Demand!C966</f>
        <v>2065</v>
      </c>
      <c r="G15" s="11">
        <f>Trans_Demand!D966</f>
        <v>4236.0800695968674</v>
      </c>
    </row>
    <row r="16" spans="2:7">
      <c r="B16" t="str">
        <f>Trans_Demand!A967</f>
        <v>WASSOLPAPDMD</v>
      </c>
      <c r="C16" t="str">
        <f>"DEMAND - "&amp;_xlfn.XLOOKUP(B16,Demand!E:E,Demand!A:A)&amp;" "&amp;_xlfn.XLOOKUP(B16,Demand!E:E,Demand!B:B)&amp;" "&amp;_xlfn.XLOOKUP(B16,Demand!E:E,Demand!C:C)&amp;" "&amp;_xlfn.XLOOKUP(B16,Demand!E:E,Demand!D:D)</f>
        <v xml:space="preserve">DEMAND - Waste Solid Paper </v>
      </c>
      <c r="D16" t="str">
        <f>Trans_Demand!B967</f>
        <v>k tonnes</v>
      </c>
      <c r="E16" t="s">
        <v>214</v>
      </c>
      <c r="F16" s="11">
        <f>Trans_Demand!C967</f>
        <v>2070</v>
      </c>
      <c r="G16" s="11">
        <f>Trans_Demand!D967</f>
        <v>4341.982071336789</v>
      </c>
    </row>
    <row r="17" spans="2:7">
      <c r="B17" t="str">
        <f>Trans_Demand!A968</f>
        <v>WASSOLPAPDMD</v>
      </c>
      <c r="C17" t="str">
        <f>"DEMAND - "&amp;_xlfn.XLOOKUP(B17,Demand!E:E,Demand!A:A)&amp;" "&amp;_xlfn.XLOOKUP(B17,Demand!E:E,Demand!B:B)&amp;" "&amp;_xlfn.XLOOKUP(B17,Demand!E:E,Demand!C:C)&amp;" "&amp;_xlfn.XLOOKUP(B17,Demand!E:E,Demand!D:D)</f>
        <v xml:space="preserve">DEMAND - Waste Solid Paper </v>
      </c>
      <c r="D17" t="str">
        <f>Trans_Demand!B968</f>
        <v>k tonnes</v>
      </c>
      <c r="E17" t="s">
        <v>214</v>
      </c>
      <c r="F17" s="11">
        <f>Trans_Demand!C968</f>
        <v>2075</v>
      </c>
      <c r="G17" s="11">
        <f>Trans_Demand!D968</f>
        <v>4450.5316231202087</v>
      </c>
    </row>
    <row r="18" spans="2:7">
      <c r="B18" t="str">
        <f>Trans_Demand!A969</f>
        <v>WASSOLPAPDMD</v>
      </c>
      <c r="C18" t="str">
        <f>"DEMAND - "&amp;_xlfn.XLOOKUP(B18,Demand!E:E,Demand!A:A)&amp;" "&amp;_xlfn.XLOOKUP(B18,Demand!E:E,Demand!B:B)&amp;" "&amp;_xlfn.XLOOKUP(B18,Demand!E:E,Demand!C:C)&amp;" "&amp;_xlfn.XLOOKUP(B18,Demand!E:E,Demand!D:D)</f>
        <v xml:space="preserve">DEMAND - Waste Solid Paper </v>
      </c>
      <c r="D18" t="str">
        <f>Trans_Demand!B969</f>
        <v>k tonnes</v>
      </c>
      <c r="E18" t="s">
        <v>214</v>
      </c>
      <c r="F18" s="11">
        <f>Trans_Demand!C969</f>
        <v>2080</v>
      </c>
      <c r="G18" s="11">
        <f>Trans_Demand!D969</f>
        <v>4561.7949136982133</v>
      </c>
    </row>
    <row r="19" spans="2:7">
      <c r="B19" t="str">
        <f>Trans_Demand!A970</f>
        <v>WASSOLPAPDMD</v>
      </c>
      <c r="C19" t="str">
        <f>"DEMAND - "&amp;_xlfn.XLOOKUP(B19,Demand!E:E,Demand!A:A)&amp;" "&amp;_xlfn.XLOOKUP(B19,Demand!E:E,Demand!B:B)&amp;" "&amp;_xlfn.XLOOKUP(B19,Demand!E:E,Demand!C:C)&amp;" "&amp;_xlfn.XLOOKUP(B19,Demand!E:E,Demand!D:D)</f>
        <v xml:space="preserve">DEMAND - Waste Solid Paper </v>
      </c>
      <c r="D19" t="str">
        <f>Trans_Demand!B970</f>
        <v>k tonnes</v>
      </c>
      <c r="E19" t="s">
        <v>214</v>
      </c>
      <c r="F19" s="11">
        <f>Trans_Demand!C970</f>
        <v>2085</v>
      </c>
      <c r="G19" s="11">
        <f>Trans_Demand!D970</f>
        <v>4675.8397865406687</v>
      </c>
    </row>
    <row r="20" spans="2:7">
      <c r="B20" t="str">
        <f>Trans_Demand!A971</f>
        <v>WASSOLPAPDMD</v>
      </c>
      <c r="C20" t="str">
        <f>"DEMAND - "&amp;_xlfn.XLOOKUP(B20,Demand!E:E,Demand!A:A)&amp;" "&amp;_xlfn.XLOOKUP(B20,Demand!E:E,Demand!B:B)&amp;" "&amp;_xlfn.XLOOKUP(B20,Demand!E:E,Demand!C:C)&amp;" "&amp;_xlfn.XLOOKUP(B20,Demand!E:E,Demand!D:D)</f>
        <v xml:space="preserve">DEMAND - Waste Solid Paper </v>
      </c>
      <c r="D20" t="str">
        <f>Trans_Demand!B971</f>
        <v>k tonnes</v>
      </c>
      <c r="E20" t="s">
        <v>214</v>
      </c>
      <c r="F20" s="11">
        <f>Trans_Demand!C971</f>
        <v>2090</v>
      </c>
      <c r="G20" s="11">
        <f>Trans_Demand!D971</f>
        <v>4792.7357812041846</v>
      </c>
    </row>
    <row r="21" spans="2:7">
      <c r="B21" t="str">
        <f>Trans_Demand!A972</f>
        <v>WASSOLPAPDMD</v>
      </c>
      <c r="C21" t="str">
        <f>"DEMAND - "&amp;_xlfn.XLOOKUP(B21,Demand!E:E,Demand!A:A)&amp;" "&amp;_xlfn.XLOOKUP(B21,Demand!E:E,Demand!B:B)&amp;" "&amp;_xlfn.XLOOKUP(B21,Demand!E:E,Demand!C:C)&amp;" "&amp;_xlfn.XLOOKUP(B21,Demand!E:E,Demand!D:D)</f>
        <v xml:space="preserve">DEMAND - Waste Solid Paper </v>
      </c>
      <c r="D21" t="str">
        <f>Trans_Demand!B972</f>
        <v>k tonnes</v>
      </c>
      <c r="E21" t="s">
        <v>214</v>
      </c>
      <c r="F21" s="11">
        <f>Trans_Demand!C972</f>
        <v>2095</v>
      </c>
      <c r="G21" s="11">
        <f>Trans_Demand!D972</f>
        <v>4912.5541757342889</v>
      </c>
    </row>
    <row r="22" spans="2:7">
      <c r="B22" t="str">
        <f>Trans_Demand!A973</f>
        <v>WASSOLPAPDMD</v>
      </c>
      <c r="C22" t="str">
        <f>"DEMAND - "&amp;_xlfn.XLOOKUP(B22,Demand!E:E,Demand!A:A)&amp;" "&amp;_xlfn.XLOOKUP(B22,Demand!E:E,Demand!B:B)&amp;" "&amp;_xlfn.XLOOKUP(B22,Demand!E:E,Demand!C:C)&amp;" "&amp;_xlfn.XLOOKUP(B22,Demand!E:E,Demand!D:D)</f>
        <v xml:space="preserve">DEMAND - Waste Solid Paper </v>
      </c>
      <c r="D22" t="str">
        <f>Trans_Demand!B973</f>
        <v>k tonnes</v>
      </c>
      <c r="E22" t="s">
        <v>214</v>
      </c>
      <c r="F22" s="11">
        <f>Trans_Demand!C973</f>
        <v>2100</v>
      </c>
      <c r="G22" s="11">
        <f>Trans_Demand!D973</f>
        <v>5035.3680301276454</v>
      </c>
    </row>
    <row r="23" spans="2:7">
      <c r="B23" t="str">
        <f>B22</f>
        <v>WASSOLPAPDMD</v>
      </c>
      <c r="C23" t="str">
        <f>C22</f>
        <v xml:space="preserve">DEMAND - Waste Solid Paper </v>
      </c>
      <c r="D23" t="str">
        <f>D22</f>
        <v>k tonnes</v>
      </c>
      <c r="E23" t="str">
        <f>E22</f>
        <v>COM_PROJ</v>
      </c>
      <c r="F23" s="11">
        <v>0</v>
      </c>
      <c r="G23" s="11">
        <v>5</v>
      </c>
    </row>
    <row r="24" spans="2:7">
      <c r="B24" t="str">
        <f>Trans_Demand!A974</f>
        <v>WASSOLGLADMD</v>
      </c>
      <c r="C24" t="str">
        <f>"DEMAND - "&amp;_xlfn.XLOOKUP(B24,Demand!E:E,Demand!A:A)&amp;" "&amp;_xlfn.XLOOKUP(B24,Demand!E:E,Demand!B:B)&amp;" "&amp;_xlfn.XLOOKUP(B24,Demand!E:E,Demand!C:C)&amp;" "&amp;_xlfn.XLOOKUP(B24,Demand!E:E,Demand!D:D)</f>
        <v xml:space="preserve">DEMAND - Waste Solid Glass </v>
      </c>
      <c r="D24" t="str">
        <f>Trans_Demand!B974</f>
        <v>k tonnes</v>
      </c>
      <c r="E24" t="s">
        <v>214</v>
      </c>
      <c r="F24" s="11">
        <f>Trans_Demand!C974</f>
        <v>2019</v>
      </c>
      <c r="G24" s="11">
        <f>Trans_Demand!D974</f>
        <v>405.00889008358951</v>
      </c>
    </row>
    <row r="25" spans="2:7">
      <c r="B25" t="str">
        <f>Trans_Demand!A975</f>
        <v>WASSOLGLADMD</v>
      </c>
      <c r="C25" t="str">
        <f>"DEMAND - "&amp;_xlfn.XLOOKUP(B25,Demand!E:E,Demand!A:A)&amp;" "&amp;_xlfn.XLOOKUP(B25,Demand!E:E,Demand!B:B)&amp;" "&amp;_xlfn.XLOOKUP(B25,Demand!E:E,Demand!C:C)&amp;" "&amp;_xlfn.XLOOKUP(B25,Demand!E:E,Demand!D:D)</f>
        <v xml:space="preserve">DEMAND - Waste Solid Glass </v>
      </c>
      <c r="D25" t="str">
        <f>Trans_Demand!B975</f>
        <v>k tonnes</v>
      </c>
      <c r="E25" t="s">
        <v>214</v>
      </c>
      <c r="F25" s="11">
        <f>Trans_Demand!C975</f>
        <v>2020</v>
      </c>
      <c r="G25" s="11">
        <f>Trans_Demand!D975</f>
        <v>407.03393453400741</v>
      </c>
    </row>
    <row r="26" spans="2:7">
      <c r="B26" t="str">
        <f>Trans_Demand!A976</f>
        <v>WASSOLGLADMD</v>
      </c>
      <c r="C26" t="str">
        <f>"DEMAND - "&amp;_xlfn.XLOOKUP(B26,Demand!E:E,Demand!A:A)&amp;" "&amp;_xlfn.XLOOKUP(B26,Demand!E:E,Demand!B:B)&amp;" "&amp;_xlfn.XLOOKUP(B26,Demand!E:E,Demand!C:C)&amp;" "&amp;_xlfn.XLOOKUP(B26,Demand!E:E,Demand!D:D)</f>
        <v xml:space="preserve">DEMAND - Waste Solid Glass </v>
      </c>
      <c r="D26" t="str">
        <f>Trans_Demand!B976</f>
        <v>k tonnes</v>
      </c>
      <c r="E26" t="s">
        <v>214</v>
      </c>
      <c r="F26" s="11">
        <f>Trans_Demand!C976</f>
        <v>2025</v>
      </c>
      <c r="G26" s="11">
        <f>Trans_Demand!D976</f>
        <v>417.20978289735763</v>
      </c>
    </row>
    <row r="27" spans="2:7">
      <c r="B27" t="str">
        <f>Trans_Demand!A977</f>
        <v>WASSOLGLADMD</v>
      </c>
      <c r="C27" t="str">
        <f>"DEMAND - "&amp;_xlfn.XLOOKUP(B27,Demand!E:E,Demand!A:A)&amp;" "&amp;_xlfn.XLOOKUP(B27,Demand!E:E,Demand!B:B)&amp;" "&amp;_xlfn.XLOOKUP(B27,Demand!E:E,Demand!C:C)&amp;" "&amp;_xlfn.XLOOKUP(B27,Demand!E:E,Demand!D:D)</f>
        <v xml:space="preserve">DEMAND - Waste Solid Glass </v>
      </c>
      <c r="D27" t="str">
        <f>Trans_Demand!B977</f>
        <v>k tonnes</v>
      </c>
      <c r="E27" t="s">
        <v>214</v>
      </c>
      <c r="F27" s="11">
        <f>Trans_Demand!C977</f>
        <v>2030</v>
      </c>
      <c r="G27" s="11">
        <f>Trans_Demand!D977</f>
        <v>427.64002746979139</v>
      </c>
    </row>
    <row r="28" spans="2:7">
      <c r="B28" t="str">
        <f>Trans_Demand!A978</f>
        <v>WASSOLGLADMD</v>
      </c>
      <c r="C28" t="str">
        <f>"DEMAND - "&amp;_xlfn.XLOOKUP(B28,Demand!E:E,Demand!A:A)&amp;" "&amp;_xlfn.XLOOKUP(B28,Demand!E:E,Demand!B:B)&amp;" "&amp;_xlfn.XLOOKUP(B28,Demand!E:E,Demand!C:C)&amp;" "&amp;_xlfn.XLOOKUP(B28,Demand!E:E,Demand!D:D)</f>
        <v xml:space="preserve">DEMAND - Waste Solid Glass </v>
      </c>
      <c r="D28" t="str">
        <f>Trans_Demand!B978</f>
        <v>k tonnes</v>
      </c>
      <c r="E28" t="s">
        <v>214</v>
      </c>
      <c r="F28" s="11">
        <f>Trans_Demand!C978</f>
        <v>2035</v>
      </c>
      <c r="G28" s="11">
        <f>Trans_Demand!D978</f>
        <v>438.33102815653621</v>
      </c>
    </row>
    <row r="29" spans="2:7">
      <c r="B29" t="str">
        <f>Trans_Demand!A979</f>
        <v>WASSOLGLADMD</v>
      </c>
      <c r="C29" t="str">
        <f>"DEMAND - "&amp;_xlfn.XLOOKUP(B29,Demand!E:E,Demand!A:A)&amp;" "&amp;_xlfn.XLOOKUP(B29,Demand!E:E,Demand!B:B)&amp;" "&amp;_xlfn.XLOOKUP(B29,Demand!E:E,Demand!C:C)&amp;" "&amp;_xlfn.XLOOKUP(B29,Demand!E:E,Demand!D:D)</f>
        <v xml:space="preserve">DEMAND - Waste Solid Glass </v>
      </c>
      <c r="D29" t="str">
        <f>Trans_Demand!B979</f>
        <v>k tonnes</v>
      </c>
      <c r="E29" t="s">
        <v>214</v>
      </c>
      <c r="F29" s="11">
        <f>Trans_Demand!C979</f>
        <v>2040</v>
      </c>
      <c r="G29" s="11">
        <f>Trans_Demand!D979</f>
        <v>449.28930386044959</v>
      </c>
    </row>
    <row r="30" spans="2:7">
      <c r="B30" t="str">
        <f>Trans_Demand!A980</f>
        <v>WASSOLGLADMD</v>
      </c>
      <c r="C30" t="str">
        <f>"DEMAND - "&amp;_xlfn.XLOOKUP(B30,Demand!E:E,Demand!A:A)&amp;" "&amp;_xlfn.XLOOKUP(B30,Demand!E:E,Demand!B:B)&amp;" "&amp;_xlfn.XLOOKUP(B30,Demand!E:E,Demand!C:C)&amp;" "&amp;_xlfn.XLOOKUP(B30,Demand!E:E,Demand!D:D)</f>
        <v xml:space="preserve">DEMAND - Waste Solid Glass </v>
      </c>
      <c r="D30" t="str">
        <f>Trans_Demand!B980</f>
        <v>k tonnes</v>
      </c>
      <c r="E30" t="s">
        <v>214</v>
      </c>
      <c r="F30" s="11">
        <f>Trans_Demand!C980</f>
        <v>2045</v>
      </c>
      <c r="G30" s="11">
        <f>Trans_Demand!D980</f>
        <v>460.5215364569608</v>
      </c>
    </row>
    <row r="31" spans="2:7">
      <c r="B31" t="str">
        <f>Trans_Demand!A981</f>
        <v>WASSOLGLADMD</v>
      </c>
      <c r="C31" t="str">
        <f>"DEMAND - "&amp;_xlfn.XLOOKUP(B31,Demand!E:E,Demand!A:A)&amp;" "&amp;_xlfn.XLOOKUP(B31,Demand!E:E,Demand!B:B)&amp;" "&amp;_xlfn.XLOOKUP(B31,Demand!E:E,Demand!C:C)&amp;" "&amp;_xlfn.XLOOKUP(B31,Demand!E:E,Demand!D:D)</f>
        <v xml:space="preserve">DEMAND - Waste Solid Glass </v>
      </c>
      <c r="D31" t="str">
        <f>Trans_Demand!B981</f>
        <v>k tonnes</v>
      </c>
      <c r="E31" t="s">
        <v>214</v>
      </c>
      <c r="F31" s="11">
        <f>Trans_Demand!C981</f>
        <v>2050</v>
      </c>
      <c r="G31" s="11">
        <f>Trans_Demand!D981</f>
        <v>472.03457486838482</v>
      </c>
    </row>
    <row r="32" spans="2:7">
      <c r="B32" t="str">
        <f>Trans_Demand!A982</f>
        <v>WASSOLGLADMD</v>
      </c>
      <c r="C32" t="str">
        <f>"DEMAND - "&amp;_xlfn.XLOOKUP(B32,Demand!E:E,Demand!A:A)&amp;" "&amp;_xlfn.XLOOKUP(B32,Demand!E:E,Demand!B:B)&amp;" "&amp;_xlfn.XLOOKUP(B32,Demand!E:E,Demand!C:C)&amp;" "&amp;_xlfn.XLOOKUP(B32,Demand!E:E,Demand!D:D)</f>
        <v xml:space="preserve">DEMAND - Waste Solid Glass </v>
      </c>
      <c r="D32" t="str">
        <f>Trans_Demand!B982</f>
        <v>k tonnes</v>
      </c>
      <c r="E32" t="s">
        <v>214</v>
      </c>
      <c r="F32" s="11">
        <f>Trans_Demand!C982</f>
        <v>2055</v>
      </c>
      <c r="G32" s="11">
        <f>Trans_Demand!D982</f>
        <v>483.83543924009427</v>
      </c>
    </row>
    <row r="33" spans="2:7">
      <c r="B33" t="str">
        <f>Trans_Demand!A983</f>
        <v>WASSOLGLADMD</v>
      </c>
      <c r="C33" t="str">
        <f>"DEMAND - "&amp;_xlfn.XLOOKUP(B33,Demand!E:E,Demand!A:A)&amp;" "&amp;_xlfn.XLOOKUP(B33,Demand!E:E,Demand!B:B)&amp;" "&amp;_xlfn.XLOOKUP(B33,Demand!E:E,Demand!C:C)&amp;" "&amp;_xlfn.XLOOKUP(B33,Demand!E:E,Demand!D:D)</f>
        <v xml:space="preserve">DEMAND - Waste Solid Glass </v>
      </c>
      <c r="D33" t="str">
        <f>Trans_Demand!B983</f>
        <v>k tonnes</v>
      </c>
      <c r="E33" t="s">
        <v>214</v>
      </c>
      <c r="F33" s="11">
        <f>Trans_Demand!C983</f>
        <v>2060</v>
      </c>
      <c r="G33" s="11">
        <f>Trans_Demand!D983</f>
        <v>495.93132522109659</v>
      </c>
    </row>
    <row r="34" spans="2:7">
      <c r="B34" t="str">
        <f>Trans_Demand!A984</f>
        <v>WASSOLGLADMD</v>
      </c>
      <c r="C34" t="str">
        <f>"DEMAND - "&amp;_xlfn.XLOOKUP(B34,Demand!E:E,Demand!A:A)&amp;" "&amp;_xlfn.XLOOKUP(B34,Demand!E:E,Demand!B:B)&amp;" "&amp;_xlfn.XLOOKUP(B34,Demand!E:E,Demand!C:C)&amp;" "&amp;_xlfn.XLOOKUP(B34,Demand!E:E,Demand!D:D)</f>
        <v xml:space="preserve">DEMAND - Waste Solid Glass </v>
      </c>
      <c r="D34" t="str">
        <f>Trans_Demand!B984</f>
        <v>k tonnes</v>
      </c>
      <c r="E34" t="s">
        <v>214</v>
      </c>
      <c r="F34" s="11">
        <f>Trans_Demand!C984</f>
        <v>2065</v>
      </c>
      <c r="G34" s="11">
        <f>Trans_Demand!D984</f>
        <v>508.32960835162402</v>
      </c>
    </row>
    <row r="35" spans="2:7">
      <c r="B35" t="str">
        <f>Trans_Demand!A985</f>
        <v>WASSOLGLADMD</v>
      </c>
      <c r="C35" t="str">
        <f>"DEMAND - "&amp;_xlfn.XLOOKUP(B35,Demand!E:E,Demand!A:A)&amp;" "&amp;_xlfn.XLOOKUP(B35,Demand!E:E,Demand!B:B)&amp;" "&amp;_xlfn.XLOOKUP(B35,Demand!E:E,Demand!C:C)&amp;" "&amp;_xlfn.XLOOKUP(B35,Demand!E:E,Demand!D:D)</f>
        <v xml:space="preserve">DEMAND - Waste Solid Glass </v>
      </c>
      <c r="D35" t="str">
        <f>Trans_Demand!B985</f>
        <v>k tonnes</v>
      </c>
      <c r="E35" t="s">
        <v>214</v>
      </c>
      <c r="F35" s="11">
        <f>Trans_Demand!C985</f>
        <v>2070</v>
      </c>
      <c r="G35" s="11">
        <f>Trans_Demand!D985</f>
        <v>521.03784856041455</v>
      </c>
    </row>
    <row r="36" spans="2:7">
      <c r="B36" t="str">
        <f>Trans_Demand!A986</f>
        <v>WASSOLGLADMD</v>
      </c>
      <c r="C36" t="str">
        <f>"DEMAND - "&amp;_xlfn.XLOOKUP(B36,Demand!E:E,Demand!A:A)&amp;" "&amp;_xlfn.XLOOKUP(B36,Demand!E:E,Demand!B:B)&amp;" "&amp;_xlfn.XLOOKUP(B36,Demand!E:E,Demand!C:C)&amp;" "&amp;_xlfn.XLOOKUP(B36,Demand!E:E,Demand!D:D)</f>
        <v xml:space="preserve">DEMAND - Waste Solid Glass </v>
      </c>
      <c r="D36" t="str">
        <f>Trans_Demand!B986</f>
        <v>k tonnes</v>
      </c>
      <c r="E36" t="s">
        <v>214</v>
      </c>
      <c r="F36" s="11">
        <f>Trans_Demand!C986</f>
        <v>2075</v>
      </c>
      <c r="G36" s="11">
        <f>Trans_Demand!D986</f>
        <v>534.06379477442488</v>
      </c>
    </row>
    <row r="37" spans="2:7">
      <c r="B37" t="str">
        <f>Trans_Demand!A987</f>
        <v>WASSOLGLADMD</v>
      </c>
      <c r="C37" t="str">
        <f>"DEMAND - "&amp;_xlfn.XLOOKUP(B37,Demand!E:E,Demand!A:A)&amp;" "&amp;_xlfn.XLOOKUP(B37,Demand!E:E,Demand!B:B)&amp;" "&amp;_xlfn.XLOOKUP(B37,Demand!E:E,Demand!C:C)&amp;" "&amp;_xlfn.XLOOKUP(B37,Demand!E:E,Demand!D:D)</f>
        <v xml:space="preserve">DEMAND - Waste Solid Glass </v>
      </c>
      <c r="D37" t="str">
        <f>Trans_Demand!B987</f>
        <v>k tonnes</v>
      </c>
      <c r="E37" t="s">
        <v>214</v>
      </c>
      <c r="F37" s="11">
        <f>Trans_Demand!C987</f>
        <v>2080</v>
      </c>
      <c r="G37" s="11">
        <f>Trans_Demand!D987</f>
        <v>547.41538964378549</v>
      </c>
    </row>
    <row r="38" spans="2:7">
      <c r="B38" t="str">
        <f>Trans_Demand!A988</f>
        <v>WASSOLGLADMD</v>
      </c>
      <c r="C38" t="str">
        <f>"DEMAND - "&amp;_xlfn.XLOOKUP(B38,Demand!E:E,Demand!A:A)&amp;" "&amp;_xlfn.XLOOKUP(B38,Demand!E:E,Demand!B:B)&amp;" "&amp;_xlfn.XLOOKUP(B38,Demand!E:E,Demand!C:C)&amp;" "&amp;_xlfn.XLOOKUP(B38,Demand!E:E,Demand!D:D)</f>
        <v xml:space="preserve">DEMAND - Waste Solid Glass </v>
      </c>
      <c r="D38" t="str">
        <f>Trans_Demand!B988</f>
        <v>k tonnes</v>
      </c>
      <c r="E38" t="s">
        <v>214</v>
      </c>
      <c r="F38" s="11">
        <f>Trans_Demand!C988</f>
        <v>2085</v>
      </c>
      <c r="G38" s="11">
        <f>Trans_Demand!D988</f>
        <v>561.10077438488008</v>
      </c>
    </row>
    <row r="39" spans="2:7">
      <c r="B39" t="str">
        <f>Trans_Demand!A989</f>
        <v>WASSOLGLADMD</v>
      </c>
      <c r="C39" t="str">
        <f>"DEMAND - "&amp;_xlfn.XLOOKUP(B39,Demand!E:E,Demand!A:A)&amp;" "&amp;_xlfn.XLOOKUP(B39,Demand!E:E,Demand!B:B)&amp;" "&amp;_xlfn.XLOOKUP(B39,Demand!E:E,Demand!C:C)&amp;" "&amp;_xlfn.XLOOKUP(B39,Demand!E:E,Demand!D:D)</f>
        <v xml:space="preserve">DEMAND - Waste Solid Glass </v>
      </c>
      <c r="D39" t="str">
        <f>Trans_Demand!B989</f>
        <v>k tonnes</v>
      </c>
      <c r="E39" t="s">
        <v>214</v>
      </c>
      <c r="F39" s="11">
        <f>Trans_Demand!C989</f>
        <v>2090</v>
      </c>
      <c r="G39" s="11">
        <f>Trans_Demand!D989</f>
        <v>575.128293744502</v>
      </c>
    </row>
    <row r="40" spans="2:7">
      <c r="B40" t="str">
        <f>Trans_Demand!A990</f>
        <v>WASSOLGLADMD</v>
      </c>
      <c r="C40" t="str">
        <f>"DEMAND - "&amp;_xlfn.XLOOKUP(B40,Demand!E:E,Demand!A:A)&amp;" "&amp;_xlfn.XLOOKUP(B40,Demand!E:E,Demand!B:B)&amp;" "&amp;_xlfn.XLOOKUP(B40,Demand!E:E,Demand!C:C)&amp;" "&amp;_xlfn.XLOOKUP(B40,Demand!E:E,Demand!D:D)</f>
        <v xml:space="preserve">DEMAND - Waste Solid Glass </v>
      </c>
      <c r="D40" t="str">
        <f>Trans_Demand!B990</f>
        <v>k tonnes</v>
      </c>
      <c r="E40" t="s">
        <v>214</v>
      </c>
      <c r="F40" s="11">
        <f>Trans_Demand!C990</f>
        <v>2095</v>
      </c>
      <c r="G40" s="11">
        <f>Trans_Demand!D990</f>
        <v>589.50650108811453</v>
      </c>
    </row>
    <row r="41" spans="2:7">
      <c r="B41" t="str">
        <f>Trans_Demand!A991</f>
        <v>WASSOLGLADMD</v>
      </c>
      <c r="C41" t="str">
        <f>"DEMAND - "&amp;_xlfn.XLOOKUP(B41,Demand!E:E,Demand!A:A)&amp;" "&amp;_xlfn.XLOOKUP(B41,Demand!E:E,Demand!B:B)&amp;" "&amp;_xlfn.XLOOKUP(B41,Demand!E:E,Demand!C:C)&amp;" "&amp;_xlfn.XLOOKUP(B41,Demand!E:E,Demand!D:D)</f>
        <v xml:space="preserve">DEMAND - Waste Solid Glass </v>
      </c>
      <c r="D41" t="str">
        <f>Trans_Demand!B991</f>
        <v>k tonnes</v>
      </c>
      <c r="E41" t="s">
        <v>214</v>
      </c>
      <c r="F41" s="11">
        <f>Trans_Demand!C991</f>
        <v>2100</v>
      </c>
      <c r="G41" s="11">
        <f>Trans_Demand!D991</f>
        <v>604.24416361531735</v>
      </c>
    </row>
    <row r="42" spans="2:7">
      <c r="B42" t="str">
        <f>B41</f>
        <v>WASSOLGLADMD</v>
      </c>
      <c r="C42" t="str">
        <f>C41</f>
        <v xml:space="preserve">DEMAND - Waste Solid Glass </v>
      </c>
      <c r="D42" t="str">
        <f>D41</f>
        <v>k tonnes</v>
      </c>
      <c r="E42" t="str">
        <f>E41</f>
        <v>COM_PROJ</v>
      </c>
      <c r="F42" s="11">
        <v>0</v>
      </c>
      <c r="G42" s="11">
        <v>5</v>
      </c>
    </row>
    <row r="43" spans="2:7">
      <c r="B43" t="str">
        <f>Trans_Demand!A992</f>
        <v>WASSOLMETDMD</v>
      </c>
      <c r="C43" t="str">
        <f>"DEMAND - "&amp;_xlfn.XLOOKUP(B43,Demand!E:E,Demand!A:A)&amp;" "&amp;_xlfn.XLOOKUP(B43,Demand!E:E,Demand!B:B)&amp;" "&amp;_xlfn.XLOOKUP(B43,Demand!E:E,Demand!C:C)&amp;" "&amp;_xlfn.XLOOKUP(B43,Demand!E:E,Demand!D:D)</f>
        <v xml:space="preserve">DEMAND - Waste Solid Metals </v>
      </c>
      <c r="D43" t="str">
        <f>Trans_Demand!B992</f>
        <v>k tonnes</v>
      </c>
      <c r="E43" t="s">
        <v>214</v>
      </c>
      <c r="F43" s="11">
        <f>Trans_Demand!C992</f>
        <v>2019</v>
      </c>
      <c r="G43" s="11">
        <f>Trans_Demand!D992</f>
        <v>540.01185344478597</v>
      </c>
    </row>
    <row r="44" spans="2:7">
      <c r="B44" t="str">
        <f>Trans_Demand!A993</f>
        <v>WASSOLMETDMD</v>
      </c>
      <c r="C44" t="str">
        <f>"DEMAND - "&amp;_xlfn.XLOOKUP(B44,Demand!E:E,Demand!A:A)&amp;" "&amp;_xlfn.XLOOKUP(B44,Demand!E:E,Demand!B:B)&amp;" "&amp;_xlfn.XLOOKUP(B44,Demand!E:E,Demand!C:C)&amp;" "&amp;_xlfn.XLOOKUP(B44,Demand!E:E,Demand!D:D)</f>
        <v xml:space="preserve">DEMAND - Waste Solid Metals </v>
      </c>
      <c r="D44" t="str">
        <f>Trans_Demand!B993</f>
        <v>k tonnes</v>
      </c>
      <c r="E44" t="s">
        <v>214</v>
      </c>
      <c r="F44" s="11">
        <f>Trans_Demand!C993</f>
        <v>2020</v>
      </c>
      <c r="G44" s="11">
        <f>Trans_Demand!D993</f>
        <v>542.71191271200985</v>
      </c>
    </row>
    <row r="45" spans="2:7">
      <c r="B45" t="str">
        <f>Trans_Demand!A994</f>
        <v>WASSOLMETDMD</v>
      </c>
      <c r="C45" t="str">
        <f>"DEMAND - "&amp;_xlfn.XLOOKUP(B45,Demand!E:E,Demand!A:A)&amp;" "&amp;_xlfn.XLOOKUP(B45,Demand!E:E,Demand!B:B)&amp;" "&amp;_xlfn.XLOOKUP(B45,Demand!E:E,Demand!C:C)&amp;" "&amp;_xlfn.XLOOKUP(B45,Demand!E:E,Demand!D:D)</f>
        <v xml:space="preserve">DEMAND - Waste Solid Metals </v>
      </c>
      <c r="D45" t="str">
        <f>Trans_Demand!B994</f>
        <v>k tonnes</v>
      </c>
      <c r="E45" t="s">
        <v>214</v>
      </c>
      <c r="F45" s="11">
        <f>Trans_Demand!C994</f>
        <v>2025</v>
      </c>
      <c r="G45" s="11">
        <f>Trans_Demand!D994</f>
        <v>556.27971052981002</v>
      </c>
    </row>
    <row r="46" spans="2:7">
      <c r="B46" t="str">
        <f>Trans_Demand!A995</f>
        <v>WASSOLMETDMD</v>
      </c>
      <c r="C46" t="str">
        <f>"DEMAND - "&amp;_xlfn.XLOOKUP(B46,Demand!E:E,Demand!A:A)&amp;" "&amp;_xlfn.XLOOKUP(B46,Demand!E:E,Demand!B:B)&amp;" "&amp;_xlfn.XLOOKUP(B46,Demand!E:E,Demand!C:C)&amp;" "&amp;_xlfn.XLOOKUP(B46,Demand!E:E,Demand!D:D)</f>
        <v xml:space="preserve">DEMAND - Waste Solid Metals </v>
      </c>
      <c r="D46" t="str">
        <f>Trans_Demand!B995</f>
        <v>k tonnes</v>
      </c>
      <c r="E46" t="s">
        <v>214</v>
      </c>
      <c r="F46" s="11">
        <f>Trans_Demand!C995</f>
        <v>2030</v>
      </c>
      <c r="G46" s="11">
        <f>Trans_Demand!D995</f>
        <v>570.18670329305519</v>
      </c>
    </row>
    <row r="47" spans="2:7">
      <c r="B47" t="str">
        <f>Trans_Demand!A996</f>
        <v>WASSOLMETDMD</v>
      </c>
      <c r="C47" t="str">
        <f>"DEMAND - "&amp;_xlfn.XLOOKUP(B47,Demand!E:E,Demand!A:A)&amp;" "&amp;_xlfn.XLOOKUP(B47,Demand!E:E,Demand!B:B)&amp;" "&amp;_xlfn.XLOOKUP(B47,Demand!E:E,Demand!C:C)&amp;" "&amp;_xlfn.XLOOKUP(B47,Demand!E:E,Demand!D:D)</f>
        <v xml:space="preserve">DEMAND - Waste Solid Metals </v>
      </c>
      <c r="D47" t="str">
        <f>Trans_Demand!B996</f>
        <v>k tonnes</v>
      </c>
      <c r="E47" t="s">
        <v>214</v>
      </c>
      <c r="F47" s="11">
        <f>Trans_Demand!C996</f>
        <v>2035</v>
      </c>
      <c r="G47" s="11">
        <f>Trans_Demand!D996</f>
        <v>584.44137087538149</v>
      </c>
    </row>
    <row r="48" spans="2:7">
      <c r="B48" t="str">
        <f>Trans_Demand!A997</f>
        <v>WASSOLMETDMD</v>
      </c>
      <c r="C48" t="str">
        <f>"DEMAND - "&amp;_xlfn.XLOOKUP(B48,Demand!E:E,Demand!A:A)&amp;" "&amp;_xlfn.XLOOKUP(B48,Demand!E:E,Demand!B:B)&amp;" "&amp;_xlfn.XLOOKUP(B48,Demand!E:E,Demand!C:C)&amp;" "&amp;_xlfn.XLOOKUP(B48,Demand!E:E,Demand!D:D)</f>
        <v xml:space="preserve">DEMAND - Waste Solid Metals </v>
      </c>
      <c r="D48" t="str">
        <f>Trans_Demand!B997</f>
        <v>k tonnes</v>
      </c>
      <c r="E48" t="s">
        <v>214</v>
      </c>
      <c r="F48" s="11">
        <f>Trans_Demand!C997</f>
        <v>2040</v>
      </c>
      <c r="G48" s="11">
        <f>Trans_Demand!D997</f>
        <v>599.05240514726597</v>
      </c>
    </row>
    <row r="49" spans="2:7">
      <c r="B49" t="str">
        <f>Trans_Demand!A998</f>
        <v>WASSOLMETDMD</v>
      </c>
      <c r="C49" t="str">
        <f>"DEMAND - "&amp;_xlfn.XLOOKUP(B49,Demand!E:E,Demand!A:A)&amp;" "&amp;_xlfn.XLOOKUP(B49,Demand!E:E,Demand!B:B)&amp;" "&amp;_xlfn.XLOOKUP(B49,Demand!E:E,Demand!C:C)&amp;" "&amp;_xlfn.XLOOKUP(B49,Demand!E:E,Demand!D:D)</f>
        <v xml:space="preserve">DEMAND - Waste Solid Metals </v>
      </c>
      <c r="D49" t="str">
        <f>Trans_Demand!B998</f>
        <v>k tonnes</v>
      </c>
      <c r="E49" t="s">
        <v>214</v>
      </c>
      <c r="F49" s="11">
        <f>Trans_Demand!C998</f>
        <v>2045</v>
      </c>
      <c r="G49" s="11">
        <f>Trans_Demand!D998</f>
        <v>614.02871527594755</v>
      </c>
    </row>
    <row r="50" spans="2:7">
      <c r="B50" t="str">
        <f>Trans_Demand!A999</f>
        <v>WASSOLMETDMD</v>
      </c>
      <c r="C50" t="str">
        <f>"DEMAND - "&amp;_xlfn.XLOOKUP(B50,Demand!E:E,Demand!A:A)&amp;" "&amp;_xlfn.XLOOKUP(B50,Demand!E:E,Demand!B:B)&amp;" "&amp;_xlfn.XLOOKUP(B50,Demand!E:E,Demand!C:C)&amp;" "&amp;_xlfn.XLOOKUP(B50,Demand!E:E,Demand!D:D)</f>
        <v xml:space="preserve">DEMAND - Waste Solid Metals </v>
      </c>
      <c r="D50" t="str">
        <f>Trans_Demand!B999</f>
        <v>k tonnes</v>
      </c>
      <c r="E50" t="s">
        <v>214</v>
      </c>
      <c r="F50" s="11">
        <f>Trans_Demand!C999</f>
        <v>2050</v>
      </c>
      <c r="G50" s="11">
        <f>Trans_Demand!D999</f>
        <v>629.37943315784617</v>
      </c>
    </row>
    <row r="51" spans="2:7">
      <c r="B51" t="str">
        <f>Trans_Demand!A1000</f>
        <v>WASSOLMETDMD</v>
      </c>
      <c r="C51" t="str">
        <f>"DEMAND - "&amp;_xlfn.XLOOKUP(B51,Demand!E:E,Demand!A:A)&amp;" "&amp;_xlfn.XLOOKUP(B51,Demand!E:E,Demand!B:B)&amp;" "&amp;_xlfn.XLOOKUP(B51,Demand!E:E,Demand!C:C)&amp;" "&amp;_xlfn.XLOOKUP(B51,Demand!E:E,Demand!D:D)</f>
        <v xml:space="preserve">DEMAND - Waste Solid Metals </v>
      </c>
      <c r="D51" t="str">
        <f>Trans_Demand!B1000</f>
        <v>k tonnes</v>
      </c>
      <c r="E51" t="s">
        <v>214</v>
      </c>
      <c r="F51" s="11">
        <f>Trans_Demand!C1000</f>
        <v>2055</v>
      </c>
      <c r="G51" s="11">
        <f>Trans_Demand!D1000</f>
        <v>645.11391898679221</v>
      </c>
    </row>
    <row r="52" spans="2:7">
      <c r="B52" t="str">
        <f>Trans_Demand!A1001</f>
        <v>WASSOLMETDMD</v>
      </c>
      <c r="C52" t="str">
        <f>"DEMAND - "&amp;_xlfn.XLOOKUP(B52,Demand!E:E,Demand!A:A)&amp;" "&amp;_xlfn.XLOOKUP(B52,Demand!E:E,Demand!B:B)&amp;" "&amp;_xlfn.XLOOKUP(B52,Demand!E:E,Demand!C:C)&amp;" "&amp;_xlfn.XLOOKUP(B52,Demand!E:E,Demand!D:D)</f>
        <v xml:space="preserve">DEMAND - Waste Solid Metals </v>
      </c>
      <c r="D52" t="str">
        <f>Trans_Demand!B1001</f>
        <v>k tonnes</v>
      </c>
      <c r="E52" t="s">
        <v>214</v>
      </c>
      <c r="F52" s="11">
        <f>Trans_Demand!C1001</f>
        <v>2060</v>
      </c>
      <c r="G52" s="11">
        <f>Trans_Demand!D1001</f>
        <v>661.24176696146196</v>
      </c>
    </row>
    <row r="53" spans="2:7">
      <c r="B53" t="str">
        <f>Trans_Demand!A1002</f>
        <v>WASSOLMETDMD</v>
      </c>
      <c r="C53" t="str">
        <f>"DEMAND - "&amp;_xlfn.XLOOKUP(B53,Demand!E:E,Demand!A:A)&amp;" "&amp;_xlfn.XLOOKUP(B53,Demand!E:E,Demand!B:B)&amp;" "&amp;_xlfn.XLOOKUP(B53,Demand!E:E,Demand!C:C)&amp;" "&amp;_xlfn.XLOOKUP(B53,Demand!E:E,Demand!D:D)</f>
        <v xml:space="preserve">DEMAND - Waste Solid Metals </v>
      </c>
      <c r="D53" t="str">
        <f>Trans_Demand!B1002</f>
        <v>k tonnes</v>
      </c>
      <c r="E53" t="s">
        <v>214</v>
      </c>
      <c r="F53" s="11">
        <f>Trans_Demand!C1002</f>
        <v>2065</v>
      </c>
      <c r="G53" s="11">
        <f>Trans_Demand!D1002</f>
        <v>677.7728111354985</v>
      </c>
    </row>
    <row r="54" spans="2:7">
      <c r="B54" t="str">
        <f>Trans_Demand!A1003</f>
        <v>WASSOLMETDMD</v>
      </c>
      <c r="C54" t="str">
        <f>"DEMAND - "&amp;_xlfn.XLOOKUP(B54,Demand!E:E,Demand!A:A)&amp;" "&amp;_xlfn.XLOOKUP(B54,Demand!E:E,Demand!B:B)&amp;" "&amp;_xlfn.XLOOKUP(B54,Demand!E:E,Demand!C:C)&amp;" "&amp;_xlfn.XLOOKUP(B54,Demand!E:E,Demand!D:D)</f>
        <v xml:space="preserve">DEMAND - Waste Solid Metals </v>
      </c>
      <c r="D54" t="str">
        <f>Trans_Demand!B1003</f>
        <v>k tonnes</v>
      </c>
      <c r="E54" t="s">
        <v>214</v>
      </c>
      <c r="F54" s="11">
        <f>Trans_Demand!C1003</f>
        <v>2070</v>
      </c>
      <c r="G54" s="11">
        <f>Trans_Demand!D1003</f>
        <v>694.71713141388591</v>
      </c>
    </row>
    <row r="55" spans="2:7">
      <c r="B55" t="str">
        <f>Trans_Demand!A1004</f>
        <v>WASSOLMETDMD</v>
      </c>
      <c r="C55" t="str">
        <f>"DEMAND - "&amp;_xlfn.XLOOKUP(B55,Demand!E:E,Demand!A:A)&amp;" "&amp;_xlfn.XLOOKUP(B55,Demand!E:E,Demand!B:B)&amp;" "&amp;_xlfn.XLOOKUP(B55,Demand!E:E,Demand!C:C)&amp;" "&amp;_xlfn.XLOOKUP(B55,Demand!E:E,Demand!D:D)</f>
        <v xml:space="preserve">DEMAND - Waste Solid Metals </v>
      </c>
      <c r="D55" t="str">
        <f>Trans_Demand!B1004</f>
        <v>k tonnes</v>
      </c>
      <c r="E55" t="s">
        <v>214</v>
      </c>
      <c r="F55" s="11">
        <f>Trans_Demand!C1004</f>
        <v>2075</v>
      </c>
      <c r="G55" s="11">
        <f>Trans_Demand!D1004</f>
        <v>712.08505969923294</v>
      </c>
    </row>
    <row r="56" spans="2:7">
      <c r="B56" t="str">
        <f>Trans_Demand!A1005</f>
        <v>WASSOLMETDMD</v>
      </c>
      <c r="C56" t="str">
        <f>"DEMAND - "&amp;_xlfn.XLOOKUP(B56,Demand!E:E,Demand!A:A)&amp;" "&amp;_xlfn.XLOOKUP(B56,Demand!E:E,Demand!B:B)&amp;" "&amp;_xlfn.XLOOKUP(B56,Demand!E:E,Demand!C:C)&amp;" "&amp;_xlfn.XLOOKUP(B56,Demand!E:E,Demand!D:D)</f>
        <v xml:space="preserve">DEMAND - Waste Solid Metals </v>
      </c>
      <c r="D56" t="str">
        <f>Trans_Demand!B1005</f>
        <v>k tonnes</v>
      </c>
      <c r="E56" t="s">
        <v>214</v>
      </c>
      <c r="F56" s="11">
        <f>Trans_Demand!C1005</f>
        <v>2080</v>
      </c>
      <c r="G56" s="11">
        <f>Trans_Demand!D1005</f>
        <v>729.88718619171368</v>
      </c>
    </row>
    <row r="57" spans="2:7">
      <c r="B57" t="str">
        <f>Trans_Demand!A1006</f>
        <v>WASSOLMETDMD</v>
      </c>
      <c r="C57" t="str">
        <f>"DEMAND - "&amp;_xlfn.XLOOKUP(B57,Demand!E:E,Demand!A:A)&amp;" "&amp;_xlfn.XLOOKUP(B57,Demand!E:E,Demand!B:B)&amp;" "&amp;_xlfn.XLOOKUP(B57,Demand!E:E,Demand!C:C)&amp;" "&amp;_xlfn.XLOOKUP(B57,Demand!E:E,Demand!D:D)</f>
        <v xml:space="preserve">DEMAND - Waste Solid Metals </v>
      </c>
      <c r="D57" t="str">
        <f>Trans_Demand!B1006</f>
        <v>k tonnes</v>
      </c>
      <c r="E57" t="s">
        <v>214</v>
      </c>
      <c r="F57" s="11">
        <f>Trans_Demand!C1006</f>
        <v>2085</v>
      </c>
      <c r="G57" s="11">
        <f>Trans_Demand!D1006</f>
        <v>748.13436584650651</v>
      </c>
    </row>
    <row r="58" spans="2:7">
      <c r="B58" t="str">
        <f>Trans_Demand!A1007</f>
        <v>WASSOLMETDMD</v>
      </c>
      <c r="C58" t="str">
        <f>"DEMAND - "&amp;_xlfn.XLOOKUP(B58,Demand!E:E,Demand!A:A)&amp;" "&amp;_xlfn.XLOOKUP(B58,Demand!E:E,Demand!B:B)&amp;" "&amp;_xlfn.XLOOKUP(B58,Demand!E:E,Demand!C:C)&amp;" "&amp;_xlfn.XLOOKUP(B58,Demand!E:E,Demand!D:D)</f>
        <v xml:space="preserve">DEMAND - Waste Solid Metals </v>
      </c>
      <c r="D58" t="str">
        <f>Trans_Demand!B1007</f>
        <v>k tonnes</v>
      </c>
      <c r="E58" t="s">
        <v>214</v>
      </c>
      <c r="F58" s="11">
        <f>Trans_Demand!C1007</f>
        <v>2090</v>
      </c>
      <c r="G58" s="11">
        <f>Trans_Demand!D1007</f>
        <v>766.83772499266911</v>
      </c>
    </row>
    <row r="59" spans="2:7">
      <c r="B59" t="str">
        <f>Trans_Demand!A1008</f>
        <v>WASSOLMETDMD</v>
      </c>
      <c r="C59" t="str">
        <f>"DEMAND - "&amp;_xlfn.XLOOKUP(B59,Demand!E:E,Demand!A:A)&amp;" "&amp;_xlfn.XLOOKUP(B59,Demand!E:E,Demand!B:B)&amp;" "&amp;_xlfn.XLOOKUP(B59,Demand!E:E,Demand!C:C)&amp;" "&amp;_xlfn.XLOOKUP(B59,Demand!E:E,Demand!D:D)</f>
        <v xml:space="preserve">DEMAND - Waste Solid Metals </v>
      </c>
      <c r="D59" t="str">
        <f>Trans_Demand!B1008</f>
        <v>k tonnes</v>
      </c>
      <c r="E59" t="s">
        <v>214</v>
      </c>
      <c r="F59" s="11">
        <f>Trans_Demand!C1008</f>
        <v>2095</v>
      </c>
      <c r="G59" s="11">
        <f>Trans_Demand!D1008</f>
        <v>786.00866811748574</v>
      </c>
    </row>
    <row r="60" spans="2:7">
      <c r="B60" t="str">
        <f>Trans_Demand!A1009</f>
        <v>WASSOLMETDMD</v>
      </c>
      <c r="C60" t="str">
        <f>"DEMAND - "&amp;_xlfn.XLOOKUP(B60,Demand!E:E,Demand!A:A)&amp;" "&amp;_xlfn.XLOOKUP(B60,Demand!E:E,Demand!B:B)&amp;" "&amp;_xlfn.XLOOKUP(B60,Demand!E:E,Demand!C:C)&amp;" "&amp;_xlfn.XLOOKUP(B60,Demand!E:E,Demand!D:D)</f>
        <v xml:space="preserve">DEMAND - Waste Solid Metals </v>
      </c>
      <c r="D60" t="str">
        <f>Trans_Demand!B1009</f>
        <v>k tonnes</v>
      </c>
      <c r="E60" t="s">
        <v>214</v>
      </c>
      <c r="F60" s="11">
        <f>Trans_Demand!C1009</f>
        <v>2100</v>
      </c>
      <c r="G60" s="11">
        <f>Trans_Demand!D1009</f>
        <v>805.65888482042283</v>
      </c>
    </row>
    <row r="61" spans="2:7">
      <c r="B61" t="str">
        <f>B60</f>
        <v>WASSOLMETDMD</v>
      </c>
      <c r="C61" t="str">
        <f>C60</f>
        <v xml:space="preserve">DEMAND - Waste Solid Metals </v>
      </c>
      <c r="D61" t="str">
        <f>D60</f>
        <v>k tonnes</v>
      </c>
      <c r="E61" t="str">
        <f>E60</f>
        <v>COM_PROJ</v>
      </c>
      <c r="F61" s="11">
        <v>0</v>
      </c>
      <c r="G61" s="11">
        <v>5</v>
      </c>
    </row>
    <row r="62" spans="2:7">
      <c r="B62" t="str">
        <f>Trans_Demand!A1010</f>
        <v>WASSOLPLADMD</v>
      </c>
      <c r="C62" t="str">
        <f>"DEMAND - "&amp;_xlfn.XLOOKUP(B62,Demand!E:E,Demand!A:A)&amp;" "&amp;_xlfn.XLOOKUP(B62,Demand!E:E,Demand!B:B)&amp;" "&amp;_xlfn.XLOOKUP(B62,Demand!E:E,Demand!C:C)&amp;" "&amp;_xlfn.XLOOKUP(B62,Demand!E:E,Demand!D:D)</f>
        <v xml:space="preserve">DEMAND - Waste Solid Plastics </v>
      </c>
      <c r="D62" t="str">
        <f>Trans_Demand!B1010</f>
        <v>k tonnes</v>
      </c>
      <c r="E62" t="s">
        <v>214</v>
      </c>
      <c r="F62" s="11">
        <f>Trans_Demand!C1010</f>
        <v>2019</v>
      </c>
      <c r="G62" s="11">
        <f>Trans_Demand!D1010</f>
        <v>1350.029633611965</v>
      </c>
    </row>
    <row r="63" spans="2:7">
      <c r="B63" t="str">
        <f>Trans_Demand!A1011</f>
        <v>WASSOLPLADMD</v>
      </c>
      <c r="C63" t="str">
        <f>"DEMAND - "&amp;_xlfn.XLOOKUP(B63,Demand!E:E,Demand!A:A)&amp;" "&amp;_xlfn.XLOOKUP(B63,Demand!E:E,Demand!B:B)&amp;" "&amp;_xlfn.XLOOKUP(B63,Demand!E:E,Demand!C:C)&amp;" "&amp;_xlfn.XLOOKUP(B63,Demand!E:E,Demand!D:D)</f>
        <v xml:space="preserve">DEMAND - Waste Solid Plastics </v>
      </c>
      <c r="D63" t="str">
        <f>Trans_Demand!B1011</f>
        <v>k tonnes</v>
      </c>
      <c r="E63" t="s">
        <v>214</v>
      </c>
      <c r="F63" s="11">
        <f>Trans_Demand!C1011</f>
        <v>2020</v>
      </c>
      <c r="G63" s="11">
        <f>Trans_Demand!D1011</f>
        <v>1356.7797817800249</v>
      </c>
    </row>
    <row r="64" spans="2:7">
      <c r="B64" t="str">
        <f>Trans_Demand!A1012</f>
        <v>WASSOLPLADMD</v>
      </c>
      <c r="C64" t="str">
        <f>"DEMAND - "&amp;_xlfn.XLOOKUP(B64,Demand!E:E,Demand!A:A)&amp;" "&amp;_xlfn.XLOOKUP(B64,Demand!E:E,Demand!B:B)&amp;" "&amp;_xlfn.XLOOKUP(B64,Demand!E:E,Demand!C:C)&amp;" "&amp;_xlfn.XLOOKUP(B64,Demand!E:E,Demand!D:D)</f>
        <v xml:space="preserve">DEMAND - Waste Solid Plastics </v>
      </c>
      <c r="D64" t="str">
        <f>Trans_Demand!B1012</f>
        <v>k tonnes</v>
      </c>
      <c r="E64" t="s">
        <v>214</v>
      </c>
      <c r="F64" s="11">
        <f>Trans_Demand!C1012</f>
        <v>2025</v>
      </c>
      <c r="G64" s="11">
        <f>Trans_Demand!D1012</f>
        <v>1390.699276324525</v>
      </c>
    </row>
    <row r="65" spans="2:7">
      <c r="B65" t="str">
        <f>Trans_Demand!A1013</f>
        <v>WASSOLPLADMD</v>
      </c>
      <c r="C65" t="str">
        <f>"DEMAND - "&amp;_xlfn.XLOOKUP(B65,Demand!E:E,Demand!A:A)&amp;" "&amp;_xlfn.XLOOKUP(B65,Demand!E:E,Demand!B:B)&amp;" "&amp;_xlfn.XLOOKUP(B65,Demand!E:E,Demand!C:C)&amp;" "&amp;_xlfn.XLOOKUP(B65,Demand!E:E,Demand!D:D)</f>
        <v xml:space="preserve">DEMAND - Waste Solid Plastics </v>
      </c>
      <c r="D65" t="str">
        <f>Trans_Demand!B1013</f>
        <v>k tonnes</v>
      </c>
      <c r="E65" t="s">
        <v>214</v>
      </c>
      <c r="F65" s="11">
        <f>Trans_Demand!C1013</f>
        <v>2030</v>
      </c>
      <c r="G65" s="11">
        <f>Trans_Demand!D1013</f>
        <v>1425.4667582326381</v>
      </c>
    </row>
    <row r="66" spans="2:7">
      <c r="B66" t="str">
        <f>Trans_Demand!A1014</f>
        <v>WASSOLPLADMD</v>
      </c>
      <c r="C66" t="str">
        <f>"DEMAND - "&amp;_xlfn.XLOOKUP(B66,Demand!E:E,Demand!A:A)&amp;" "&amp;_xlfn.XLOOKUP(B66,Demand!E:E,Demand!B:B)&amp;" "&amp;_xlfn.XLOOKUP(B66,Demand!E:E,Demand!C:C)&amp;" "&amp;_xlfn.XLOOKUP(B66,Demand!E:E,Demand!D:D)</f>
        <v xml:space="preserve">DEMAND - Waste Solid Plastics </v>
      </c>
      <c r="D66" t="str">
        <f>Trans_Demand!B1014</f>
        <v>k tonnes</v>
      </c>
      <c r="E66" t="s">
        <v>214</v>
      </c>
      <c r="F66" s="11">
        <f>Trans_Demand!C1014</f>
        <v>2035</v>
      </c>
      <c r="G66" s="11">
        <f>Trans_Demand!D1014</f>
        <v>1461.1034271884539</v>
      </c>
    </row>
    <row r="67" spans="2:7">
      <c r="B67" t="str">
        <f>Trans_Demand!A1015</f>
        <v>WASSOLPLADMD</v>
      </c>
      <c r="C67" t="str">
        <f>"DEMAND - "&amp;_xlfn.XLOOKUP(B67,Demand!E:E,Demand!A:A)&amp;" "&amp;_xlfn.XLOOKUP(B67,Demand!E:E,Demand!B:B)&amp;" "&amp;_xlfn.XLOOKUP(B67,Demand!E:E,Demand!C:C)&amp;" "&amp;_xlfn.XLOOKUP(B67,Demand!E:E,Demand!D:D)</f>
        <v xml:space="preserve">DEMAND - Waste Solid Plastics </v>
      </c>
      <c r="D67" t="str">
        <f>Trans_Demand!B1015</f>
        <v>k tonnes</v>
      </c>
      <c r="E67" t="s">
        <v>214</v>
      </c>
      <c r="F67" s="11">
        <f>Trans_Demand!C1015</f>
        <v>2040</v>
      </c>
      <c r="G67" s="11">
        <f>Trans_Demand!D1015</f>
        <v>1497.631012868165</v>
      </c>
    </row>
    <row r="68" spans="2:7">
      <c r="B68" t="str">
        <f>Trans_Demand!A1016</f>
        <v>WASSOLPLADMD</v>
      </c>
      <c r="C68" t="str">
        <f>"DEMAND - "&amp;_xlfn.XLOOKUP(B68,Demand!E:E,Demand!A:A)&amp;" "&amp;_xlfn.XLOOKUP(B68,Demand!E:E,Demand!B:B)&amp;" "&amp;_xlfn.XLOOKUP(B68,Demand!E:E,Demand!C:C)&amp;" "&amp;_xlfn.XLOOKUP(B68,Demand!E:E,Demand!D:D)</f>
        <v xml:space="preserve">DEMAND - Waste Solid Plastics </v>
      </c>
      <c r="D68" t="str">
        <f>Trans_Demand!B1016</f>
        <v>k tonnes</v>
      </c>
      <c r="E68" t="s">
        <v>214</v>
      </c>
      <c r="F68" s="11">
        <f>Trans_Demand!C1016</f>
        <v>2045</v>
      </c>
      <c r="G68" s="11">
        <f>Trans_Demand!D1016</f>
        <v>1535.071788189869</v>
      </c>
    </row>
    <row r="69" spans="2:7">
      <c r="B69" t="str">
        <f>Trans_Demand!A1017</f>
        <v>WASSOLPLADMD</v>
      </c>
      <c r="C69" t="str">
        <f>"DEMAND - "&amp;_xlfn.XLOOKUP(B69,Demand!E:E,Demand!A:A)&amp;" "&amp;_xlfn.XLOOKUP(B69,Demand!E:E,Demand!B:B)&amp;" "&amp;_xlfn.XLOOKUP(B69,Demand!E:E,Demand!C:C)&amp;" "&amp;_xlfn.XLOOKUP(B69,Demand!E:E,Demand!D:D)</f>
        <v xml:space="preserve">DEMAND - Waste Solid Plastics </v>
      </c>
      <c r="D69" t="str">
        <f>Trans_Demand!B1017</f>
        <v>k tonnes</v>
      </c>
      <c r="E69" t="s">
        <v>214</v>
      </c>
      <c r="F69" s="11">
        <f>Trans_Demand!C1017</f>
        <v>2050</v>
      </c>
      <c r="G69" s="11">
        <f>Trans_Demand!D1017</f>
        <v>1573.448582894616</v>
      </c>
    </row>
    <row r="70" spans="2:7">
      <c r="B70" t="str">
        <f>Trans_Demand!A1018</f>
        <v>WASSOLPLADMD</v>
      </c>
      <c r="C70" t="str">
        <f>"DEMAND - "&amp;_xlfn.XLOOKUP(B70,Demand!E:E,Demand!A:A)&amp;" "&amp;_xlfn.XLOOKUP(B70,Demand!E:E,Demand!B:B)&amp;" "&amp;_xlfn.XLOOKUP(B70,Demand!E:E,Demand!C:C)&amp;" "&amp;_xlfn.XLOOKUP(B70,Demand!E:E,Demand!D:D)</f>
        <v xml:space="preserve">DEMAND - Waste Solid Plastics </v>
      </c>
      <c r="D70" t="str">
        <f>Trans_Demand!B1018</f>
        <v>k tonnes</v>
      </c>
      <c r="E70" t="s">
        <v>214</v>
      </c>
      <c r="F70" s="11">
        <f>Trans_Demand!C1018</f>
        <v>2055</v>
      </c>
      <c r="G70" s="11">
        <f>Trans_Demand!D1018</f>
        <v>1612.784797466981</v>
      </c>
    </row>
    <row r="71" spans="2:7">
      <c r="B71" t="str">
        <f>Trans_Demand!A1019</f>
        <v>WASSOLPLADMD</v>
      </c>
      <c r="C71" t="str">
        <f>"DEMAND - "&amp;_xlfn.XLOOKUP(B71,Demand!E:E,Demand!A:A)&amp;" "&amp;_xlfn.XLOOKUP(B71,Demand!E:E,Demand!B:B)&amp;" "&amp;_xlfn.XLOOKUP(B71,Demand!E:E,Demand!C:C)&amp;" "&amp;_xlfn.XLOOKUP(B71,Demand!E:E,Demand!D:D)</f>
        <v xml:space="preserve">DEMAND - Waste Solid Plastics </v>
      </c>
      <c r="D71" t="str">
        <f>Trans_Demand!B1019</f>
        <v>k tonnes</v>
      </c>
      <c r="E71" t="s">
        <v>214</v>
      </c>
      <c r="F71" s="11">
        <f>Trans_Demand!C1019</f>
        <v>2060</v>
      </c>
      <c r="G71" s="11">
        <f>Trans_Demand!D1019</f>
        <v>1653.1044174036549</v>
      </c>
    </row>
    <row r="72" spans="2:7">
      <c r="B72" t="str">
        <f>Trans_Demand!A1020</f>
        <v>WASSOLPLADMD</v>
      </c>
      <c r="C72" t="str">
        <f>"DEMAND - "&amp;_xlfn.XLOOKUP(B72,Demand!E:E,Demand!A:A)&amp;" "&amp;_xlfn.XLOOKUP(B72,Demand!E:E,Demand!B:B)&amp;" "&amp;_xlfn.XLOOKUP(B72,Demand!E:E,Demand!C:C)&amp;" "&amp;_xlfn.XLOOKUP(B72,Demand!E:E,Demand!D:D)</f>
        <v xml:space="preserve">DEMAND - Waste Solid Plastics </v>
      </c>
      <c r="D72" t="str">
        <f>Trans_Demand!B1020</f>
        <v>k tonnes</v>
      </c>
      <c r="E72" t="s">
        <v>214</v>
      </c>
      <c r="F72" s="11">
        <f>Trans_Demand!C1020</f>
        <v>2065</v>
      </c>
      <c r="G72" s="11">
        <f>Trans_Demand!D1020</f>
        <v>1694.432027838747</v>
      </c>
    </row>
    <row r="73" spans="2:7">
      <c r="B73" t="str">
        <f>Trans_Demand!A1021</f>
        <v>WASSOLPLADMD</v>
      </c>
      <c r="C73" t="str">
        <f>"DEMAND - "&amp;_xlfn.XLOOKUP(B73,Demand!E:E,Demand!A:A)&amp;" "&amp;_xlfn.XLOOKUP(B73,Demand!E:E,Demand!B:B)&amp;" "&amp;_xlfn.XLOOKUP(B73,Demand!E:E,Demand!C:C)&amp;" "&amp;_xlfn.XLOOKUP(B73,Demand!E:E,Demand!D:D)</f>
        <v xml:space="preserve">DEMAND - Waste Solid Plastics </v>
      </c>
      <c r="D73" t="str">
        <f>Trans_Demand!B1021</f>
        <v>k tonnes</v>
      </c>
      <c r="E73" t="s">
        <v>214</v>
      </c>
      <c r="F73" s="11">
        <f>Trans_Demand!C1021</f>
        <v>2070</v>
      </c>
      <c r="G73" s="11">
        <f>Trans_Demand!D1021</f>
        <v>1736.792828534715</v>
      </c>
    </row>
    <row r="74" spans="2:7">
      <c r="B74" t="str">
        <f>Trans_Demand!A1022</f>
        <v>WASSOLPLADMD</v>
      </c>
      <c r="C74" t="str">
        <f>"DEMAND - "&amp;_xlfn.XLOOKUP(B74,Demand!E:E,Demand!A:A)&amp;" "&amp;_xlfn.XLOOKUP(B74,Demand!E:E,Demand!B:B)&amp;" "&amp;_xlfn.XLOOKUP(B74,Demand!E:E,Demand!C:C)&amp;" "&amp;_xlfn.XLOOKUP(B74,Demand!E:E,Demand!D:D)</f>
        <v xml:space="preserve">DEMAND - Waste Solid Plastics </v>
      </c>
      <c r="D74" t="str">
        <f>Trans_Demand!B1022</f>
        <v>k tonnes</v>
      </c>
      <c r="E74" t="s">
        <v>214</v>
      </c>
      <c r="F74" s="11">
        <f>Trans_Demand!C1022</f>
        <v>2075</v>
      </c>
      <c r="G74" s="11">
        <f>Trans_Demand!D1022</f>
        <v>1780.2126492480829</v>
      </c>
    </row>
    <row r="75" spans="2:7">
      <c r="B75" t="str">
        <f>Trans_Demand!A1023</f>
        <v>WASSOLPLADMD</v>
      </c>
      <c r="C75" t="str">
        <f>"DEMAND - "&amp;_xlfn.XLOOKUP(B75,Demand!E:E,Demand!A:A)&amp;" "&amp;_xlfn.XLOOKUP(B75,Demand!E:E,Demand!B:B)&amp;" "&amp;_xlfn.XLOOKUP(B75,Demand!E:E,Demand!C:C)&amp;" "&amp;_xlfn.XLOOKUP(B75,Demand!E:E,Demand!D:D)</f>
        <v xml:space="preserve">DEMAND - Waste Solid Plastics </v>
      </c>
      <c r="D75" t="str">
        <f>Trans_Demand!B1023</f>
        <v>k tonnes</v>
      </c>
      <c r="E75" t="s">
        <v>214</v>
      </c>
      <c r="F75" s="11">
        <f>Trans_Demand!C1023</f>
        <v>2080</v>
      </c>
      <c r="G75" s="11">
        <f>Trans_Demand!D1023</f>
        <v>1824.7179654792851</v>
      </c>
    </row>
    <row r="76" spans="2:7">
      <c r="B76" t="str">
        <f>Trans_Demand!A1024</f>
        <v>WASSOLPLADMD</v>
      </c>
      <c r="C76" t="str">
        <f>"DEMAND - "&amp;_xlfn.XLOOKUP(B76,Demand!E:E,Demand!A:A)&amp;" "&amp;_xlfn.XLOOKUP(B76,Demand!E:E,Demand!B:B)&amp;" "&amp;_xlfn.XLOOKUP(B76,Demand!E:E,Demand!C:C)&amp;" "&amp;_xlfn.XLOOKUP(B76,Demand!E:E,Demand!D:D)</f>
        <v xml:space="preserve">DEMAND - Waste Solid Plastics </v>
      </c>
      <c r="D76" t="str">
        <f>Trans_Demand!B1024</f>
        <v>k tonnes</v>
      </c>
      <c r="E76" t="s">
        <v>214</v>
      </c>
      <c r="F76" s="11">
        <f>Trans_Demand!C1024</f>
        <v>2085</v>
      </c>
      <c r="G76" s="11">
        <f>Trans_Demand!D1024</f>
        <v>1870.335914616267</v>
      </c>
    </row>
    <row r="77" spans="2:7">
      <c r="B77" t="str">
        <f>Trans_Demand!A1025</f>
        <v>WASSOLPLADMD</v>
      </c>
      <c r="C77" t="str">
        <f>"DEMAND - "&amp;_xlfn.XLOOKUP(B77,Demand!E:E,Demand!A:A)&amp;" "&amp;_xlfn.XLOOKUP(B77,Demand!E:E,Demand!B:B)&amp;" "&amp;_xlfn.XLOOKUP(B77,Demand!E:E,Demand!C:C)&amp;" "&amp;_xlfn.XLOOKUP(B77,Demand!E:E,Demand!D:D)</f>
        <v xml:space="preserve">DEMAND - Waste Solid Plastics </v>
      </c>
      <c r="D77" t="str">
        <f>Trans_Demand!B1025</f>
        <v>k tonnes</v>
      </c>
      <c r="E77" t="s">
        <v>214</v>
      </c>
      <c r="F77" s="11">
        <f>Trans_Demand!C1025</f>
        <v>2090</v>
      </c>
      <c r="G77" s="11">
        <f>Trans_Demand!D1025</f>
        <v>1917.0943124816729</v>
      </c>
    </row>
    <row r="78" spans="2:7">
      <c r="B78" t="str">
        <f>Trans_Demand!A1026</f>
        <v>WASSOLPLADMD</v>
      </c>
      <c r="C78" t="str">
        <f>"DEMAND - "&amp;_xlfn.XLOOKUP(B78,Demand!E:E,Demand!A:A)&amp;" "&amp;_xlfn.XLOOKUP(B78,Demand!E:E,Demand!B:B)&amp;" "&amp;_xlfn.XLOOKUP(B78,Demand!E:E,Demand!C:C)&amp;" "&amp;_xlfn.XLOOKUP(B78,Demand!E:E,Demand!D:D)</f>
        <v xml:space="preserve">DEMAND - Waste Solid Plastics </v>
      </c>
      <c r="D78" t="str">
        <f>Trans_Demand!B1026</f>
        <v>k tonnes</v>
      </c>
      <c r="E78" t="s">
        <v>214</v>
      </c>
      <c r="F78" s="11">
        <f>Trans_Demand!C1026</f>
        <v>2095</v>
      </c>
      <c r="G78" s="11">
        <f>Trans_Demand!D1026</f>
        <v>1965.021670293715</v>
      </c>
    </row>
    <row r="79" spans="2:7">
      <c r="B79" t="str">
        <f>Trans_Demand!A1027</f>
        <v>WASSOLPLADMD</v>
      </c>
      <c r="C79" t="str">
        <f>"DEMAND - "&amp;_xlfn.XLOOKUP(B79,Demand!E:E,Demand!A:A)&amp;" "&amp;_xlfn.XLOOKUP(B79,Demand!E:E,Demand!B:B)&amp;" "&amp;_xlfn.XLOOKUP(B79,Demand!E:E,Demand!C:C)&amp;" "&amp;_xlfn.XLOOKUP(B79,Demand!E:E,Demand!D:D)</f>
        <v xml:space="preserve">DEMAND - Waste Solid Plastics </v>
      </c>
      <c r="D79" t="str">
        <f>Trans_Demand!B1027</f>
        <v>k tonnes</v>
      </c>
      <c r="E79" t="s">
        <v>214</v>
      </c>
      <c r="F79" s="11">
        <f>Trans_Demand!C1027</f>
        <v>2100</v>
      </c>
      <c r="G79" s="11">
        <f>Trans_Demand!D1027</f>
        <v>2014.147212051058</v>
      </c>
    </row>
    <row r="80" spans="2:7">
      <c r="B80" t="str">
        <f>B79</f>
        <v>WASSOLPLADMD</v>
      </c>
      <c r="C80" t="str">
        <f>C79</f>
        <v xml:space="preserve">DEMAND - Waste Solid Plastics </v>
      </c>
      <c r="D80" t="str">
        <f>D79</f>
        <v>k tonnes</v>
      </c>
      <c r="E80" t="str">
        <f>E79</f>
        <v>COM_PROJ</v>
      </c>
      <c r="F80" s="11">
        <v>0</v>
      </c>
      <c r="G80" s="11">
        <v>5</v>
      </c>
    </row>
    <row r="81" spans="2:7">
      <c r="B81" t="str">
        <f>Trans_Demand!A1028</f>
        <v>WASSOLFOODMD</v>
      </c>
      <c r="C81" t="str">
        <f>"DEMAND - "&amp;_xlfn.XLOOKUP(B81,Demand!E:E,Demand!A:A)&amp;" "&amp;_xlfn.XLOOKUP(B81,Demand!E:E,Demand!B:B)&amp;" "&amp;_xlfn.XLOOKUP(B81,Demand!E:E,Demand!C:C)&amp;" "&amp;_xlfn.XLOOKUP(B81,Demand!E:E,Demand!D:D)</f>
        <v xml:space="preserve">DEMAND - Waste Solid Food </v>
      </c>
      <c r="D81" t="str">
        <f>Trans_Demand!B1028</f>
        <v>k tonnes</v>
      </c>
      <c r="E81" t="s">
        <v>214</v>
      </c>
      <c r="F81" s="11">
        <f>Trans_Demand!C1028</f>
        <v>2019</v>
      </c>
      <c r="G81" s="11">
        <f>Trans_Demand!D1028</f>
        <v>1485.0325969731609</v>
      </c>
    </row>
    <row r="82" spans="2:7">
      <c r="B82" t="str">
        <f>Trans_Demand!A1029</f>
        <v>WASSOLFOODMD</v>
      </c>
      <c r="C82" t="str">
        <f>"DEMAND - "&amp;_xlfn.XLOOKUP(B82,Demand!E:E,Demand!A:A)&amp;" "&amp;_xlfn.XLOOKUP(B82,Demand!E:E,Demand!B:B)&amp;" "&amp;_xlfn.XLOOKUP(B82,Demand!E:E,Demand!C:C)&amp;" "&amp;_xlfn.XLOOKUP(B82,Demand!E:E,Demand!D:D)</f>
        <v xml:space="preserve">DEMAND - Waste Solid Food </v>
      </c>
      <c r="D82" t="str">
        <f>Trans_Demand!B1029</f>
        <v>k tonnes</v>
      </c>
      <c r="E82" t="s">
        <v>214</v>
      </c>
      <c r="F82" s="11">
        <f>Trans_Demand!C1029</f>
        <v>2020</v>
      </c>
      <c r="G82" s="11">
        <f>Trans_Demand!D1029</f>
        <v>1492.4577599580271</v>
      </c>
    </row>
    <row r="83" spans="2:7">
      <c r="B83" t="str">
        <f>Trans_Demand!A1030</f>
        <v>WASSOLFOODMD</v>
      </c>
      <c r="C83" t="str">
        <f>"DEMAND - "&amp;_xlfn.XLOOKUP(B83,Demand!E:E,Demand!A:A)&amp;" "&amp;_xlfn.XLOOKUP(B83,Demand!E:E,Demand!B:B)&amp;" "&amp;_xlfn.XLOOKUP(B83,Demand!E:E,Demand!C:C)&amp;" "&amp;_xlfn.XLOOKUP(B83,Demand!E:E,Demand!D:D)</f>
        <v xml:space="preserve">DEMAND - Waste Solid Food </v>
      </c>
      <c r="D83" t="str">
        <f>Trans_Demand!B1030</f>
        <v>k tonnes</v>
      </c>
      <c r="E83" t="s">
        <v>214</v>
      </c>
      <c r="F83" s="11">
        <f>Trans_Demand!C1030</f>
        <v>2025</v>
      </c>
      <c r="G83" s="11">
        <f>Trans_Demand!D1030</f>
        <v>1529.769203956977</v>
      </c>
    </row>
    <row r="84" spans="2:7">
      <c r="B84" t="str">
        <f>Trans_Demand!A1031</f>
        <v>WASSOLFOODMD</v>
      </c>
      <c r="C84" t="str">
        <f>"DEMAND - "&amp;_xlfn.XLOOKUP(B84,Demand!E:E,Demand!A:A)&amp;" "&amp;_xlfn.XLOOKUP(B84,Demand!E:E,Demand!B:B)&amp;" "&amp;_xlfn.XLOOKUP(B84,Demand!E:E,Demand!C:C)&amp;" "&amp;_xlfn.XLOOKUP(B84,Demand!E:E,Demand!D:D)</f>
        <v xml:space="preserve">DEMAND - Waste Solid Food </v>
      </c>
      <c r="D84" t="str">
        <f>Trans_Demand!B1031</f>
        <v>k tonnes</v>
      </c>
      <c r="E84" t="s">
        <v>214</v>
      </c>
      <c r="F84" s="11">
        <f>Trans_Demand!C1031</f>
        <v>2030</v>
      </c>
      <c r="G84" s="11">
        <f>Trans_Demand!D1031</f>
        <v>1568.0134340559021</v>
      </c>
    </row>
    <row r="85" spans="2:7">
      <c r="B85" t="str">
        <f>Trans_Demand!A1032</f>
        <v>WASSOLFOODMD</v>
      </c>
      <c r="C85" t="str">
        <f>"DEMAND - "&amp;_xlfn.XLOOKUP(B85,Demand!E:E,Demand!A:A)&amp;" "&amp;_xlfn.XLOOKUP(B85,Demand!E:E,Demand!B:B)&amp;" "&amp;_xlfn.XLOOKUP(B85,Demand!E:E,Demand!C:C)&amp;" "&amp;_xlfn.XLOOKUP(B85,Demand!E:E,Demand!D:D)</f>
        <v xml:space="preserve">DEMAND - Waste Solid Food </v>
      </c>
      <c r="D85" t="str">
        <f>Trans_Demand!B1032</f>
        <v>k tonnes</v>
      </c>
      <c r="E85" t="s">
        <v>214</v>
      </c>
      <c r="F85" s="11">
        <f>Trans_Demand!C1032</f>
        <v>2035</v>
      </c>
      <c r="G85" s="11">
        <f>Trans_Demand!D1032</f>
        <v>1607.2137699072989</v>
      </c>
    </row>
    <row r="86" spans="2:7">
      <c r="B86" t="str">
        <f>Trans_Demand!A1033</f>
        <v>WASSOLFOODMD</v>
      </c>
      <c r="C86" t="str">
        <f>"DEMAND - "&amp;_xlfn.XLOOKUP(B86,Demand!E:E,Demand!A:A)&amp;" "&amp;_xlfn.XLOOKUP(B86,Demand!E:E,Demand!B:B)&amp;" "&amp;_xlfn.XLOOKUP(B86,Demand!E:E,Demand!C:C)&amp;" "&amp;_xlfn.XLOOKUP(B86,Demand!E:E,Demand!D:D)</f>
        <v xml:space="preserve">DEMAND - Waste Solid Food </v>
      </c>
      <c r="D86" t="str">
        <f>Trans_Demand!B1033</f>
        <v>k tonnes</v>
      </c>
      <c r="E86" t="s">
        <v>214</v>
      </c>
      <c r="F86" s="11">
        <f>Trans_Demand!C1033</f>
        <v>2040</v>
      </c>
      <c r="G86" s="11">
        <f>Trans_Demand!D1033</f>
        <v>1647.394114154981</v>
      </c>
    </row>
    <row r="87" spans="2:7">
      <c r="B87" t="str">
        <f>Trans_Demand!A1034</f>
        <v>WASSOLFOODMD</v>
      </c>
      <c r="C87" t="str">
        <f>"DEMAND - "&amp;_xlfn.XLOOKUP(B87,Demand!E:E,Demand!A:A)&amp;" "&amp;_xlfn.XLOOKUP(B87,Demand!E:E,Demand!B:B)&amp;" "&amp;_xlfn.XLOOKUP(B87,Demand!E:E,Demand!C:C)&amp;" "&amp;_xlfn.XLOOKUP(B87,Demand!E:E,Demand!D:D)</f>
        <v xml:space="preserve">DEMAND - Waste Solid Food </v>
      </c>
      <c r="D87" t="str">
        <f>Trans_Demand!B1034</f>
        <v>k tonnes</v>
      </c>
      <c r="E87" t="s">
        <v>214</v>
      </c>
      <c r="F87" s="11">
        <f>Trans_Demand!C1034</f>
        <v>2045</v>
      </c>
      <c r="G87" s="11">
        <f>Trans_Demand!D1034</f>
        <v>1688.5789670088559</v>
      </c>
    </row>
    <row r="88" spans="2:7">
      <c r="B88" t="str">
        <f>Trans_Demand!A1035</f>
        <v>WASSOLFOODMD</v>
      </c>
      <c r="C88" t="str">
        <f>"DEMAND - "&amp;_xlfn.XLOOKUP(B88,Demand!E:E,Demand!A:A)&amp;" "&amp;_xlfn.XLOOKUP(B88,Demand!E:E,Demand!B:B)&amp;" "&amp;_xlfn.XLOOKUP(B88,Demand!E:E,Demand!C:C)&amp;" "&amp;_xlfn.XLOOKUP(B88,Demand!E:E,Demand!D:D)</f>
        <v xml:space="preserve">DEMAND - Waste Solid Food </v>
      </c>
      <c r="D88" t="str">
        <f>Trans_Demand!B1035</f>
        <v>k tonnes</v>
      </c>
      <c r="E88" t="s">
        <v>214</v>
      </c>
      <c r="F88" s="11">
        <f>Trans_Demand!C1035</f>
        <v>2050</v>
      </c>
      <c r="G88" s="11">
        <f>Trans_Demand!D1035</f>
        <v>1730.793441184077</v>
      </c>
    </row>
    <row r="89" spans="2:7">
      <c r="B89" t="str">
        <f>Trans_Demand!A1036</f>
        <v>WASSOLFOODMD</v>
      </c>
      <c r="C89" t="str">
        <f>"DEMAND - "&amp;_xlfn.XLOOKUP(B89,Demand!E:E,Demand!A:A)&amp;" "&amp;_xlfn.XLOOKUP(B89,Demand!E:E,Demand!B:B)&amp;" "&amp;_xlfn.XLOOKUP(B89,Demand!E:E,Demand!C:C)&amp;" "&amp;_xlfn.XLOOKUP(B89,Demand!E:E,Demand!D:D)</f>
        <v xml:space="preserve">DEMAND - Waste Solid Food </v>
      </c>
      <c r="D89" t="str">
        <f>Trans_Demand!B1036</f>
        <v>k tonnes</v>
      </c>
      <c r="E89" t="s">
        <v>214</v>
      </c>
      <c r="F89" s="11">
        <f>Trans_Demand!C1036</f>
        <v>2055</v>
      </c>
      <c r="G89" s="11">
        <f>Trans_Demand!D1036</f>
        <v>1774.0632772136789</v>
      </c>
    </row>
    <row r="90" spans="2:7">
      <c r="B90" t="str">
        <f>Trans_Demand!A1037</f>
        <v>WASSOLFOODMD</v>
      </c>
      <c r="C90" t="str">
        <f>"DEMAND - "&amp;_xlfn.XLOOKUP(B90,Demand!E:E,Demand!A:A)&amp;" "&amp;_xlfn.XLOOKUP(B90,Demand!E:E,Demand!B:B)&amp;" "&amp;_xlfn.XLOOKUP(B90,Demand!E:E,Demand!C:C)&amp;" "&amp;_xlfn.XLOOKUP(B90,Demand!E:E,Demand!D:D)</f>
        <v xml:space="preserve">DEMAND - Waste Solid Food </v>
      </c>
      <c r="D90" t="str">
        <f>Trans_Demand!B1037</f>
        <v>k tonnes</v>
      </c>
      <c r="E90" t="s">
        <v>214</v>
      </c>
      <c r="F90" s="11">
        <f>Trans_Demand!C1037</f>
        <v>2060</v>
      </c>
      <c r="G90" s="11">
        <f>Trans_Demand!D1037</f>
        <v>1818.414859144021</v>
      </c>
    </row>
    <row r="91" spans="2:7">
      <c r="B91" t="str">
        <f>Trans_Demand!A1038</f>
        <v>WASSOLFOODMD</v>
      </c>
      <c r="C91" t="str">
        <f>"DEMAND - "&amp;_xlfn.XLOOKUP(B91,Demand!E:E,Demand!A:A)&amp;" "&amp;_xlfn.XLOOKUP(B91,Demand!E:E,Demand!B:B)&amp;" "&amp;_xlfn.XLOOKUP(B91,Demand!E:E,Demand!C:C)&amp;" "&amp;_xlfn.XLOOKUP(B91,Demand!E:E,Demand!D:D)</f>
        <v xml:space="preserve">DEMAND - Waste Solid Food </v>
      </c>
      <c r="D91" t="str">
        <f>Trans_Demand!B1038</f>
        <v>k tonnes</v>
      </c>
      <c r="E91" t="s">
        <v>214</v>
      </c>
      <c r="F91" s="11">
        <f>Trans_Demand!C1038</f>
        <v>2065</v>
      </c>
      <c r="G91" s="11">
        <f>Trans_Demand!D1038</f>
        <v>1863.8752306226211</v>
      </c>
    </row>
    <row r="92" spans="2:7">
      <c r="B92" t="str">
        <f>Trans_Demand!A1039</f>
        <v>WASSOLFOODMD</v>
      </c>
      <c r="C92" t="str">
        <f>"DEMAND - "&amp;_xlfn.XLOOKUP(B92,Demand!E:E,Demand!A:A)&amp;" "&amp;_xlfn.XLOOKUP(B92,Demand!E:E,Demand!B:B)&amp;" "&amp;_xlfn.XLOOKUP(B92,Demand!E:E,Demand!C:C)&amp;" "&amp;_xlfn.XLOOKUP(B92,Demand!E:E,Demand!D:D)</f>
        <v xml:space="preserve">DEMAND - Waste Solid Food </v>
      </c>
      <c r="D92" t="str">
        <f>Trans_Demand!B1039</f>
        <v>k tonnes</v>
      </c>
      <c r="E92" t="s">
        <v>214</v>
      </c>
      <c r="F92" s="11">
        <f>Trans_Demand!C1039</f>
        <v>2070</v>
      </c>
      <c r="G92" s="11">
        <f>Trans_Demand!D1039</f>
        <v>1910.472111388186</v>
      </c>
    </row>
    <row r="93" spans="2:7">
      <c r="B93" t="str">
        <f>Trans_Demand!A1040</f>
        <v>WASSOLFOODMD</v>
      </c>
      <c r="C93" t="str">
        <f>"DEMAND - "&amp;_xlfn.XLOOKUP(B93,Demand!E:E,Demand!A:A)&amp;" "&amp;_xlfn.XLOOKUP(B93,Demand!E:E,Demand!B:B)&amp;" "&amp;_xlfn.XLOOKUP(B93,Demand!E:E,Demand!C:C)&amp;" "&amp;_xlfn.XLOOKUP(B93,Demand!E:E,Demand!D:D)</f>
        <v xml:space="preserve">DEMAND - Waste Solid Food </v>
      </c>
      <c r="D93" t="str">
        <f>Trans_Demand!B1040</f>
        <v>k tonnes</v>
      </c>
      <c r="E93" t="s">
        <v>214</v>
      </c>
      <c r="F93" s="11">
        <f>Trans_Demand!C1040</f>
        <v>2075</v>
      </c>
      <c r="G93" s="11">
        <f>Trans_Demand!D1040</f>
        <v>1958.233914172891</v>
      </c>
    </row>
    <row r="94" spans="2:7">
      <c r="B94" t="str">
        <f>Trans_Demand!A1041</f>
        <v>WASSOLFOODMD</v>
      </c>
      <c r="C94" t="str">
        <f>"DEMAND - "&amp;_xlfn.XLOOKUP(B94,Demand!E:E,Demand!A:A)&amp;" "&amp;_xlfn.XLOOKUP(B94,Demand!E:E,Demand!B:B)&amp;" "&amp;_xlfn.XLOOKUP(B94,Demand!E:E,Demand!C:C)&amp;" "&amp;_xlfn.XLOOKUP(B94,Demand!E:E,Demand!D:D)</f>
        <v xml:space="preserve">DEMAND - Waste Solid Food </v>
      </c>
      <c r="D94" t="str">
        <f>Trans_Demand!B1041</f>
        <v>k tonnes</v>
      </c>
      <c r="E94" t="s">
        <v>214</v>
      </c>
      <c r="F94" s="11">
        <f>Trans_Demand!C1041</f>
        <v>2080</v>
      </c>
      <c r="G94" s="11">
        <f>Trans_Demand!D1041</f>
        <v>2007.189762027213</v>
      </c>
    </row>
    <row r="95" spans="2:7">
      <c r="B95" t="str">
        <f>Trans_Demand!A1042</f>
        <v>WASSOLFOODMD</v>
      </c>
      <c r="C95" t="str">
        <f>"DEMAND - "&amp;_xlfn.XLOOKUP(B95,Demand!E:E,Demand!A:A)&amp;" "&amp;_xlfn.XLOOKUP(B95,Demand!E:E,Demand!B:B)&amp;" "&amp;_xlfn.XLOOKUP(B95,Demand!E:E,Demand!C:C)&amp;" "&amp;_xlfn.XLOOKUP(B95,Demand!E:E,Demand!D:D)</f>
        <v xml:space="preserve">DEMAND - Waste Solid Food </v>
      </c>
      <c r="D95" t="str">
        <f>Trans_Demand!B1042</f>
        <v>k tonnes</v>
      </c>
      <c r="E95" t="s">
        <v>214</v>
      </c>
      <c r="F95" s="11">
        <f>Trans_Demand!C1042</f>
        <v>2085</v>
      </c>
      <c r="G95" s="11">
        <f>Trans_Demand!D1042</f>
        <v>2057.3695060778932</v>
      </c>
    </row>
    <row r="96" spans="2:7">
      <c r="B96" t="str">
        <f>Trans_Demand!A1043</f>
        <v>WASSOLFOODMD</v>
      </c>
      <c r="C96" t="str">
        <f>"DEMAND - "&amp;_xlfn.XLOOKUP(B96,Demand!E:E,Demand!A:A)&amp;" "&amp;_xlfn.XLOOKUP(B96,Demand!E:E,Demand!B:B)&amp;" "&amp;_xlfn.XLOOKUP(B96,Demand!E:E,Demand!C:C)&amp;" "&amp;_xlfn.XLOOKUP(B96,Demand!E:E,Demand!D:D)</f>
        <v xml:space="preserve">DEMAND - Waste Solid Food </v>
      </c>
      <c r="D96" t="str">
        <f>Trans_Demand!B1043</f>
        <v>k tonnes</v>
      </c>
      <c r="E96" t="s">
        <v>214</v>
      </c>
      <c r="F96" s="11">
        <f>Trans_Demand!C1043</f>
        <v>2090</v>
      </c>
      <c r="G96" s="11">
        <f>Trans_Demand!D1043</f>
        <v>2108.8037437298399</v>
      </c>
    </row>
    <row r="97" spans="2:7">
      <c r="B97" t="str">
        <f>Trans_Demand!A1044</f>
        <v>WASSOLFOODMD</v>
      </c>
      <c r="C97" t="str">
        <f>"DEMAND - "&amp;_xlfn.XLOOKUP(B97,Demand!E:E,Demand!A:A)&amp;" "&amp;_xlfn.XLOOKUP(B97,Demand!E:E,Demand!B:B)&amp;" "&amp;_xlfn.XLOOKUP(B97,Demand!E:E,Demand!C:C)&amp;" "&amp;_xlfn.XLOOKUP(B97,Demand!E:E,Demand!D:D)</f>
        <v xml:space="preserve">DEMAND - Waste Solid Food </v>
      </c>
      <c r="D97" t="str">
        <f>Trans_Demand!B1044</f>
        <v>k tonnes</v>
      </c>
      <c r="E97" t="s">
        <v>214</v>
      </c>
      <c r="F97" s="11">
        <f>Trans_Demand!C1044</f>
        <v>2095</v>
      </c>
      <c r="G97" s="11">
        <f>Trans_Demand!D1044</f>
        <v>2161.5238373230859</v>
      </c>
    </row>
    <row r="98" spans="2:7">
      <c r="B98" t="str">
        <f>Trans_Demand!A1045</f>
        <v>WASSOLFOODMD</v>
      </c>
      <c r="C98" t="str">
        <f>"DEMAND - "&amp;_xlfn.XLOOKUP(B98,Demand!E:E,Demand!A:A)&amp;" "&amp;_xlfn.XLOOKUP(B98,Demand!E:E,Demand!B:B)&amp;" "&amp;_xlfn.XLOOKUP(B98,Demand!E:E,Demand!C:C)&amp;" "&amp;_xlfn.XLOOKUP(B98,Demand!E:E,Demand!D:D)</f>
        <v xml:space="preserve">DEMAND - Waste Solid Food </v>
      </c>
      <c r="D98" t="str">
        <f>Trans_Demand!B1045</f>
        <v>k tonnes</v>
      </c>
      <c r="E98" t="s">
        <v>214</v>
      </c>
      <c r="F98" s="11">
        <f>Trans_Demand!C1045</f>
        <v>2100</v>
      </c>
      <c r="G98" s="11">
        <f>Trans_Demand!D1045</f>
        <v>2215.5619332561628</v>
      </c>
    </row>
    <row r="99" spans="2:7">
      <c r="B99" t="str">
        <f>B98</f>
        <v>WASSOLFOODMD</v>
      </c>
      <c r="C99" t="str">
        <f>C98</f>
        <v xml:space="preserve">DEMAND - Waste Solid Food </v>
      </c>
      <c r="D99" t="str">
        <f>D98</f>
        <v>k tonnes</v>
      </c>
      <c r="E99" t="str">
        <f>E98</f>
        <v>COM_PROJ</v>
      </c>
      <c r="F99" s="11">
        <v>0</v>
      </c>
      <c r="G99" s="11">
        <v>5</v>
      </c>
    </row>
    <row r="100" spans="2:7">
      <c r="B100" t="str">
        <f>Trans_Demand!A1046</f>
        <v>WASSOLYARDMD</v>
      </c>
      <c r="C100" t="str">
        <f>"DEMAND - "&amp;_xlfn.XLOOKUP(B100,Demand!E:E,Demand!A:A)&amp;" "&amp;_xlfn.XLOOKUP(B100,Demand!E:E,Demand!B:B)&amp;" "&amp;_xlfn.XLOOKUP(B100,Demand!E:E,Demand!C:C)&amp;" "&amp;_xlfn.XLOOKUP(B100,Demand!E:E,Demand!D:D)</f>
        <v xml:space="preserve">DEMAND - Waste Solid Yard trimmings </v>
      </c>
      <c r="D100" t="str">
        <f>Trans_Demand!B1046</f>
        <v>k tonnes</v>
      </c>
      <c r="E100" t="s">
        <v>214</v>
      </c>
      <c r="F100" s="11">
        <f>Trans_Demand!C1046</f>
        <v>2019</v>
      </c>
      <c r="G100" s="11">
        <f>Trans_Demand!D1046</f>
        <v>1080.0237068895719</v>
      </c>
    </row>
    <row r="101" spans="2:7">
      <c r="B101" t="str">
        <f>Trans_Demand!A1047</f>
        <v>WASSOLYARDMD</v>
      </c>
      <c r="C101" t="str">
        <f>"DEMAND - "&amp;_xlfn.XLOOKUP(B101,Demand!E:E,Demand!A:A)&amp;" "&amp;_xlfn.XLOOKUP(B101,Demand!E:E,Demand!B:B)&amp;" "&amp;_xlfn.XLOOKUP(B101,Demand!E:E,Demand!C:C)&amp;" "&amp;_xlfn.XLOOKUP(B101,Demand!E:E,Demand!D:D)</f>
        <v xml:space="preserve">DEMAND - Waste Solid Yard trimmings </v>
      </c>
      <c r="D101" t="str">
        <f>Trans_Demand!B1047</f>
        <v>k tonnes</v>
      </c>
      <c r="E101" t="s">
        <v>214</v>
      </c>
      <c r="F101" s="11">
        <f>Trans_Demand!C1047</f>
        <v>2020</v>
      </c>
      <c r="G101" s="11">
        <f>Trans_Demand!D1047</f>
        <v>1085.4238254240199</v>
      </c>
    </row>
    <row r="102" spans="2:7">
      <c r="B102" t="str">
        <f>Trans_Demand!A1048</f>
        <v>WASSOLYARDMD</v>
      </c>
      <c r="C102" t="str">
        <f>"DEMAND - "&amp;_xlfn.XLOOKUP(B102,Demand!E:E,Demand!A:A)&amp;" "&amp;_xlfn.XLOOKUP(B102,Demand!E:E,Demand!B:B)&amp;" "&amp;_xlfn.XLOOKUP(B102,Demand!E:E,Demand!C:C)&amp;" "&amp;_xlfn.XLOOKUP(B102,Demand!E:E,Demand!D:D)</f>
        <v xml:space="preserve">DEMAND - Waste Solid Yard trimmings </v>
      </c>
      <c r="D102" t="str">
        <f>Trans_Demand!B1048</f>
        <v>k tonnes</v>
      </c>
      <c r="E102" t="s">
        <v>214</v>
      </c>
      <c r="F102" s="11">
        <f>Trans_Demand!C1048</f>
        <v>2025</v>
      </c>
      <c r="G102" s="11">
        <f>Trans_Demand!D1048</f>
        <v>1112.55942105962</v>
      </c>
    </row>
    <row r="103" spans="2:7">
      <c r="B103" t="str">
        <f>Trans_Demand!A1049</f>
        <v>WASSOLYARDMD</v>
      </c>
      <c r="C103" t="str">
        <f>"DEMAND - "&amp;_xlfn.XLOOKUP(B103,Demand!E:E,Demand!A:A)&amp;" "&amp;_xlfn.XLOOKUP(B103,Demand!E:E,Demand!B:B)&amp;" "&amp;_xlfn.XLOOKUP(B103,Demand!E:E,Demand!C:C)&amp;" "&amp;_xlfn.XLOOKUP(B103,Demand!E:E,Demand!D:D)</f>
        <v xml:space="preserve">DEMAND - Waste Solid Yard trimmings </v>
      </c>
      <c r="D103" t="str">
        <f>Trans_Demand!B1049</f>
        <v>k tonnes</v>
      </c>
      <c r="E103" t="s">
        <v>214</v>
      </c>
      <c r="F103" s="11">
        <f>Trans_Demand!C1049</f>
        <v>2030</v>
      </c>
      <c r="G103" s="11">
        <f>Trans_Demand!D1049</f>
        <v>1140.3734065861099</v>
      </c>
    </row>
    <row r="104" spans="2:7">
      <c r="B104" t="str">
        <f>Trans_Demand!A1050</f>
        <v>WASSOLYARDMD</v>
      </c>
      <c r="C104" t="str">
        <f>"DEMAND - "&amp;_xlfn.XLOOKUP(B104,Demand!E:E,Demand!A:A)&amp;" "&amp;_xlfn.XLOOKUP(B104,Demand!E:E,Demand!B:B)&amp;" "&amp;_xlfn.XLOOKUP(B104,Demand!E:E,Demand!C:C)&amp;" "&amp;_xlfn.XLOOKUP(B104,Demand!E:E,Demand!D:D)</f>
        <v xml:space="preserve">DEMAND - Waste Solid Yard trimmings </v>
      </c>
      <c r="D104" t="str">
        <f>Trans_Demand!B1050</f>
        <v>k tonnes</v>
      </c>
      <c r="E104" t="s">
        <v>214</v>
      </c>
      <c r="F104" s="11">
        <f>Trans_Demand!C1050</f>
        <v>2035</v>
      </c>
      <c r="G104" s="11">
        <f>Trans_Demand!D1050</f>
        <v>1168.882741750763</v>
      </c>
    </row>
    <row r="105" spans="2:7">
      <c r="B105" t="str">
        <f>Trans_Demand!A1051</f>
        <v>WASSOLYARDMD</v>
      </c>
      <c r="C105" t="str">
        <f>"DEMAND - "&amp;_xlfn.XLOOKUP(B105,Demand!E:E,Demand!A:A)&amp;" "&amp;_xlfn.XLOOKUP(B105,Demand!E:E,Demand!B:B)&amp;" "&amp;_xlfn.XLOOKUP(B105,Demand!E:E,Demand!C:C)&amp;" "&amp;_xlfn.XLOOKUP(B105,Demand!E:E,Demand!D:D)</f>
        <v xml:space="preserve">DEMAND - Waste Solid Yard trimmings </v>
      </c>
      <c r="D105" t="str">
        <f>Trans_Demand!B1051</f>
        <v>k tonnes</v>
      </c>
      <c r="E105" t="s">
        <v>214</v>
      </c>
      <c r="F105" s="11">
        <f>Trans_Demand!C1051</f>
        <v>2040</v>
      </c>
      <c r="G105" s="11">
        <f>Trans_Demand!D1051</f>
        <v>1198.1048102945319</v>
      </c>
    </row>
    <row r="106" spans="2:7">
      <c r="B106" t="str">
        <f>Trans_Demand!A1052</f>
        <v>WASSOLYARDMD</v>
      </c>
      <c r="C106" t="str">
        <f>"DEMAND - "&amp;_xlfn.XLOOKUP(B106,Demand!E:E,Demand!A:A)&amp;" "&amp;_xlfn.XLOOKUP(B106,Demand!E:E,Demand!B:B)&amp;" "&amp;_xlfn.XLOOKUP(B106,Demand!E:E,Demand!C:C)&amp;" "&amp;_xlfn.XLOOKUP(B106,Demand!E:E,Demand!D:D)</f>
        <v xml:space="preserve">DEMAND - Waste Solid Yard trimmings </v>
      </c>
      <c r="D106" t="str">
        <f>Trans_Demand!B1052</f>
        <v>k tonnes</v>
      </c>
      <c r="E106" t="s">
        <v>214</v>
      </c>
      <c r="F106" s="11">
        <f>Trans_Demand!C1052</f>
        <v>2045</v>
      </c>
      <c r="G106" s="11">
        <f>Trans_Demand!D1052</f>
        <v>1228.0574305518951</v>
      </c>
    </row>
    <row r="107" spans="2:7">
      <c r="B107" t="str">
        <f>Trans_Demand!A1053</f>
        <v>WASSOLYARDMD</v>
      </c>
      <c r="C107" t="str">
        <f>"DEMAND - "&amp;_xlfn.XLOOKUP(B107,Demand!E:E,Demand!A:A)&amp;" "&amp;_xlfn.XLOOKUP(B107,Demand!E:E,Demand!B:B)&amp;" "&amp;_xlfn.XLOOKUP(B107,Demand!E:E,Demand!C:C)&amp;" "&amp;_xlfn.XLOOKUP(B107,Demand!E:E,Demand!D:D)</f>
        <v xml:space="preserve">DEMAND - Waste Solid Yard trimmings </v>
      </c>
      <c r="D107" t="str">
        <f>Trans_Demand!B1053</f>
        <v>k tonnes</v>
      </c>
      <c r="E107" t="s">
        <v>214</v>
      </c>
      <c r="F107" s="11">
        <f>Trans_Demand!C1053</f>
        <v>2050</v>
      </c>
      <c r="G107" s="11">
        <f>Trans_Demand!D1053</f>
        <v>1258.7588663156921</v>
      </c>
    </row>
    <row r="108" spans="2:7">
      <c r="B108" t="str">
        <f>Trans_Demand!A1054</f>
        <v>WASSOLYARDMD</v>
      </c>
      <c r="C108" t="str">
        <f>"DEMAND - "&amp;_xlfn.XLOOKUP(B108,Demand!E:E,Demand!A:A)&amp;" "&amp;_xlfn.XLOOKUP(B108,Demand!E:E,Demand!B:B)&amp;" "&amp;_xlfn.XLOOKUP(B108,Demand!E:E,Demand!C:C)&amp;" "&amp;_xlfn.XLOOKUP(B108,Demand!E:E,Demand!D:D)</f>
        <v xml:space="preserve">DEMAND - Waste Solid Yard trimmings </v>
      </c>
      <c r="D108" t="str">
        <f>Trans_Demand!B1054</f>
        <v>k tonnes</v>
      </c>
      <c r="E108" t="s">
        <v>214</v>
      </c>
      <c r="F108" s="11">
        <f>Trans_Demand!C1054</f>
        <v>2055</v>
      </c>
      <c r="G108" s="11">
        <f>Trans_Demand!D1054</f>
        <v>1290.227837973584</v>
      </c>
    </row>
    <row r="109" spans="2:7">
      <c r="B109" t="str">
        <f>Trans_Demand!A1055</f>
        <v>WASSOLYARDMD</v>
      </c>
      <c r="C109" t="str">
        <f>"DEMAND - "&amp;_xlfn.XLOOKUP(B109,Demand!E:E,Demand!A:A)&amp;" "&amp;_xlfn.XLOOKUP(B109,Demand!E:E,Demand!B:B)&amp;" "&amp;_xlfn.XLOOKUP(B109,Demand!E:E,Demand!C:C)&amp;" "&amp;_xlfn.XLOOKUP(B109,Demand!E:E,Demand!D:D)</f>
        <v xml:space="preserve">DEMAND - Waste Solid Yard trimmings </v>
      </c>
      <c r="D109" t="str">
        <f>Trans_Demand!B1055</f>
        <v>k tonnes</v>
      </c>
      <c r="E109" t="s">
        <v>214</v>
      </c>
      <c r="F109" s="11">
        <f>Trans_Demand!C1055</f>
        <v>2060</v>
      </c>
      <c r="G109" s="11">
        <f>Trans_Demand!D1055</f>
        <v>1322.4835339229239</v>
      </c>
    </row>
    <row r="110" spans="2:7">
      <c r="B110" t="str">
        <f>Trans_Demand!A1056</f>
        <v>WASSOLYARDMD</v>
      </c>
      <c r="C110" t="str">
        <f>"DEMAND - "&amp;_xlfn.XLOOKUP(B110,Demand!E:E,Demand!A:A)&amp;" "&amp;_xlfn.XLOOKUP(B110,Demand!E:E,Demand!B:B)&amp;" "&amp;_xlfn.XLOOKUP(B110,Demand!E:E,Demand!C:C)&amp;" "&amp;_xlfn.XLOOKUP(B110,Demand!E:E,Demand!D:D)</f>
        <v xml:space="preserve">DEMAND - Waste Solid Yard trimmings </v>
      </c>
      <c r="D110" t="str">
        <f>Trans_Demand!B1056</f>
        <v>k tonnes</v>
      </c>
      <c r="E110" t="s">
        <v>214</v>
      </c>
      <c r="F110" s="11">
        <f>Trans_Demand!C1056</f>
        <v>2065</v>
      </c>
      <c r="G110" s="11">
        <f>Trans_Demand!D1056</f>
        <v>1355.545622270997</v>
      </c>
    </row>
    <row r="111" spans="2:7">
      <c r="B111" t="str">
        <f>Trans_Demand!A1057</f>
        <v>WASSOLYARDMD</v>
      </c>
      <c r="C111" t="str">
        <f>"DEMAND - "&amp;_xlfn.XLOOKUP(B111,Demand!E:E,Demand!A:A)&amp;" "&amp;_xlfn.XLOOKUP(B111,Demand!E:E,Demand!B:B)&amp;" "&amp;_xlfn.XLOOKUP(B111,Demand!E:E,Demand!C:C)&amp;" "&amp;_xlfn.XLOOKUP(B111,Demand!E:E,Demand!D:D)</f>
        <v xml:space="preserve">DEMAND - Waste Solid Yard trimmings </v>
      </c>
      <c r="D111" t="str">
        <f>Trans_Demand!B1057</f>
        <v>k tonnes</v>
      </c>
      <c r="E111" t="s">
        <v>214</v>
      </c>
      <c r="F111" s="11">
        <f>Trans_Demand!C1057</f>
        <v>2070</v>
      </c>
      <c r="G111" s="11">
        <f>Trans_Demand!D1057</f>
        <v>1389.434262827772</v>
      </c>
    </row>
    <row r="112" spans="2:7">
      <c r="B112" t="str">
        <f>Trans_Demand!A1058</f>
        <v>WASSOLYARDMD</v>
      </c>
      <c r="C112" t="str">
        <f>"DEMAND - "&amp;_xlfn.XLOOKUP(B112,Demand!E:E,Demand!A:A)&amp;" "&amp;_xlfn.XLOOKUP(B112,Demand!E:E,Demand!B:B)&amp;" "&amp;_xlfn.XLOOKUP(B112,Demand!E:E,Demand!C:C)&amp;" "&amp;_xlfn.XLOOKUP(B112,Demand!E:E,Demand!D:D)</f>
        <v xml:space="preserve">DEMAND - Waste Solid Yard trimmings </v>
      </c>
      <c r="D112" t="str">
        <f>Trans_Demand!B1058</f>
        <v>k tonnes</v>
      </c>
      <c r="E112" t="s">
        <v>214</v>
      </c>
      <c r="F112" s="11">
        <f>Trans_Demand!C1058</f>
        <v>2075</v>
      </c>
      <c r="G112" s="11">
        <f>Trans_Demand!D1058</f>
        <v>1424.1701193984661</v>
      </c>
    </row>
    <row r="113" spans="2:7">
      <c r="B113" t="str">
        <f>Trans_Demand!A1059</f>
        <v>WASSOLYARDMD</v>
      </c>
      <c r="C113" t="str">
        <f>"DEMAND - "&amp;_xlfn.XLOOKUP(B113,Demand!E:E,Demand!A:A)&amp;" "&amp;_xlfn.XLOOKUP(B113,Demand!E:E,Demand!B:B)&amp;" "&amp;_xlfn.XLOOKUP(B113,Demand!E:E,Demand!C:C)&amp;" "&amp;_xlfn.XLOOKUP(B113,Demand!E:E,Demand!D:D)</f>
        <v xml:space="preserve">DEMAND - Waste Solid Yard trimmings </v>
      </c>
      <c r="D113" t="str">
        <f>Trans_Demand!B1059</f>
        <v>k tonnes</v>
      </c>
      <c r="E113" t="s">
        <v>214</v>
      </c>
      <c r="F113" s="11">
        <f>Trans_Demand!C1059</f>
        <v>2080</v>
      </c>
      <c r="G113" s="11">
        <f>Trans_Demand!D1059</f>
        <v>1459.7743723834269</v>
      </c>
    </row>
    <row r="114" spans="2:7">
      <c r="B114" t="str">
        <f>Trans_Demand!A1060</f>
        <v>WASSOLYARDMD</v>
      </c>
      <c r="C114" t="str">
        <f>"DEMAND - "&amp;_xlfn.XLOOKUP(B114,Demand!E:E,Demand!A:A)&amp;" "&amp;_xlfn.XLOOKUP(B114,Demand!E:E,Demand!B:B)&amp;" "&amp;_xlfn.XLOOKUP(B114,Demand!E:E,Demand!C:C)&amp;" "&amp;_xlfn.XLOOKUP(B114,Demand!E:E,Demand!D:D)</f>
        <v xml:space="preserve">DEMAND - Waste Solid Yard trimmings </v>
      </c>
      <c r="D114" t="str">
        <f>Trans_Demand!B1060</f>
        <v>k tonnes</v>
      </c>
      <c r="E114" t="s">
        <v>214</v>
      </c>
      <c r="F114" s="11">
        <f>Trans_Demand!C1060</f>
        <v>2085</v>
      </c>
      <c r="G114" s="11">
        <f>Trans_Demand!D1060</f>
        <v>1496.268731693013</v>
      </c>
    </row>
    <row r="115" spans="2:7">
      <c r="B115" t="str">
        <f>Trans_Demand!A1061</f>
        <v>WASSOLYARDMD</v>
      </c>
      <c r="C115" t="str">
        <f>"DEMAND - "&amp;_xlfn.XLOOKUP(B115,Demand!E:E,Demand!A:A)&amp;" "&amp;_xlfn.XLOOKUP(B115,Demand!E:E,Demand!B:B)&amp;" "&amp;_xlfn.XLOOKUP(B115,Demand!E:E,Demand!C:C)&amp;" "&amp;_xlfn.XLOOKUP(B115,Demand!E:E,Demand!D:D)</f>
        <v xml:space="preserve">DEMAND - Waste Solid Yard trimmings </v>
      </c>
      <c r="D115" t="str">
        <f>Trans_Demand!B1061</f>
        <v>k tonnes</v>
      </c>
      <c r="E115" t="s">
        <v>214</v>
      </c>
      <c r="F115" s="11">
        <f>Trans_Demand!C1061</f>
        <v>2090</v>
      </c>
      <c r="G115" s="11">
        <f>Trans_Demand!D1061</f>
        <v>1533.675449985338</v>
      </c>
    </row>
    <row r="116" spans="2:7">
      <c r="B116" t="str">
        <f>Trans_Demand!A1062</f>
        <v>WASSOLYARDMD</v>
      </c>
      <c r="C116" t="str">
        <f>"DEMAND - "&amp;_xlfn.XLOOKUP(B116,Demand!E:E,Demand!A:A)&amp;" "&amp;_xlfn.XLOOKUP(B116,Demand!E:E,Demand!B:B)&amp;" "&amp;_xlfn.XLOOKUP(B116,Demand!E:E,Demand!C:C)&amp;" "&amp;_xlfn.XLOOKUP(B116,Demand!E:E,Demand!D:D)</f>
        <v xml:space="preserve">DEMAND - Waste Solid Yard trimmings </v>
      </c>
      <c r="D116" t="str">
        <f>Trans_Demand!B1062</f>
        <v>k tonnes</v>
      </c>
      <c r="E116" t="s">
        <v>214</v>
      </c>
      <c r="F116" s="11">
        <f>Trans_Demand!C1062</f>
        <v>2095</v>
      </c>
      <c r="G116" s="11">
        <f>Trans_Demand!D1062</f>
        <v>1572.017336234971</v>
      </c>
    </row>
    <row r="117" spans="2:7">
      <c r="B117" t="str">
        <f>Trans_Demand!A1063</f>
        <v>WASSOLYARDMD</v>
      </c>
      <c r="C117" t="str">
        <f>"DEMAND - "&amp;_xlfn.XLOOKUP(B117,Demand!E:E,Demand!A:A)&amp;" "&amp;_xlfn.XLOOKUP(B117,Demand!E:E,Demand!B:B)&amp;" "&amp;_xlfn.XLOOKUP(B117,Demand!E:E,Demand!C:C)&amp;" "&amp;_xlfn.XLOOKUP(B117,Demand!E:E,Demand!D:D)</f>
        <v xml:space="preserve">DEMAND - Waste Solid Yard trimmings </v>
      </c>
      <c r="D117" t="str">
        <f>Trans_Demand!B1063</f>
        <v>k tonnes</v>
      </c>
      <c r="E117" t="s">
        <v>214</v>
      </c>
      <c r="F117" s="11">
        <f>Trans_Demand!C1063</f>
        <v>2100</v>
      </c>
      <c r="G117" s="11">
        <f>Trans_Demand!D1063</f>
        <v>1611.3177696408461</v>
      </c>
    </row>
    <row r="118" spans="2:7">
      <c r="B118" t="str">
        <f>B117</f>
        <v>WASSOLYARDMD</v>
      </c>
      <c r="C118" t="str">
        <f>C117</f>
        <v xml:space="preserve">DEMAND - Waste Solid Yard trimmings </v>
      </c>
      <c r="D118" t="str">
        <f>D117</f>
        <v>k tonnes</v>
      </c>
      <c r="E118" t="str">
        <f>E117</f>
        <v>COM_PROJ</v>
      </c>
      <c r="F118" s="11">
        <v>0</v>
      </c>
      <c r="G118" s="11">
        <v>5</v>
      </c>
    </row>
    <row r="119" spans="2:7">
      <c r="B119" t="str">
        <f>Trans_Demand!A1064</f>
        <v>WASSOLAOTDMD</v>
      </c>
      <c r="C119" t="str">
        <f>"DEMAND - "&amp;_xlfn.XLOOKUP(B119,Demand!E:E,Demand!A:A)&amp;" "&amp;_xlfn.XLOOKUP(B119,Demand!E:E,Demand!B:B)&amp;" "&amp;_xlfn.XLOOKUP(B119,Demand!E:E,Demand!C:C)&amp;" "&amp;_xlfn.XLOOKUP(B119,Demand!E:E,Demand!D:D)</f>
        <v xml:space="preserve">DEMAND - Waste Solid All other </v>
      </c>
      <c r="D119" t="str">
        <f>Trans_Demand!B1064</f>
        <v>k tonnes</v>
      </c>
      <c r="E119" t="s">
        <v>214</v>
      </c>
      <c r="F119" s="11">
        <f>Trans_Demand!C1064</f>
        <v>2019</v>
      </c>
      <c r="G119" s="11">
        <f>Trans_Demand!D1064</f>
        <v>5265.1155710866633</v>
      </c>
    </row>
    <row r="120" spans="2:7">
      <c r="B120" t="str">
        <f>Trans_Demand!A1065</f>
        <v>WASSOLAOTDMD</v>
      </c>
      <c r="C120" t="str">
        <f>"DEMAND - "&amp;_xlfn.XLOOKUP(B120,Demand!E:E,Demand!A:A)&amp;" "&amp;_xlfn.XLOOKUP(B120,Demand!E:E,Demand!B:B)&amp;" "&amp;_xlfn.XLOOKUP(B120,Demand!E:E,Demand!C:C)&amp;" "&amp;_xlfn.XLOOKUP(B120,Demand!E:E,Demand!D:D)</f>
        <v xml:space="preserve">DEMAND - Waste Solid All other </v>
      </c>
      <c r="D120" t="str">
        <f>Trans_Demand!B1065</f>
        <v>k tonnes</v>
      </c>
      <c r="E120" t="s">
        <v>214</v>
      </c>
      <c r="F120" s="11">
        <f>Trans_Demand!C1065</f>
        <v>2020</v>
      </c>
      <c r="G120" s="11">
        <f>Trans_Demand!D1065</f>
        <v>5291.4411489420963</v>
      </c>
    </row>
    <row r="121" spans="2:7">
      <c r="B121" t="str">
        <f>Trans_Demand!A1066</f>
        <v>WASSOLAOTDMD</v>
      </c>
      <c r="C121" t="str">
        <f>"DEMAND - "&amp;_xlfn.XLOOKUP(B121,Demand!E:E,Demand!A:A)&amp;" "&amp;_xlfn.XLOOKUP(B121,Demand!E:E,Demand!B:B)&amp;" "&amp;_xlfn.XLOOKUP(B121,Demand!E:E,Demand!C:C)&amp;" "&amp;_xlfn.XLOOKUP(B121,Demand!E:E,Demand!D:D)</f>
        <v xml:space="preserve">DEMAND - Waste Solid All other </v>
      </c>
      <c r="D121" t="str">
        <f>Trans_Demand!B1066</f>
        <v>k tonnes</v>
      </c>
      <c r="E121" t="s">
        <v>214</v>
      </c>
      <c r="F121" s="11">
        <f>Trans_Demand!C1066</f>
        <v>2025</v>
      </c>
      <c r="G121" s="11">
        <f>Trans_Demand!D1066</f>
        <v>5423.727177665648</v>
      </c>
    </row>
    <row r="122" spans="2:7">
      <c r="B122" t="str">
        <f>Trans_Demand!A1067</f>
        <v>WASSOLAOTDMD</v>
      </c>
      <c r="C122" t="str">
        <f>"DEMAND - "&amp;_xlfn.XLOOKUP(B122,Demand!E:E,Demand!A:A)&amp;" "&amp;_xlfn.XLOOKUP(B122,Demand!E:E,Demand!B:B)&amp;" "&amp;_xlfn.XLOOKUP(B122,Demand!E:E,Demand!C:C)&amp;" "&amp;_xlfn.XLOOKUP(B122,Demand!E:E,Demand!D:D)</f>
        <v xml:space="preserve">DEMAND - Waste Solid All other </v>
      </c>
      <c r="D122" t="str">
        <f>Trans_Demand!B1067</f>
        <v>k tonnes</v>
      </c>
      <c r="E122" t="s">
        <v>214</v>
      </c>
      <c r="F122" s="11">
        <f>Trans_Demand!C1067</f>
        <v>2030</v>
      </c>
      <c r="G122" s="11">
        <f>Trans_Demand!D1067</f>
        <v>5559.3203571072891</v>
      </c>
    </row>
    <row r="123" spans="2:7">
      <c r="B123" t="str">
        <f>Trans_Demand!A1068</f>
        <v>WASSOLAOTDMD</v>
      </c>
      <c r="C123" t="str">
        <f>"DEMAND - "&amp;_xlfn.XLOOKUP(B123,Demand!E:E,Demand!A:A)&amp;" "&amp;_xlfn.XLOOKUP(B123,Demand!E:E,Demand!B:B)&amp;" "&amp;_xlfn.XLOOKUP(B123,Demand!E:E,Demand!C:C)&amp;" "&amp;_xlfn.XLOOKUP(B123,Demand!E:E,Demand!D:D)</f>
        <v xml:space="preserve">DEMAND - Waste Solid All other </v>
      </c>
      <c r="D123" t="str">
        <f>Trans_Demand!B1068</f>
        <v>k tonnes</v>
      </c>
      <c r="E123" t="s">
        <v>214</v>
      </c>
      <c r="F123" s="11">
        <f>Trans_Demand!C1068</f>
        <v>2035</v>
      </c>
      <c r="G123" s="11">
        <f>Trans_Demand!D1068</f>
        <v>5698.3033660349711</v>
      </c>
    </row>
    <row r="124" spans="2:7">
      <c r="B124" t="str">
        <f>Trans_Demand!A1069</f>
        <v>WASSOLAOTDMD</v>
      </c>
      <c r="C124" t="str">
        <f>"DEMAND - "&amp;_xlfn.XLOOKUP(B124,Demand!E:E,Demand!A:A)&amp;" "&amp;_xlfn.XLOOKUP(B124,Demand!E:E,Demand!B:B)&amp;" "&amp;_xlfn.XLOOKUP(B124,Demand!E:E,Demand!C:C)&amp;" "&amp;_xlfn.XLOOKUP(B124,Demand!E:E,Demand!D:D)</f>
        <v xml:space="preserve">DEMAND - Waste Solid All other </v>
      </c>
      <c r="D124" t="str">
        <f>Trans_Demand!B1069</f>
        <v>k tonnes</v>
      </c>
      <c r="E124" t="s">
        <v>214</v>
      </c>
      <c r="F124" s="11">
        <f>Trans_Demand!C1069</f>
        <v>2040</v>
      </c>
      <c r="G124" s="11">
        <f>Trans_Demand!D1069</f>
        <v>5840.7609501858451</v>
      </c>
    </row>
    <row r="125" spans="2:7">
      <c r="B125" t="str">
        <f>Trans_Demand!A1070</f>
        <v>WASSOLAOTDMD</v>
      </c>
      <c r="C125" t="str">
        <f>"DEMAND - "&amp;_xlfn.XLOOKUP(B125,Demand!E:E,Demand!A:A)&amp;" "&amp;_xlfn.XLOOKUP(B125,Demand!E:E,Demand!B:B)&amp;" "&amp;_xlfn.XLOOKUP(B125,Demand!E:E,Demand!C:C)&amp;" "&amp;_xlfn.XLOOKUP(B125,Demand!E:E,Demand!D:D)</f>
        <v xml:space="preserve">DEMAND - Waste Solid All other </v>
      </c>
      <c r="D125" t="str">
        <f>Trans_Demand!B1070</f>
        <v>k tonnes</v>
      </c>
      <c r="E125" t="s">
        <v>214</v>
      </c>
      <c r="F125" s="11">
        <f>Trans_Demand!C1070</f>
        <v>2045</v>
      </c>
      <c r="G125" s="11">
        <f>Trans_Demand!D1070</f>
        <v>5986.7799739404909</v>
      </c>
    </row>
    <row r="126" spans="2:7">
      <c r="B126" t="str">
        <f>Trans_Demand!A1071</f>
        <v>WASSOLAOTDMD</v>
      </c>
      <c r="C126" t="str">
        <f>"DEMAND - "&amp;_xlfn.XLOOKUP(B126,Demand!E:E,Demand!A:A)&amp;" "&amp;_xlfn.XLOOKUP(B126,Demand!E:E,Demand!B:B)&amp;" "&amp;_xlfn.XLOOKUP(B126,Demand!E:E,Demand!C:C)&amp;" "&amp;_xlfn.XLOOKUP(B126,Demand!E:E,Demand!D:D)</f>
        <v xml:space="preserve">DEMAND - Waste Solid All other </v>
      </c>
      <c r="D126" t="str">
        <f>Trans_Demand!B1071</f>
        <v>k tonnes</v>
      </c>
      <c r="E126" t="s">
        <v>214</v>
      </c>
      <c r="F126" s="11">
        <f>Trans_Demand!C1071</f>
        <v>2050</v>
      </c>
      <c r="G126" s="11">
        <f>Trans_Demand!D1071</f>
        <v>6136.4494732890034</v>
      </c>
    </row>
    <row r="127" spans="2:7">
      <c r="B127" t="str">
        <f>Trans_Demand!A1072</f>
        <v>WASSOLAOTDMD</v>
      </c>
      <c r="C127" t="str">
        <f>"DEMAND - "&amp;_xlfn.XLOOKUP(B127,Demand!E:E,Demand!A:A)&amp;" "&amp;_xlfn.XLOOKUP(B127,Demand!E:E,Demand!B:B)&amp;" "&amp;_xlfn.XLOOKUP(B127,Demand!E:E,Demand!C:C)&amp;" "&amp;_xlfn.XLOOKUP(B127,Demand!E:E,Demand!D:D)</f>
        <v xml:space="preserve">DEMAND - Waste Solid All other </v>
      </c>
      <c r="D127" t="str">
        <f>Trans_Demand!B1072</f>
        <v>k tonnes</v>
      </c>
      <c r="E127" t="s">
        <v>214</v>
      </c>
      <c r="F127" s="11">
        <f>Trans_Demand!C1072</f>
        <v>2055</v>
      </c>
      <c r="G127" s="11">
        <f>Trans_Demand!D1072</f>
        <v>6289.8607101212274</v>
      </c>
    </row>
    <row r="128" spans="2:7">
      <c r="B128" t="str">
        <f>Trans_Demand!A1073</f>
        <v>WASSOLAOTDMD</v>
      </c>
      <c r="C128" t="str">
        <f>"DEMAND - "&amp;_xlfn.XLOOKUP(B128,Demand!E:E,Demand!A:A)&amp;" "&amp;_xlfn.XLOOKUP(B128,Demand!E:E,Demand!B:B)&amp;" "&amp;_xlfn.XLOOKUP(B128,Demand!E:E,Demand!C:C)&amp;" "&amp;_xlfn.XLOOKUP(B128,Demand!E:E,Demand!D:D)</f>
        <v xml:space="preserve">DEMAND - Waste Solid All other </v>
      </c>
      <c r="D128" t="str">
        <f>Trans_Demand!B1073</f>
        <v>k tonnes</v>
      </c>
      <c r="E128" t="s">
        <v>214</v>
      </c>
      <c r="F128" s="11">
        <f>Trans_Demand!C1073</f>
        <v>2060</v>
      </c>
      <c r="G128" s="11">
        <f>Trans_Demand!D1073</f>
        <v>6447.1072278742577</v>
      </c>
    </row>
    <row r="129" spans="2:7">
      <c r="B129" t="str">
        <f>Trans_Demand!A1074</f>
        <v>WASSOLAOTDMD</v>
      </c>
      <c r="C129" t="str">
        <f>"DEMAND - "&amp;_xlfn.XLOOKUP(B129,Demand!E:E,Demand!A:A)&amp;" "&amp;_xlfn.XLOOKUP(B129,Demand!E:E,Demand!B:B)&amp;" "&amp;_xlfn.XLOOKUP(B129,Demand!E:E,Demand!C:C)&amp;" "&amp;_xlfn.XLOOKUP(B129,Demand!E:E,Demand!D:D)</f>
        <v xml:space="preserve">DEMAND - Waste Solid All other </v>
      </c>
      <c r="D129" t="str">
        <f>Trans_Demand!B1074</f>
        <v>k tonnes</v>
      </c>
      <c r="E129" t="s">
        <v>214</v>
      </c>
      <c r="F129" s="11">
        <f>Trans_Demand!C1074</f>
        <v>2065</v>
      </c>
      <c r="G129" s="11">
        <f>Trans_Demand!D1074</f>
        <v>6608.2849085711132</v>
      </c>
    </row>
    <row r="130" spans="2:7">
      <c r="B130" t="str">
        <f>Trans_Demand!A1075</f>
        <v>WASSOLAOTDMD</v>
      </c>
      <c r="C130" t="str">
        <f>"DEMAND - "&amp;_xlfn.XLOOKUP(B130,Demand!E:E,Demand!A:A)&amp;" "&amp;_xlfn.XLOOKUP(B130,Demand!E:E,Demand!B:B)&amp;" "&amp;_xlfn.XLOOKUP(B130,Demand!E:E,Demand!C:C)&amp;" "&amp;_xlfn.XLOOKUP(B130,Demand!E:E,Demand!D:D)</f>
        <v xml:space="preserve">DEMAND - Waste Solid All other </v>
      </c>
      <c r="D130" t="str">
        <f>Trans_Demand!B1075</f>
        <v>k tonnes</v>
      </c>
      <c r="E130" t="s">
        <v>214</v>
      </c>
      <c r="F130" s="11">
        <f>Trans_Demand!C1075</f>
        <v>2070</v>
      </c>
      <c r="G130" s="11">
        <f>Trans_Demand!D1075</f>
        <v>6773.4920312853901</v>
      </c>
    </row>
    <row r="131" spans="2:7">
      <c r="B131" t="str">
        <f>Trans_Demand!A1076</f>
        <v>WASSOLAOTDMD</v>
      </c>
      <c r="C131" t="str">
        <f>"DEMAND - "&amp;_xlfn.XLOOKUP(B131,Demand!E:E,Demand!A:A)&amp;" "&amp;_xlfn.XLOOKUP(B131,Demand!E:E,Demand!B:B)&amp;" "&amp;_xlfn.XLOOKUP(B131,Demand!E:E,Demand!C:C)&amp;" "&amp;_xlfn.XLOOKUP(B131,Demand!E:E,Demand!D:D)</f>
        <v xml:space="preserve">DEMAND - Waste Solid All other </v>
      </c>
      <c r="D131" t="str">
        <f>Trans_Demand!B1076</f>
        <v>k tonnes</v>
      </c>
      <c r="E131" t="s">
        <v>214</v>
      </c>
      <c r="F131" s="11">
        <f>Trans_Demand!C1076</f>
        <v>2075</v>
      </c>
      <c r="G131" s="11">
        <f>Trans_Demand!D1076</f>
        <v>6942.8293320675239</v>
      </c>
    </row>
    <row r="132" spans="2:7">
      <c r="B132" t="str">
        <f>Trans_Demand!A1077</f>
        <v>WASSOLAOTDMD</v>
      </c>
      <c r="C132" t="str">
        <f>"DEMAND - "&amp;_xlfn.XLOOKUP(B132,Demand!E:E,Demand!A:A)&amp;" "&amp;_xlfn.XLOOKUP(B132,Demand!E:E,Demand!B:B)&amp;" "&amp;_xlfn.XLOOKUP(B132,Demand!E:E,Demand!C:C)&amp;" "&amp;_xlfn.XLOOKUP(B132,Demand!E:E,Demand!D:D)</f>
        <v xml:space="preserve">DEMAND - Waste Solid All other </v>
      </c>
      <c r="D132" t="str">
        <f>Trans_Demand!B1077</f>
        <v>k tonnes</v>
      </c>
      <c r="E132" t="s">
        <v>214</v>
      </c>
      <c r="F132" s="11">
        <f>Trans_Demand!C1077</f>
        <v>2080</v>
      </c>
      <c r="G132" s="11">
        <f>Trans_Demand!D1077</f>
        <v>7116.400065369211</v>
      </c>
    </row>
    <row r="133" spans="2:7">
      <c r="B133" t="str">
        <f>Trans_Demand!A1078</f>
        <v>WASSOLAOTDMD</v>
      </c>
      <c r="C133" t="str">
        <f>"DEMAND - "&amp;_xlfn.XLOOKUP(B133,Demand!E:E,Demand!A:A)&amp;" "&amp;_xlfn.XLOOKUP(B133,Demand!E:E,Demand!B:B)&amp;" "&amp;_xlfn.XLOOKUP(B133,Demand!E:E,Demand!C:C)&amp;" "&amp;_xlfn.XLOOKUP(B133,Demand!E:E,Demand!D:D)</f>
        <v xml:space="preserve">DEMAND - Waste Solid All other </v>
      </c>
      <c r="D133" t="str">
        <f>Trans_Demand!B1078</f>
        <v>k tonnes</v>
      </c>
      <c r="E133" t="s">
        <v>214</v>
      </c>
      <c r="F133" s="11">
        <f>Trans_Demand!C1078</f>
        <v>2085</v>
      </c>
      <c r="G133" s="11">
        <f>Trans_Demand!D1078</f>
        <v>7294.310067003441</v>
      </c>
    </row>
    <row r="134" spans="2:7">
      <c r="B134" t="str">
        <f>Trans_Demand!A1079</f>
        <v>WASSOLAOTDMD</v>
      </c>
      <c r="C134" t="str">
        <f>"DEMAND - "&amp;_xlfn.XLOOKUP(B134,Demand!E:E,Demand!A:A)&amp;" "&amp;_xlfn.XLOOKUP(B134,Demand!E:E,Demand!B:B)&amp;" "&amp;_xlfn.XLOOKUP(B134,Demand!E:E,Demand!C:C)&amp;" "&amp;_xlfn.XLOOKUP(B134,Demand!E:E,Demand!D:D)</f>
        <v xml:space="preserve">DEMAND - Waste Solid All other </v>
      </c>
      <c r="D134" t="str">
        <f>Trans_Demand!B1079</f>
        <v>k tonnes</v>
      </c>
      <c r="E134" t="s">
        <v>214</v>
      </c>
      <c r="F134" s="11">
        <f>Trans_Demand!C1079</f>
        <v>2090</v>
      </c>
      <c r="G134" s="11">
        <f>Trans_Demand!D1079</f>
        <v>7476.6678186785266</v>
      </c>
    </row>
    <row r="135" spans="2:7">
      <c r="B135" t="str">
        <f>Trans_Demand!A1080</f>
        <v>WASSOLAOTDMD</v>
      </c>
      <c r="C135" t="str">
        <f>"DEMAND - "&amp;_xlfn.XLOOKUP(B135,Demand!E:E,Demand!A:A)&amp;" "&amp;_xlfn.XLOOKUP(B135,Demand!E:E,Demand!B:B)&amp;" "&amp;_xlfn.XLOOKUP(B135,Demand!E:E,Demand!C:C)&amp;" "&amp;_xlfn.XLOOKUP(B135,Demand!E:E,Demand!D:D)</f>
        <v xml:space="preserve">DEMAND - Waste Solid All other </v>
      </c>
      <c r="D135" t="str">
        <f>Trans_Demand!B1080</f>
        <v>k tonnes</v>
      </c>
      <c r="E135" t="s">
        <v>214</v>
      </c>
      <c r="F135" s="11">
        <f>Trans_Demand!C1080</f>
        <v>2095</v>
      </c>
      <c r="G135" s="11">
        <f>Trans_Demand!D1080</f>
        <v>7663.5845141454893</v>
      </c>
    </row>
    <row r="136" spans="2:7">
      <c r="B136" t="str">
        <f>Trans_Demand!A1081</f>
        <v>WASSOLAOTDMD</v>
      </c>
      <c r="C136" t="str">
        <f>"DEMAND - "&amp;_xlfn.XLOOKUP(B136,Demand!E:E,Demand!A:A)&amp;" "&amp;_xlfn.XLOOKUP(B136,Demand!E:E,Demand!B:B)&amp;" "&amp;_xlfn.XLOOKUP(B136,Demand!E:E,Demand!C:C)&amp;" "&amp;_xlfn.XLOOKUP(B136,Demand!E:E,Demand!D:D)</f>
        <v xml:space="preserve">DEMAND - Waste Solid All other </v>
      </c>
      <c r="D136" t="str">
        <f>Trans_Demand!B1081</f>
        <v>k tonnes</v>
      </c>
      <c r="E136" t="s">
        <v>214</v>
      </c>
      <c r="F136" s="11">
        <f>Trans_Demand!C1081</f>
        <v>2100</v>
      </c>
      <c r="G136" s="11">
        <f>Trans_Demand!D1081</f>
        <v>7855.1741269991262</v>
      </c>
    </row>
    <row r="137" spans="2:7">
      <c r="B137" t="str">
        <f>B136</f>
        <v>WASSOLAOTDMD</v>
      </c>
      <c r="C137" t="str">
        <f>C136</f>
        <v xml:space="preserve">DEMAND - Waste Solid All other </v>
      </c>
      <c r="D137" t="str">
        <f>D136</f>
        <v>k tonnes</v>
      </c>
      <c r="E137" t="str">
        <f>E136</f>
        <v>COM_PROJ</v>
      </c>
      <c r="F137" s="11">
        <v>0</v>
      </c>
      <c r="G137" s="11">
        <v>5</v>
      </c>
    </row>
    <row r="138" spans="2:7">
      <c r="B138" t="str">
        <f>Trans_Demand!A1082</f>
        <v>WASSOLHISDMD</v>
      </c>
      <c r="C138" t="str">
        <f>"DEMAND - "&amp;_xlfn.XLOOKUP(B138,Demand!E:E,Demand!A:A)&amp;" "&amp;_xlfn.XLOOKUP(B138,Demand!E:E,Demand!B:B)&amp;" "&amp;_xlfn.XLOOKUP(B138,Demand!E:E,Demand!C:C)&amp;" "&amp;_xlfn.XLOOKUP(B138,Demand!E:E,Demand!D:D)</f>
        <v xml:space="preserve">DEMAND - Waste Solid Historical </v>
      </c>
      <c r="D138" t="str">
        <f>Trans_Demand!B1082</f>
        <v>k tonnes</v>
      </c>
      <c r="E138" t="s">
        <v>214</v>
      </c>
      <c r="F138" s="11">
        <f>Trans_Demand!C1082</f>
        <v>2019</v>
      </c>
      <c r="G138" s="11">
        <f>Trans_Demand!D1082</f>
        <v>206463.0681189782</v>
      </c>
    </row>
    <row r="139" spans="2:7">
      <c r="B139" t="str">
        <f>Trans_Demand!A1083</f>
        <v>WASSOLHISDMD</v>
      </c>
      <c r="C139" t="str">
        <f>"DEMAND - "&amp;_xlfn.XLOOKUP(B139,Demand!E:E,Demand!A:A)&amp;" "&amp;_xlfn.XLOOKUP(B139,Demand!E:E,Demand!B:B)&amp;" "&amp;_xlfn.XLOOKUP(B139,Demand!E:E,Demand!C:C)&amp;" "&amp;_xlfn.XLOOKUP(B139,Demand!E:E,Demand!D:D)</f>
        <v xml:space="preserve">DEMAND - Waste Solid Historical </v>
      </c>
      <c r="D139" t="str">
        <f>Trans_Demand!B1083</f>
        <v>k tonnes</v>
      </c>
      <c r="E139" t="s">
        <v>214</v>
      </c>
      <c r="F139" s="11">
        <f>Trans_Demand!C1083</f>
        <v>2020</v>
      </c>
      <c r="G139" s="11">
        <f>Trans_Demand!D1083</f>
        <v>0</v>
      </c>
    </row>
    <row r="140" spans="2:7">
      <c r="B140" t="str">
        <f>Trans_Demand!A1084</f>
        <v>WASSOLHISDMD</v>
      </c>
      <c r="C140" t="str">
        <f>"DEMAND - "&amp;_xlfn.XLOOKUP(B140,Demand!E:E,Demand!A:A)&amp;" "&amp;_xlfn.XLOOKUP(B140,Demand!E:E,Demand!B:B)&amp;" "&amp;_xlfn.XLOOKUP(B140,Demand!E:E,Demand!C:C)&amp;" "&amp;_xlfn.XLOOKUP(B140,Demand!E:E,Demand!D:D)</f>
        <v xml:space="preserve">DEMAND - Waste Solid Historical </v>
      </c>
      <c r="D140" t="str">
        <f>Trans_Demand!B1084</f>
        <v>k tonnes</v>
      </c>
      <c r="E140" t="s">
        <v>214</v>
      </c>
      <c r="F140" s="11">
        <f>Trans_Demand!C1084</f>
        <v>2025</v>
      </c>
      <c r="G140" s="11">
        <f>Trans_Demand!D1084</f>
        <v>0</v>
      </c>
    </row>
    <row r="141" spans="2:7">
      <c r="B141" t="str">
        <f>Trans_Demand!A1085</f>
        <v>WASSOLHISDMD</v>
      </c>
      <c r="C141" t="str">
        <f>"DEMAND - "&amp;_xlfn.XLOOKUP(B141,Demand!E:E,Demand!A:A)&amp;" "&amp;_xlfn.XLOOKUP(B141,Demand!E:E,Demand!B:B)&amp;" "&amp;_xlfn.XLOOKUP(B141,Demand!E:E,Demand!C:C)&amp;" "&amp;_xlfn.XLOOKUP(B141,Demand!E:E,Demand!D:D)</f>
        <v xml:space="preserve">DEMAND - Waste Solid Historical </v>
      </c>
      <c r="D141" t="str">
        <f>Trans_Demand!B1085</f>
        <v>k tonnes</v>
      </c>
      <c r="E141" t="s">
        <v>214</v>
      </c>
      <c r="F141" s="11">
        <f>Trans_Demand!C1085</f>
        <v>2030</v>
      </c>
      <c r="G141" s="11">
        <f>Trans_Demand!D1085</f>
        <v>0</v>
      </c>
    </row>
    <row r="142" spans="2:7">
      <c r="B142" t="str">
        <f>Trans_Demand!A1086</f>
        <v>WASSOLHISDMD</v>
      </c>
      <c r="C142" t="str">
        <f>"DEMAND - "&amp;_xlfn.XLOOKUP(B142,Demand!E:E,Demand!A:A)&amp;" "&amp;_xlfn.XLOOKUP(B142,Demand!E:E,Demand!B:B)&amp;" "&amp;_xlfn.XLOOKUP(B142,Demand!E:E,Demand!C:C)&amp;" "&amp;_xlfn.XLOOKUP(B142,Demand!E:E,Demand!D:D)</f>
        <v xml:space="preserve">DEMAND - Waste Solid Historical </v>
      </c>
      <c r="D142" t="str">
        <f>Trans_Demand!B1086</f>
        <v>k tonnes</v>
      </c>
      <c r="E142" t="s">
        <v>214</v>
      </c>
      <c r="F142" s="11">
        <f>Trans_Demand!C1086</f>
        <v>2035</v>
      </c>
      <c r="G142" s="11">
        <f>Trans_Demand!D1086</f>
        <v>0</v>
      </c>
    </row>
    <row r="143" spans="2:7">
      <c r="B143" t="str">
        <f>Trans_Demand!A1087</f>
        <v>WASSOLHISDMD</v>
      </c>
      <c r="C143" t="str">
        <f>"DEMAND - "&amp;_xlfn.XLOOKUP(B143,Demand!E:E,Demand!A:A)&amp;" "&amp;_xlfn.XLOOKUP(B143,Demand!E:E,Demand!B:B)&amp;" "&amp;_xlfn.XLOOKUP(B143,Demand!E:E,Demand!C:C)&amp;" "&amp;_xlfn.XLOOKUP(B143,Demand!E:E,Demand!D:D)</f>
        <v xml:space="preserve">DEMAND - Waste Solid Historical </v>
      </c>
      <c r="D143" t="str">
        <f>Trans_Demand!B1087</f>
        <v>k tonnes</v>
      </c>
      <c r="E143" t="s">
        <v>214</v>
      </c>
      <c r="F143" s="11">
        <f>Trans_Demand!C1087</f>
        <v>2040</v>
      </c>
      <c r="G143" s="11">
        <f>Trans_Demand!D1087</f>
        <v>0</v>
      </c>
    </row>
    <row r="144" spans="2:7">
      <c r="B144" t="str">
        <f>Trans_Demand!A1088</f>
        <v>WASSOLHISDMD</v>
      </c>
      <c r="C144" t="str">
        <f>"DEMAND - "&amp;_xlfn.XLOOKUP(B144,Demand!E:E,Demand!A:A)&amp;" "&amp;_xlfn.XLOOKUP(B144,Demand!E:E,Demand!B:B)&amp;" "&amp;_xlfn.XLOOKUP(B144,Demand!E:E,Demand!C:C)&amp;" "&amp;_xlfn.XLOOKUP(B144,Demand!E:E,Demand!D:D)</f>
        <v xml:space="preserve">DEMAND - Waste Solid Historical </v>
      </c>
      <c r="D144" t="str">
        <f>Trans_Demand!B1088</f>
        <v>k tonnes</v>
      </c>
      <c r="E144" t="s">
        <v>214</v>
      </c>
      <c r="F144" s="11">
        <f>Trans_Demand!C1088</f>
        <v>2045</v>
      </c>
      <c r="G144" s="11">
        <f>Trans_Demand!D1088</f>
        <v>0</v>
      </c>
    </row>
    <row r="145" spans="2:7">
      <c r="B145" t="str">
        <f>Trans_Demand!A1089</f>
        <v>WASSOLHISDMD</v>
      </c>
      <c r="C145" t="str">
        <f>"DEMAND - "&amp;_xlfn.XLOOKUP(B145,Demand!E:E,Demand!A:A)&amp;" "&amp;_xlfn.XLOOKUP(B145,Demand!E:E,Demand!B:B)&amp;" "&amp;_xlfn.XLOOKUP(B145,Demand!E:E,Demand!C:C)&amp;" "&amp;_xlfn.XLOOKUP(B145,Demand!E:E,Demand!D:D)</f>
        <v xml:space="preserve">DEMAND - Waste Solid Historical </v>
      </c>
      <c r="D145" t="str">
        <f>Trans_Demand!B1089</f>
        <v>k tonnes</v>
      </c>
      <c r="E145" t="s">
        <v>214</v>
      </c>
      <c r="F145" s="11">
        <f>Trans_Demand!C1089</f>
        <v>2050</v>
      </c>
      <c r="G145" s="11">
        <f>Trans_Demand!D1089</f>
        <v>0</v>
      </c>
    </row>
    <row r="146" spans="2:7">
      <c r="B146" t="str">
        <f>Trans_Demand!A1090</f>
        <v>WASSOLHISDMD</v>
      </c>
      <c r="C146" t="str">
        <f>"DEMAND - "&amp;_xlfn.XLOOKUP(B146,Demand!E:E,Demand!A:A)&amp;" "&amp;_xlfn.XLOOKUP(B146,Demand!E:E,Demand!B:B)&amp;" "&amp;_xlfn.XLOOKUP(B146,Demand!E:E,Demand!C:C)&amp;" "&amp;_xlfn.XLOOKUP(B146,Demand!E:E,Demand!D:D)</f>
        <v xml:space="preserve">DEMAND - Waste Solid Historical </v>
      </c>
      <c r="D146" t="str">
        <f>Trans_Demand!B1090</f>
        <v>k tonnes</v>
      </c>
      <c r="E146" t="s">
        <v>214</v>
      </c>
      <c r="F146" s="11">
        <f>Trans_Demand!C1090</f>
        <v>2055</v>
      </c>
      <c r="G146" s="11">
        <f>Trans_Demand!D1090</f>
        <v>0</v>
      </c>
    </row>
    <row r="147" spans="2:7">
      <c r="B147" t="str">
        <f>Trans_Demand!A1091</f>
        <v>WASSOLHISDMD</v>
      </c>
      <c r="C147" t="str">
        <f>"DEMAND - "&amp;_xlfn.XLOOKUP(B147,Demand!E:E,Demand!A:A)&amp;" "&amp;_xlfn.XLOOKUP(B147,Demand!E:E,Demand!B:B)&amp;" "&amp;_xlfn.XLOOKUP(B147,Demand!E:E,Demand!C:C)&amp;" "&amp;_xlfn.XLOOKUP(B147,Demand!E:E,Demand!D:D)</f>
        <v xml:space="preserve">DEMAND - Waste Solid Historical </v>
      </c>
      <c r="D147" t="str">
        <f>Trans_Demand!B1091</f>
        <v>k tonnes</v>
      </c>
      <c r="E147" t="s">
        <v>214</v>
      </c>
      <c r="F147" s="11">
        <f>Trans_Demand!C1091</f>
        <v>2060</v>
      </c>
      <c r="G147" s="11">
        <f>Trans_Demand!D1091</f>
        <v>0</v>
      </c>
    </row>
    <row r="148" spans="2:7">
      <c r="B148" t="str">
        <f>Trans_Demand!A1092</f>
        <v>WASSOLHISDMD</v>
      </c>
      <c r="C148" t="str">
        <f>"DEMAND - "&amp;_xlfn.XLOOKUP(B148,Demand!E:E,Demand!A:A)&amp;" "&amp;_xlfn.XLOOKUP(B148,Demand!E:E,Demand!B:B)&amp;" "&amp;_xlfn.XLOOKUP(B148,Demand!E:E,Demand!C:C)&amp;" "&amp;_xlfn.XLOOKUP(B148,Demand!E:E,Demand!D:D)</f>
        <v xml:space="preserve">DEMAND - Waste Solid Historical </v>
      </c>
      <c r="D148" t="str">
        <f>Trans_Demand!B1092</f>
        <v>k tonnes</v>
      </c>
      <c r="E148" t="s">
        <v>214</v>
      </c>
      <c r="F148" s="11">
        <f>Trans_Demand!C1092</f>
        <v>2065</v>
      </c>
      <c r="G148" s="11">
        <f>Trans_Demand!D1092</f>
        <v>0</v>
      </c>
    </row>
    <row r="149" spans="2:7">
      <c r="B149" t="str">
        <f>Trans_Demand!A1093</f>
        <v>WASSOLHISDMD</v>
      </c>
      <c r="C149" t="str">
        <f>"DEMAND - "&amp;_xlfn.XLOOKUP(B149,Demand!E:E,Demand!A:A)&amp;" "&amp;_xlfn.XLOOKUP(B149,Demand!E:E,Demand!B:B)&amp;" "&amp;_xlfn.XLOOKUP(B149,Demand!E:E,Demand!C:C)&amp;" "&amp;_xlfn.XLOOKUP(B149,Demand!E:E,Demand!D:D)</f>
        <v xml:space="preserve">DEMAND - Waste Solid Historical </v>
      </c>
      <c r="D149" t="str">
        <f>Trans_Demand!B1093</f>
        <v>k tonnes</v>
      </c>
      <c r="E149" t="s">
        <v>214</v>
      </c>
      <c r="F149" s="11">
        <f>Trans_Demand!C1093</f>
        <v>2070</v>
      </c>
      <c r="G149" s="11">
        <f>Trans_Demand!D1093</f>
        <v>0</v>
      </c>
    </row>
    <row r="150" spans="2:7">
      <c r="B150" t="str">
        <f>Trans_Demand!A1094</f>
        <v>WASSOLHISDMD</v>
      </c>
      <c r="C150" t="str">
        <f>"DEMAND - "&amp;_xlfn.XLOOKUP(B150,Demand!E:E,Demand!A:A)&amp;" "&amp;_xlfn.XLOOKUP(B150,Demand!E:E,Demand!B:B)&amp;" "&amp;_xlfn.XLOOKUP(B150,Demand!E:E,Demand!C:C)&amp;" "&amp;_xlfn.XLOOKUP(B150,Demand!E:E,Demand!D:D)</f>
        <v xml:space="preserve">DEMAND - Waste Solid Historical </v>
      </c>
      <c r="D150" t="str">
        <f>Trans_Demand!B1094</f>
        <v>k tonnes</v>
      </c>
      <c r="E150" t="s">
        <v>214</v>
      </c>
      <c r="F150" s="11">
        <f>Trans_Demand!C1094</f>
        <v>2075</v>
      </c>
      <c r="G150" s="11">
        <f>Trans_Demand!D1094</f>
        <v>0</v>
      </c>
    </row>
    <row r="151" spans="2:7">
      <c r="B151" t="str">
        <f>Trans_Demand!A1095</f>
        <v>WASSOLHISDMD</v>
      </c>
      <c r="C151" t="str">
        <f>"DEMAND - "&amp;_xlfn.XLOOKUP(B151,Demand!E:E,Demand!A:A)&amp;" "&amp;_xlfn.XLOOKUP(B151,Demand!E:E,Demand!B:B)&amp;" "&amp;_xlfn.XLOOKUP(B151,Demand!E:E,Demand!C:C)&amp;" "&amp;_xlfn.XLOOKUP(B151,Demand!E:E,Demand!D:D)</f>
        <v xml:space="preserve">DEMAND - Waste Solid Historical </v>
      </c>
      <c r="D151" t="str">
        <f>Trans_Demand!B1095</f>
        <v>k tonnes</v>
      </c>
      <c r="E151" t="s">
        <v>214</v>
      </c>
      <c r="F151" s="11">
        <f>Trans_Demand!C1095</f>
        <v>2080</v>
      </c>
      <c r="G151" s="11">
        <f>Trans_Demand!D1095</f>
        <v>0</v>
      </c>
    </row>
    <row r="152" spans="2:7">
      <c r="B152" t="str">
        <f>Trans_Demand!A1096</f>
        <v>WASSOLHISDMD</v>
      </c>
      <c r="C152" t="str">
        <f>"DEMAND - "&amp;_xlfn.XLOOKUP(B152,Demand!E:E,Demand!A:A)&amp;" "&amp;_xlfn.XLOOKUP(B152,Demand!E:E,Demand!B:B)&amp;" "&amp;_xlfn.XLOOKUP(B152,Demand!E:E,Demand!C:C)&amp;" "&amp;_xlfn.XLOOKUP(B152,Demand!E:E,Demand!D:D)</f>
        <v xml:space="preserve">DEMAND - Waste Solid Historical </v>
      </c>
      <c r="D152" t="str">
        <f>Trans_Demand!B1096</f>
        <v>k tonnes</v>
      </c>
      <c r="E152" t="s">
        <v>214</v>
      </c>
      <c r="F152" s="11">
        <f>Trans_Demand!C1096</f>
        <v>2085</v>
      </c>
      <c r="G152" s="11">
        <f>Trans_Demand!D1096</f>
        <v>0</v>
      </c>
    </row>
    <row r="153" spans="2:7">
      <c r="B153" t="str">
        <f>Trans_Demand!A1097</f>
        <v>WASSOLHISDMD</v>
      </c>
      <c r="C153" t="str">
        <f>"DEMAND - "&amp;_xlfn.XLOOKUP(B153,Demand!E:E,Demand!A:A)&amp;" "&amp;_xlfn.XLOOKUP(B153,Demand!E:E,Demand!B:B)&amp;" "&amp;_xlfn.XLOOKUP(B153,Demand!E:E,Demand!C:C)&amp;" "&amp;_xlfn.XLOOKUP(B153,Demand!E:E,Demand!D:D)</f>
        <v xml:space="preserve">DEMAND - Waste Solid Historical </v>
      </c>
      <c r="D153" t="str">
        <f>Trans_Demand!B1097</f>
        <v>k tonnes</v>
      </c>
      <c r="E153" t="s">
        <v>214</v>
      </c>
      <c r="F153" s="11">
        <f>Trans_Demand!C1097</f>
        <v>2090</v>
      </c>
      <c r="G153" s="11">
        <f>Trans_Demand!D1097</f>
        <v>0</v>
      </c>
    </row>
    <row r="154" spans="2:7">
      <c r="B154" t="str">
        <f>Trans_Demand!A1098</f>
        <v>WASSOLHISDMD</v>
      </c>
      <c r="C154" t="str">
        <f>"DEMAND - "&amp;_xlfn.XLOOKUP(B154,Demand!E:E,Demand!A:A)&amp;" "&amp;_xlfn.XLOOKUP(B154,Demand!E:E,Demand!B:B)&amp;" "&amp;_xlfn.XLOOKUP(B154,Demand!E:E,Demand!C:C)&amp;" "&amp;_xlfn.XLOOKUP(B154,Demand!E:E,Demand!D:D)</f>
        <v xml:space="preserve">DEMAND - Waste Solid Historical </v>
      </c>
      <c r="D154" t="str">
        <f>Trans_Demand!B1098</f>
        <v>k tonnes</v>
      </c>
      <c r="E154" t="s">
        <v>214</v>
      </c>
      <c r="F154" s="11">
        <f>Trans_Demand!C1098</f>
        <v>2095</v>
      </c>
      <c r="G154" s="11">
        <f>Trans_Demand!D1098</f>
        <v>0</v>
      </c>
    </row>
    <row r="155" spans="2:7">
      <c r="B155" t="str">
        <f>Trans_Demand!A1099</f>
        <v>WASSOLHISDMD</v>
      </c>
      <c r="C155" t="str">
        <f>"DEMAND - "&amp;_xlfn.XLOOKUP(B155,Demand!E:E,Demand!A:A)&amp;" "&amp;_xlfn.XLOOKUP(B155,Demand!E:E,Demand!B:B)&amp;" "&amp;_xlfn.XLOOKUP(B155,Demand!E:E,Demand!C:C)&amp;" "&amp;_xlfn.XLOOKUP(B155,Demand!E:E,Demand!D:D)</f>
        <v xml:space="preserve">DEMAND - Waste Solid Historical </v>
      </c>
      <c r="D155" t="str">
        <f>Trans_Demand!B1099</f>
        <v>k tonnes</v>
      </c>
      <c r="E155" t="s">
        <v>214</v>
      </c>
      <c r="F155" s="11">
        <f>Trans_Demand!C1099</f>
        <v>2100</v>
      </c>
      <c r="G155" s="11">
        <f>Trans_Demand!D1099</f>
        <v>0</v>
      </c>
    </row>
    <row r="156" spans="2:7">
      <c r="B156" t="str">
        <f>B155</f>
        <v>WASSOLHISDMD</v>
      </c>
      <c r="C156" t="str">
        <f>C155</f>
        <v xml:space="preserve">DEMAND - Waste Solid Historical </v>
      </c>
      <c r="D156" t="str">
        <f>D155</f>
        <v>k tonnes</v>
      </c>
      <c r="E156" t="str">
        <f>E155</f>
        <v>COM_PROJ</v>
      </c>
      <c r="F156" s="11">
        <v>0</v>
      </c>
      <c r="G156" s="11">
        <v>5</v>
      </c>
    </row>
    <row r="157" spans="2:7">
      <c r="B157" t="str">
        <f>Trans_Demand!A1100</f>
        <v>WASWATFWADMD</v>
      </c>
      <c r="C157" t="str">
        <f>"DEMAND - "&amp;_xlfn.XLOOKUP(B157,Demand!E:E,Demand!A:A)&amp;" "&amp;_xlfn.XLOOKUP(B157,Demand!E:E,Demand!B:B)&amp;" "&amp;_xlfn.XLOOKUP(B157,Demand!E:E,Demand!C:C)&amp;" "&amp;_xlfn.XLOOKUP(B157,Demand!E:E,Demand!D:D)</f>
        <v xml:space="preserve">DEMAND - Waste Water Fresh Water </v>
      </c>
      <c r="D157" t="str">
        <f>Trans_Demand!B1100</f>
        <v>Mm3</v>
      </c>
      <c r="E157" t="s">
        <v>214</v>
      </c>
      <c r="F157" s="11">
        <f>Trans_Demand!C1100</f>
        <v>2019</v>
      </c>
      <c r="G157" s="11">
        <f>Trans_Demand!D1100</f>
        <v>1957.9449839347731</v>
      </c>
    </row>
    <row r="158" spans="2:7">
      <c r="B158" t="str">
        <f>Trans_Demand!A1101</f>
        <v>WASWATFWADMD</v>
      </c>
      <c r="C158" t="str">
        <f>"DEMAND - "&amp;_xlfn.XLOOKUP(B158,Demand!E:E,Demand!A:A)&amp;" "&amp;_xlfn.XLOOKUP(B158,Demand!E:E,Demand!B:B)&amp;" "&amp;_xlfn.XLOOKUP(B158,Demand!E:E,Demand!C:C)&amp;" "&amp;_xlfn.XLOOKUP(B158,Demand!E:E,Demand!D:D)</f>
        <v xml:space="preserve">DEMAND - Waste Water Fresh Water </v>
      </c>
      <c r="D158" t="str">
        <f>Trans_Demand!B1101</f>
        <v>Mm3</v>
      </c>
      <c r="E158" t="s">
        <v>214</v>
      </c>
      <c r="F158" s="11">
        <f>Trans_Demand!C1101</f>
        <v>2020</v>
      </c>
      <c r="G158" s="11">
        <f>Trans_Demand!D1101</f>
        <v>1967.7347088544459</v>
      </c>
    </row>
    <row r="159" spans="2:7">
      <c r="B159" t="str">
        <f>Trans_Demand!A1102</f>
        <v>WASWATFWADMD</v>
      </c>
      <c r="C159" t="str">
        <f>"DEMAND - "&amp;_xlfn.XLOOKUP(B159,Demand!E:E,Demand!A:A)&amp;" "&amp;_xlfn.XLOOKUP(B159,Demand!E:E,Demand!B:B)&amp;" "&amp;_xlfn.XLOOKUP(B159,Demand!E:E,Demand!C:C)&amp;" "&amp;_xlfn.XLOOKUP(B159,Demand!E:E,Demand!D:D)</f>
        <v xml:space="preserve">DEMAND - Waste Water Fresh Water </v>
      </c>
      <c r="D159" t="str">
        <f>Trans_Demand!B1102</f>
        <v>Mm3</v>
      </c>
      <c r="E159" t="s">
        <v>214</v>
      </c>
      <c r="F159" s="11">
        <f>Trans_Demand!C1102</f>
        <v>2025</v>
      </c>
      <c r="G159" s="11">
        <f>Trans_Demand!D1102</f>
        <v>2016.9280765758069</v>
      </c>
    </row>
    <row r="160" spans="2:7">
      <c r="B160" t="str">
        <f>Trans_Demand!A1103</f>
        <v>WASWATFWADMD</v>
      </c>
      <c r="C160" t="str">
        <f>"DEMAND - "&amp;_xlfn.XLOOKUP(B160,Demand!E:E,Demand!A:A)&amp;" "&amp;_xlfn.XLOOKUP(B160,Demand!E:E,Demand!B:B)&amp;" "&amp;_xlfn.XLOOKUP(B160,Demand!E:E,Demand!C:C)&amp;" "&amp;_xlfn.XLOOKUP(B160,Demand!E:E,Demand!D:D)</f>
        <v xml:space="preserve">DEMAND - Waste Water Fresh Water </v>
      </c>
      <c r="D160" t="str">
        <f>Trans_Demand!B1103</f>
        <v>Mm3</v>
      </c>
      <c r="E160" t="s">
        <v>214</v>
      </c>
      <c r="F160" s="11">
        <f>Trans_Demand!C1103</f>
        <v>2030</v>
      </c>
      <c r="G160" s="11">
        <f>Trans_Demand!D1103</f>
        <v>2067.3512784902018</v>
      </c>
    </row>
    <row r="161" spans="2:7">
      <c r="B161" t="str">
        <f>Trans_Demand!A1104</f>
        <v>WASWATFWADMD</v>
      </c>
      <c r="C161" t="str">
        <f>"DEMAND - "&amp;_xlfn.XLOOKUP(B161,Demand!E:E,Demand!A:A)&amp;" "&amp;_xlfn.XLOOKUP(B161,Demand!E:E,Demand!B:B)&amp;" "&amp;_xlfn.XLOOKUP(B161,Demand!E:E,Demand!C:C)&amp;" "&amp;_xlfn.XLOOKUP(B161,Demand!E:E,Demand!D:D)</f>
        <v xml:space="preserve">DEMAND - Waste Water Fresh Water </v>
      </c>
      <c r="D161" t="str">
        <f>Trans_Demand!B1104</f>
        <v>Mm3</v>
      </c>
      <c r="E161" t="s">
        <v>214</v>
      </c>
      <c r="F161" s="11">
        <f>Trans_Demand!C1104</f>
        <v>2035</v>
      </c>
      <c r="G161" s="11">
        <f>Trans_Demand!D1104</f>
        <v>2119.0350604524569</v>
      </c>
    </row>
    <row r="162" spans="2:7">
      <c r="B162" t="str">
        <f>Trans_Demand!A1105</f>
        <v>WASWATFWADMD</v>
      </c>
      <c r="C162" t="str">
        <f>"DEMAND - "&amp;_xlfn.XLOOKUP(B162,Demand!E:E,Demand!A:A)&amp;" "&amp;_xlfn.XLOOKUP(B162,Demand!E:E,Demand!B:B)&amp;" "&amp;_xlfn.XLOOKUP(B162,Demand!E:E,Demand!C:C)&amp;" "&amp;_xlfn.XLOOKUP(B162,Demand!E:E,Demand!D:D)</f>
        <v xml:space="preserve">DEMAND - Waste Water Fresh Water </v>
      </c>
      <c r="D162" t="str">
        <f>Trans_Demand!B1105</f>
        <v>Mm3</v>
      </c>
      <c r="E162" t="s">
        <v>214</v>
      </c>
      <c r="F162" s="11">
        <f>Trans_Demand!C1105</f>
        <v>2040</v>
      </c>
      <c r="G162" s="11">
        <f>Trans_Demand!D1105</f>
        <v>2172.010936963768</v>
      </c>
    </row>
    <row r="163" spans="2:7">
      <c r="B163" t="str">
        <f>Trans_Demand!A1106</f>
        <v>WASWATFWADMD</v>
      </c>
      <c r="C163" t="str">
        <f>"DEMAND - "&amp;_xlfn.XLOOKUP(B163,Demand!E:E,Demand!A:A)&amp;" "&amp;_xlfn.XLOOKUP(B163,Demand!E:E,Demand!B:B)&amp;" "&amp;_xlfn.XLOOKUP(B163,Demand!E:E,Demand!C:C)&amp;" "&amp;_xlfn.XLOOKUP(B163,Demand!E:E,Demand!D:D)</f>
        <v xml:space="preserve">DEMAND - Waste Water Fresh Water </v>
      </c>
      <c r="D163" t="str">
        <f>Trans_Demand!B1106</f>
        <v>Mm3</v>
      </c>
      <c r="E163" t="s">
        <v>214</v>
      </c>
      <c r="F163" s="11">
        <f>Trans_Demand!C1106</f>
        <v>2045</v>
      </c>
      <c r="G163" s="11">
        <f>Trans_Demand!D1106</f>
        <v>2226.311210387862</v>
      </c>
    </row>
    <row r="164" spans="2:7">
      <c r="B164" t="str">
        <f>Trans_Demand!A1107</f>
        <v>WASWATFWADMD</v>
      </c>
      <c r="C164" t="str">
        <f>"DEMAND - "&amp;_xlfn.XLOOKUP(B164,Demand!E:E,Demand!A:A)&amp;" "&amp;_xlfn.XLOOKUP(B164,Demand!E:E,Demand!B:B)&amp;" "&amp;_xlfn.XLOOKUP(B164,Demand!E:E,Demand!C:C)&amp;" "&amp;_xlfn.XLOOKUP(B164,Demand!E:E,Demand!D:D)</f>
        <v xml:space="preserve">DEMAND - Waste Water Fresh Water </v>
      </c>
      <c r="D164" t="str">
        <f>Trans_Demand!B1107</f>
        <v>Mm3</v>
      </c>
      <c r="E164" t="s">
        <v>214</v>
      </c>
      <c r="F164" s="11">
        <f>Trans_Demand!C1107</f>
        <v>2050</v>
      </c>
      <c r="G164" s="11">
        <f>Trans_Demand!D1107</f>
        <v>2281.9689906475578</v>
      </c>
    </row>
    <row r="165" spans="2:7">
      <c r="B165" t="str">
        <f>Trans_Demand!A1108</f>
        <v>WASWATFWADMD</v>
      </c>
      <c r="C165" t="str">
        <f>"DEMAND - "&amp;_xlfn.XLOOKUP(B165,Demand!E:E,Demand!A:A)&amp;" "&amp;_xlfn.XLOOKUP(B165,Demand!E:E,Demand!B:B)&amp;" "&amp;_xlfn.XLOOKUP(B165,Demand!E:E,Demand!C:C)&amp;" "&amp;_xlfn.XLOOKUP(B165,Demand!E:E,Demand!D:D)</f>
        <v xml:space="preserve">DEMAND - Waste Water Fresh Water </v>
      </c>
      <c r="D165" t="str">
        <f>Trans_Demand!B1108</f>
        <v>Mm3</v>
      </c>
      <c r="E165" t="s">
        <v>214</v>
      </c>
      <c r="F165" s="11">
        <f>Trans_Demand!C1108</f>
        <v>2055</v>
      </c>
      <c r="G165" s="11">
        <f>Trans_Demand!D1108</f>
        <v>2339.0182154137469</v>
      </c>
    </row>
    <row r="166" spans="2:7">
      <c r="B166" t="str">
        <f>Trans_Demand!A1109</f>
        <v>WASWATFWADMD</v>
      </c>
      <c r="C166" t="str">
        <f>"DEMAND - "&amp;_xlfn.XLOOKUP(B166,Demand!E:E,Demand!A:A)&amp;" "&amp;_xlfn.XLOOKUP(B166,Demand!E:E,Demand!B:B)&amp;" "&amp;_xlfn.XLOOKUP(B166,Demand!E:E,Demand!C:C)&amp;" "&amp;_xlfn.XLOOKUP(B166,Demand!E:E,Demand!D:D)</f>
        <v xml:space="preserve">DEMAND - Waste Water Fresh Water </v>
      </c>
      <c r="D166" t="str">
        <f>Trans_Demand!B1109</f>
        <v>Mm3</v>
      </c>
      <c r="E166" t="s">
        <v>214</v>
      </c>
      <c r="F166" s="11">
        <f>Trans_Demand!C1109</f>
        <v>2060</v>
      </c>
      <c r="G166" s="11">
        <f>Trans_Demand!D1109</f>
        <v>2397.493670799091</v>
      </c>
    </row>
    <row r="167" spans="2:7">
      <c r="B167" t="str">
        <f>Trans_Demand!A1110</f>
        <v>WASWATFWADMD</v>
      </c>
      <c r="C167" t="str">
        <f>"DEMAND - "&amp;_xlfn.XLOOKUP(B167,Demand!E:E,Demand!A:A)&amp;" "&amp;_xlfn.XLOOKUP(B167,Demand!E:E,Demand!B:B)&amp;" "&amp;_xlfn.XLOOKUP(B167,Demand!E:E,Demand!C:C)&amp;" "&amp;_xlfn.XLOOKUP(B167,Demand!E:E,Demand!D:D)</f>
        <v xml:space="preserve">DEMAND - Waste Water Fresh Water </v>
      </c>
      <c r="D167" t="str">
        <f>Trans_Demand!B1110</f>
        <v>Mm3</v>
      </c>
      <c r="E167" t="s">
        <v>214</v>
      </c>
      <c r="F167" s="11">
        <f>Trans_Demand!C1110</f>
        <v>2065</v>
      </c>
      <c r="G167" s="11">
        <f>Trans_Demand!D1110</f>
        <v>2457.4310125690681</v>
      </c>
    </row>
    <row r="168" spans="2:7">
      <c r="B168" t="str">
        <f>Trans_Demand!A1111</f>
        <v>WASWATFWADMD</v>
      </c>
      <c r="C168" t="str">
        <f>"DEMAND - "&amp;_xlfn.XLOOKUP(B168,Demand!E:E,Demand!A:A)&amp;" "&amp;_xlfn.XLOOKUP(B168,Demand!E:E,Demand!B:B)&amp;" "&amp;_xlfn.XLOOKUP(B168,Demand!E:E,Demand!C:C)&amp;" "&amp;_xlfn.XLOOKUP(B168,Demand!E:E,Demand!D:D)</f>
        <v xml:space="preserve">DEMAND - Waste Water Fresh Water </v>
      </c>
      <c r="D168" t="str">
        <f>Trans_Demand!B1111</f>
        <v>Mm3</v>
      </c>
      <c r="E168" t="s">
        <v>214</v>
      </c>
      <c r="F168" s="11">
        <f>Trans_Demand!C1111</f>
        <v>2070</v>
      </c>
      <c r="G168" s="11">
        <f>Trans_Demand!D1111</f>
        <v>2518.8667878832939</v>
      </c>
    </row>
    <row r="169" spans="2:7">
      <c r="B169" t="str">
        <f>Trans_Demand!A1112</f>
        <v>WASWATFWADMD</v>
      </c>
      <c r="C169" t="str">
        <f>"DEMAND - "&amp;_xlfn.XLOOKUP(B169,Demand!E:E,Demand!A:A)&amp;" "&amp;_xlfn.XLOOKUP(B169,Demand!E:E,Demand!B:B)&amp;" "&amp;_xlfn.XLOOKUP(B169,Demand!E:E,Demand!C:C)&amp;" "&amp;_xlfn.XLOOKUP(B169,Demand!E:E,Demand!D:D)</f>
        <v xml:space="preserve">DEMAND - Waste Water Fresh Water </v>
      </c>
      <c r="D169" t="str">
        <f>Trans_Demand!B1112</f>
        <v>Mm3</v>
      </c>
      <c r="E169" t="s">
        <v>214</v>
      </c>
      <c r="F169" s="11">
        <f>Trans_Demand!C1112</f>
        <v>2075</v>
      </c>
      <c r="G169" s="11">
        <f>Trans_Demand!D1112</f>
        <v>2581.8384575803761</v>
      </c>
    </row>
    <row r="170" spans="2:7">
      <c r="B170" t="str">
        <f>Trans_Demand!A1113</f>
        <v>WASWATFWADMD</v>
      </c>
      <c r="C170" t="str">
        <f>"DEMAND - "&amp;_xlfn.XLOOKUP(B170,Demand!E:E,Demand!A:A)&amp;" "&amp;_xlfn.XLOOKUP(B170,Demand!E:E,Demand!B:B)&amp;" "&amp;_xlfn.XLOOKUP(B170,Demand!E:E,Demand!C:C)&amp;" "&amp;_xlfn.XLOOKUP(B170,Demand!E:E,Demand!D:D)</f>
        <v xml:space="preserve">DEMAND - Waste Water Fresh Water </v>
      </c>
      <c r="D170" t="str">
        <f>Trans_Demand!B1113</f>
        <v>Mm3</v>
      </c>
      <c r="E170" t="s">
        <v>214</v>
      </c>
      <c r="F170" s="11">
        <f>Trans_Demand!C1113</f>
        <v>2080</v>
      </c>
      <c r="G170" s="11">
        <f>Trans_Demand!D1113</f>
        <v>2646.3844190198852</v>
      </c>
    </row>
    <row r="171" spans="2:7">
      <c r="B171" t="str">
        <f>Trans_Demand!A1114</f>
        <v>WASWATFWADMD</v>
      </c>
      <c r="C171" t="str">
        <f>"DEMAND - "&amp;_xlfn.XLOOKUP(B171,Demand!E:E,Demand!A:A)&amp;" "&amp;_xlfn.XLOOKUP(B171,Demand!E:E,Demand!B:B)&amp;" "&amp;_xlfn.XLOOKUP(B171,Demand!E:E,Demand!C:C)&amp;" "&amp;_xlfn.XLOOKUP(B171,Demand!E:E,Demand!D:D)</f>
        <v xml:space="preserve">DEMAND - Waste Water Fresh Water </v>
      </c>
      <c r="D171" t="str">
        <f>Trans_Demand!B1114</f>
        <v>Mm3</v>
      </c>
      <c r="E171" t="s">
        <v>214</v>
      </c>
      <c r="F171" s="11">
        <f>Trans_Demand!C1114</f>
        <v>2085</v>
      </c>
      <c r="G171" s="11">
        <f>Trans_Demand!D1114</f>
        <v>2712.5440294953819</v>
      </c>
    </row>
    <row r="172" spans="2:7">
      <c r="B172" t="str">
        <f>Trans_Demand!A1115</f>
        <v>WASWATFWADMD</v>
      </c>
      <c r="C172" t="str">
        <f>"DEMAND - "&amp;_xlfn.XLOOKUP(B172,Demand!E:E,Demand!A:A)&amp;" "&amp;_xlfn.XLOOKUP(B172,Demand!E:E,Demand!B:B)&amp;" "&amp;_xlfn.XLOOKUP(B172,Demand!E:E,Demand!C:C)&amp;" "&amp;_xlfn.XLOOKUP(B172,Demand!E:E,Demand!D:D)</f>
        <v xml:space="preserve">DEMAND - Waste Water Fresh Water </v>
      </c>
      <c r="D172" t="str">
        <f>Trans_Demand!B1115</f>
        <v>Mm3</v>
      </c>
      <c r="E172" t="s">
        <v>214</v>
      </c>
      <c r="F172" s="11">
        <f>Trans_Demand!C1115</f>
        <v>2090</v>
      </c>
      <c r="G172" s="11">
        <f>Trans_Demand!D1115</f>
        <v>2780.357630232766</v>
      </c>
    </row>
    <row r="173" spans="2:7">
      <c r="B173" t="str">
        <f>Trans_Demand!A1116</f>
        <v>WASWATFWADMD</v>
      </c>
      <c r="C173" t="str">
        <f>"DEMAND - "&amp;_xlfn.XLOOKUP(B173,Demand!E:E,Demand!A:A)&amp;" "&amp;_xlfn.XLOOKUP(B173,Demand!E:E,Demand!B:B)&amp;" "&amp;_xlfn.XLOOKUP(B173,Demand!E:E,Demand!C:C)&amp;" "&amp;_xlfn.XLOOKUP(B173,Demand!E:E,Demand!D:D)</f>
        <v xml:space="preserve">DEMAND - Waste Water Fresh Water </v>
      </c>
      <c r="D173" t="str">
        <f>Trans_Demand!B1116</f>
        <v>Mm3</v>
      </c>
      <c r="E173" t="s">
        <v>214</v>
      </c>
      <c r="F173" s="11">
        <f>Trans_Demand!C1116</f>
        <v>2095</v>
      </c>
      <c r="G173" s="11">
        <f>Trans_Demand!D1116</f>
        <v>2849.866570988585</v>
      </c>
    </row>
    <row r="174" spans="2:7">
      <c r="B174" t="str">
        <f>Trans_Demand!A1117</f>
        <v>WASWATFWADMD</v>
      </c>
      <c r="C174" t="str">
        <f>"DEMAND - "&amp;_xlfn.XLOOKUP(B174,Demand!E:E,Demand!A:A)&amp;" "&amp;_xlfn.XLOOKUP(B174,Demand!E:E,Demand!B:B)&amp;" "&amp;_xlfn.XLOOKUP(B174,Demand!E:E,Demand!C:C)&amp;" "&amp;_xlfn.XLOOKUP(B174,Demand!E:E,Demand!D:D)</f>
        <v xml:space="preserve">DEMAND - Waste Water Fresh Water </v>
      </c>
      <c r="D174" t="str">
        <f>Trans_Demand!B1117</f>
        <v>Mm3</v>
      </c>
      <c r="E174" t="s">
        <v>214</v>
      </c>
      <c r="F174" s="11">
        <f>Trans_Demand!C1117</f>
        <v>2100</v>
      </c>
      <c r="G174" s="11">
        <f>Trans_Demand!D1117</f>
        <v>2921.113235263299</v>
      </c>
    </row>
    <row r="175" spans="2:7">
      <c r="B175" t="str">
        <f>B174</f>
        <v>WASWATFWADMD</v>
      </c>
      <c r="C175" t="str">
        <f>C174</f>
        <v xml:space="preserve">DEMAND - Waste Water Fresh Water </v>
      </c>
      <c r="D175" t="str">
        <f>D174</f>
        <v>Mm3</v>
      </c>
      <c r="E175" t="str">
        <f>E174</f>
        <v>COM_PROJ</v>
      </c>
      <c r="F175" s="11">
        <v>0</v>
      </c>
      <c r="G175" s="11">
        <v>5</v>
      </c>
    </row>
    <row r="176" spans="2:7">
      <c r="B176" t="str">
        <f>Trans_Demand!A1118</f>
        <v>WASWATAPRDMD</v>
      </c>
      <c r="C176" t="str">
        <f>"DEMAND - "&amp;_xlfn.XLOOKUP(B176,Demand!E:E,Demand!A:A)&amp;" "&amp;_xlfn.XLOOKUP(B176,Demand!E:E,Demand!B:B)&amp;" "&amp;_xlfn.XLOOKUP(B176,Demand!E:E,Demand!C:C)&amp;" "&amp;_xlfn.XLOOKUP(B176,Demand!E:E,Demand!D:D)</f>
        <v xml:space="preserve">DEMAND - Waste Water Annual Precipitation </v>
      </c>
      <c r="D176" t="str">
        <f>Trans_Demand!B1118</f>
        <v>Mm3</v>
      </c>
      <c r="E176" t="s">
        <v>214</v>
      </c>
      <c r="F176" s="11">
        <f>Trans_Demand!C1118</f>
        <v>2019</v>
      </c>
      <c r="G176" s="11">
        <f>Trans_Demand!D1118</f>
        <v>118.5672</v>
      </c>
    </row>
    <row r="177" spans="2:7">
      <c r="B177" t="str">
        <f>Trans_Demand!A1119</f>
        <v>WASWATAPRDMD</v>
      </c>
      <c r="C177" t="str">
        <f>"DEMAND - "&amp;_xlfn.XLOOKUP(B177,Demand!E:E,Demand!A:A)&amp;" "&amp;_xlfn.XLOOKUP(B177,Demand!E:E,Demand!B:B)&amp;" "&amp;_xlfn.XLOOKUP(B177,Demand!E:E,Demand!C:C)&amp;" "&amp;_xlfn.XLOOKUP(B177,Demand!E:E,Demand!D:D)</f>
        <v xml:space="preserve">DEMAND - Waste Water Annual Precipitation </v>
      </c>
      <c r="D177" t="str">
        <f>Trans_Demand!B1119</f>
        <v>Mm3</v>
      </c>
      <c r="E177" t="s">
        <v>214</v>
      </c>
      <c r="F177" s="11">
        <f>Trans_Demand!C1119</f>
        <v>2020</v>
      </c>
      <c r="G177" s="11">
        <f>Trans_Demand!D1119</f>
        <v>118.5672</v>
      </c>
    </row>
    <row r="178" spans="2:7">
      <c r="B178" t="str">
        <f>Trans_Demand!A1120</f>
        <v>WASWATAPRDMD</v>
      </c>
      <c r="C178" t="str">
        <f>"DEMAND - "&amp;_xlfn.XLOOKUP(B178,Demand!E:E,Demand!A:A)&amp;" "&amp;_xlfn.XLOOKUP(B178,Demand!E:E,Demand!B:B)&amp;" "&amp;_xlfn.XLOOKUP(B178,Demand!E:E,Demand!C:C)&amp;" "&amp;_xlfn.XLOOKUP(B178,Demand!E:E,Demand!D:D)</f>
        <v xml:space="preserve">DEMAND - Waste Water Annual Precipitation </v>
      </c>
      <c r="D178" t="str">
        <f>Trans_Demand!B1120</f>
        <v>Mm3</v>
      </c>
      <c r="E178" t="s">
        <v>214</v>
      </c>
      <c r="F178" s="11">
        <f>Trans_Demand!C1120</f>
        <v>2025</v>
      </c>
      <c r="G178" s="11">
        <f>Trans_Demand!D1120</f>
        <v>118.5672</v>
      </c>
    </row>
    <row r="179" spans="2:7">
      <c r="B179" t="str">
        <f>Trans_Demand!A1121</f>
        <v>WASWATAPRDMD</v>
      </c>
      <c r="C179" t="str">
        <f>"DEMAND - "&amp;_xlfn.XLOOKUP(B179,Demand!E:E,Demand!A:A)&amp;" "&amp;_xlfn.XLOOKUP(B179,Demand!E:E,Demand!B:B)&amp;" "&amp;_xlfn.XLOOKUP(B179,Demand!E:E,Demand!C:C)&amp;" "&amp;_xlfn.XLOOKUP(B179,Demand!E:E,Demand!D:D)</f>
        <v xml:space="preserve">DEMAND - Waste Water Annual Precipitation </v>
      </c>
      <c r="D179" t="str">
        <f>Trans_Demand!B1121</f>
        <v>Mm3</v>
      </c>
      <c r="E179" t="s">
        <v>214</v>
      </c>
      <c r="F179" s="11">
        <f>Trans_Demand!C1121</f>
        <v>2030</v>
      </c>
      <c r="G179" s="11">
        <f>Trans_Demand!D1121</f>
        <v>118.5672</v>
      </c>
    </row>
    <row r="180" spans="2:7">
      <c r="B180" t="str">
        <f>Trans_Demand!A1122</f>
        <v>WASWATAPRDMD</v>
      </c>
      <c r="C180" t="str">
        <f>"DEMAND - "&amp;_xlfn.XLOOKUP(B180,Demand!E:E,Demand!A:A)&amp;" "&amp;_xlfn.XLOOKUP(B180,Demand!E:E,Demand!B:B)&amp;" "&amp;_xlfn.XLOOKUP(B180,Demand!E:E,Demand!C:C)&amp;" "&amp;_xlfn.XLOOKUP(B180,Demand!E:E,Demand!D:D)</f>
        <v xml:space="preserve">DEMAND - Waste Water Annual Precipitation </v>
      </c>
      <c r="D180" t="str">
        <f>Trans_Demand!B1122</f>
        <v>Mm3</v>
      </c>
      <c r="E180" t="s">
        <v>214</v>
      </c>
      <c r="F180" s="11">
        <f>Trans_Demand!C1122</f>
        <v>2035</v>
      </c>
      <c r="G180" s="11">
        <f>Trans_Demand!D1122</f>
        <v>118.5672</v>
      </c>
    </row>
    <row r="181" spans="2:7">
      <c r="B181" t="str">
        <f>Trans_Demand!A1123</f>
        <v>WASWATAPRDMD</v>
      </c>
      <c r="C181" t="str">
        <f>"DEMAND - "&amp;_xlfn.XLOOKUP(B181,Demand!E:E,Demand!A:A)&amp;" "&amp;_xlfn.XLOOKUP(B181,Demand!E:E,Demand!B:B)&amp;" "&amp;_xlfn.XLOOKUP(B181,Demand!E:E,Demand!C:C)&amp;" "&amp;_xlfn.XLOOKUP(B181,Demand!E:E,Demand!D:D)</f>
        <v xml:space="preserve">DEMAND - Waste Water Annual Precipitation </v>
      </c>
      <c r="D181" t="str">
        <f>Trans_Demand!B1123</f>
        <v>Mm3</v>
      </c>
      <c r="E181" t="s">
        <v>214</v>
      </c>
      <c r="F181" s="11">
        <f>Trans_Demand!C1123</f>
        <v>2040</v>
      </c>
      <c r="G181" s="11">
        <f>Trans_Demand!D1123</f>
        <v>118.5672</v>
      </c>
    </row>
    <row r="182" spans="2:7">
      <c r="B182" t="str">
        <f>Trans_Demand!A1124</f>
        <v>WASWATAPRDMD</v>
      </c>
      <c r="C182" t="str">
        <f>"DEMAND - "&amp;_xlfn.XLOOKUP(B182,Demand!E:E,Demand!A:A)&amp;" "&amp;_xlfn.XLOOKUP(B182,Demand!E:E,Demand!B:B)&amp;" "&amp;_xlfn.XLOOKUP(B182,Demand!E:E,Demand!C:C)&amp;" "&amp;_xlfn.XLOOKUP(B182,Demand!E:E,Demand!D:D)</f>
        <v xml:space="preserve">DEMAND - Waste Water Annual Precipitation </v>
      </c>
      <c r="D182" t="str">
        <f>Trans_Demand!B1124</f>
        <v>Mm3</v>
      </c>
      <c r="E182" t="s">
        <v>214</v>
      </c>
      <c r="F182" s="11">
        <f>Trans_Demand!C1124</f>
        <v>2045</v>
      </c>
      <c r="G182" s="11">
        <f>Trans_Demand!D1124</f>
        <v>118.5672</v>
      </c>
    </row>
    <row r="183" spans="2:7">
      <c r="B183" t="str">
        <f>Trans_Demand!A1125</f>
        <v>WASWATAPRDMD</v>
      </c>
      <c r="C183" t="str">
        <f>"DEMAND - "&amp;_xlfn.XLOOKUP(B183,Demand!E:E,Demand!A:A)&amp;" "&amp;_xlfn.XLOOKUP(B183,Demand!E:E,Demand!B:B)&amp;" "&amp;_xlfn.XLOOKUP(B183,Demand!E:E,Demand!C:C)&amp;" "&amp;_xlfn.XLOOKUP(B183,Demand!E:E,Demand!D:D)</f>
        <v xml:space="preserve">DEMAND - Waste Water Annual Precipitation </v>
      </c>
      <c r="D183" t="str">
        <f>Trans_Demand!B1125</f>
        <v>Mm3</v>
      </c>
      <c r="E183" t="s">
        <v>214</v>
      </c>
      <c r="F183" s="11">
        <f>Trans_Demand!C1125</f>
        <v>2050</v>
      </c>
      <c r="G183" s="11">
        <f>Trans_Demand!D1125</f>
        <v>118.5672</v>
      </c>
    </row>
    <row r="184" spans="2:7">
      <c r="B184" t="str">
        <f>Trans_Demand!A1126</f>
        <v>WASWATAPRDMD</v>
      </c>
      <c r="C184" t="str">
        <f>"DEMAND - "&amp;_xlfn.XLOOKUP(B184,Demand!E:E,Demand!A:A)&amp;" "&amp;_xlfn.XLOOKUP(B184,Demand!E:E,Demand!B:B)&amp;" "&amp;_xlfn.XLOOKUP(B184,Demand!E:E,Demand!C:C)&amp;" "&amp;_xlfn.XLOOKUP(B184,Demand!E:E,Demand!D:D)</f>
        <v xml:space="preserve">DEMAND - Waste Water Annual Precipitation </v>
      </c>
      <c r="D184" t="str">
        <f>Trans_Demand!B1126</f>
        <v>Mm3</v>
      </c>
      <c r="E184" t="s">
        <v>214</v>
      </c>
      <c r="F184" s="11">
        <f>Trans_Demand!C1126</f>
        <v>2055</v>
      </c>
      <c r="G184" s="11">
        <f>Trans_Demand!D1126</f>
        <v>118.5672</v>
      </c>
    </row>
    <row r="185" spans="2:7">
      <c r="B185" t="str">
        <f>Trans_Demand!A1127</f>
        <v>WASWATAPRDMD</v>
      </c>
      <c r="C185" t="str">
        <f>"DEMAND - "&amp;_xlfn.XLOOKUP(B185,Demand!E:E,Demand!A:A)&amp;" "&amp;_xlfn.XLOOKUP(B185,Demand!E:E,Demand!B:B)&amp;" "&amp;_xlfn.XLOOKUP(B185,Demand!E:E,Demand!C:C)&amp;" "&amp;_xlfn.XLOOKUP(B185,Demand!E:E,Demand!D:D)</f>
        <v xml:space="preserve">DEMAND - Waste Water Annual Precipitation </v>
      </c>
      <c r="D185" t="str">
        <f>Trans_Demand!B1127</f>
        <v>Mm3</v>
      </c>
      <c r="E185" t="s">
        <v>214</v>
      </c>
      <c r="F185" s="11">
        <f>Trans_Demand!C1127</f>
        <v>2060</v>
      </c>
      <c r="G185" s="11">
        <f>Trans_Demand!D1127</f>
        <v>118.5672</v>
      </c>
    </row>
    <row r="186" spans="2:7">
      <c r="B186" t="str">
        <f>Trans_Demand!A1128</f>
        <v>WASWATAPRDMD</v>
      </c>
      <c r="C186" t="str">
        <f>"DEMAND - "&amp;_xlfn.XLOOKUP(B186,Demand!E:E,Demand!A:A)&amp;" "&amp;_xlfn.XLOOKUP(B186,Demand!E:E,Demand!B:B)&amp;" "&amp;_xlfn.XLOOKUP(B186,Demand!E:E,Demand!C:C)&amp;" "&amp;_xlfn.XLOOKUP(B186,Demand!E:E,Demand!D:D)</f>
        <v xml:space="preserve">DEMAND - Waste Water Annual Precipitation </v>
      </c>
      <c r="D186" t="str">
        <f>Trans_Demand!B1128</f>
        <v>Mm3</v>
      </c>
      <c r="E186" t="s">
        <v>214</v>
      </c>
      <c r="F186" s="11">
        <f>Trans_Demand!C1128</f>
        <v>2065</v>
      </c>
      <c r="G186" s="11">
        <f>Trans_Demand!D1128</f>
        <v>118.5672</v>
      </c>
    </row>
    <row r="187" spans="2:7">
      <c r="B187" t="str">
        <f>Trans_Demand!A1129</f>
        <v>WASWATAPRDMD</v>
      </c>
      <c r="C187" t="str">
        <f>"DEMAND - "&amp;_xlfn.XLOOKUP(B187,Demand!E:E,Demand!A:A)&amp;" "&amp;_xlfn.XLOOKUP(B187,Demand!E:E,Demand!B:B)&amp;" "&amp;_xlfn.XLOOKUP(B187,Demand!E:E,Demand!C:C)&amp;" "&amp;_xlfn.XLOOKUP(B187,Demand!E:E,Demand!D:D)</f>
        <v xml:space="preserve">DEMAND - Waste Water Annual Precipitation </v>
      </c>
      <c r="D187" t="str">
        <f>Trans_Demand!B1129</f>
        <v>Mm3</v>
      </c>
      <c r="E187" t="s">
        <v>214</v>
      </c>
      <c r="F187" s="11">
        <f>Trans_Demand!C1129</f>
        <v>2070</v>
      </c>
      <c r="G187" s="11">
        <f>Trans_Demand!D1129</f>
        <v>118.5672</v>
      </c>
    </row>
    <row r="188" spans="2:7">
      <c r="B188" t="str">
        <f>Trans_Demand!A1130</f>
        <v>WASWATAPRDMD</v>
      </c>
      <c r="C188" t="str">
        <f>"DEMAND - "&amp;_xlfn.XLOOKUP(B188,Demand!E:E,Demand!A:A)&amp;" "&amp;_xlfn.XLOOKUP(B188,Demand!E:E,Demand!B:B)&amp;" "&amp;_xlfn.XLOOKUP(B188,Demand!E:E,Demand!C:C)&amp;" "&amp;_xlfn.XLOOKUP(B188,Demand!E:E,Demand!D:D)</f>
        <v xml:space="preserve">DEMAND - Waste Water Annual Precipitation </v>
      </c>
      <c r="D188" t="str">
        <f>Trans_Demand!B1130</f>
        <v>Mm3</v>
      </c>
      <c r="E188" t="s">
        <v>214</v>
      </c>
      <c r="F188" s="11">
        <f>Trans_Demand!C1130</f>
        <v>2075</v>
      </c>
      <c r="G188" s="11">
        <f>Trans_Demand!D1130</f>
        <v>118.5672</v>
      </c>
    </row>
    <row r="189" spans="2:7">
      <c r="B189" t="str">
        <f>Trans_Demand!A1131</f>
        <v>WASWATAPRDMD</v>
      </c>
      <c r="C189" t="str">
        <f>"DEMAND - "&amp;_xlfn.XLOOKUP(B189,Demand!E:E,Demand!A:A)&amp;" "&amp;_xlfn.XLOOKUP(B189,Demand!E:E,Demand!B:B)&amp;" "&amp;_xlfn.XLOOKUP(B189,Demand!E:E,Demand!C:C)&amp;" "&amp;_xlfn.XLOOKUP(B189,Demand!E:E,Demand!D:D)</f>
        <v xml:space="preserve">DEMAND - Waste Water Annual Precipitation </v>
      </c>
      <c r="D189" t="str">
        <f>Trans_Demand!B1131</f>
        <v>Mm3</v>
      </c>
      <c r="E189" t="s">
        <v>214</v>
      </c>
      <c r="F189" s="11">
        <f>Trans_Demand!C1131</f>
        <v>2080</v>
      </c>
      <c r="G189" s="11">
        <f>Trans_Demand!D1131</f>
        <v>118.5672</v>
      </c>
    </row>
    <row r="190" spans="2:7">
      <c r="B190" t="str">
        <f>Trans_Demand!A1132</f>
        <v>WASWATAPRDMD</v>
      </c>
      <c r="C190" t="str">
        <f>"DEMAND - "&amp;_xlfn.XLOOKUP(B190,Demand!E:E,Demand!A:A)&amp;" "&amp;_xlfn.XLOOKUP(B190,Demand!E:E,Demand!B:B)&amp;" "&amp;_xlfn.XLOOKUP(B190,Demand!E:E,Demand!C:C)&amp;" "&amp;_xlfn.XLOOKUP(B190,Demand!E:E,Demand!D:D)</f>
        <v xml:space="preserve">DEMAND - Waste Water Annual Precipitation </v>
      </c>
      <c r="D190" t="str">
        <f>Trans_Demand!B1132</f>
        <v>Mm3</v>
      </c>
      <c r="E190" t="s">
        <v>214</v>
      </c>
      <c r="F190" s="11">
        <f>Trans_Demand!C1132</f>
        <v>2085</v>
      </c>
      <c r="G190" s="11">
        <f>Trans_Demand!D1132</f>
        <v>118.5672</v>
      </c>
    </row>
    <row r="191" spans="2:7">
      <c r="B191" t="str">
        <f>Trans_Demand!A1133</f>
        <v>WASWATAPRDMD</v>
      </c>
      <c r="C191" t="str">
        <f>"DEMAND - "&amp;_xlfn.XLOOKUP(B191,Demand!E:E,Demand!A:A)&amp;" "&amp;_xlfn.XLOOKUP(B191,Demand!E:E,Demand!B:B)&amp;" "&amp;_xlfn.XLOOKUP(B191,Demand!E:E,Demand!C:C)&amp;" "&amp;_xlfn.XLOOKUP(B191,Demand!E:E,Demand!D:D)</f>
        <v xml:space="preserve">DEMAND - Waste Water Annual Precipitation </v>
      </c>
      <c r="D191" t="str">
        <f>Trans_Demand!B1133</f>
        <v>Mm3</v>
      </c>
      <c r="E191" t="s">
        <v>214</v>
      </c>
      <c r="F191" s="11">
        <f>Trans_Demand!C1133</f>
        <v>2090</v>
      </c>
      <c r="G191" s="11">
        <f>Trans_Demand!D1133</f>
        <v>118.5672</v>
      </c>
    </row>
    <row r="192" spans="2:7">
      <c r="B192" t="str">
        <f>Trans_Demand!A1134</f>
        <v>WASWATAPRDMD</v>
      </c>
      <c r="C192" t="str">
        <f>"DEMAND - "&amp;_xlfn.XLOOKUP(B192,Demand!E:E,Demand!A:A)&amp;" "&amp;_xlfn.XLOOKUP(B192,Demand!E:E,Demand!B:B)&amp;" "&amp;_xlfn.XLOOKUP(B192,Demand!E:E,Demand!C:C)&amp;" "&amp;_xlfn.XLOOKUP(B192,Demand!E:E,Demand!D:D)</f>
        <v xml:space="preserve">DEMAND - Waste Water Annual Precipitation </v>
      </c>
      <c r="D192" t="str">
        <f>Trans_Demand!B1134</f>
        <v>Mm3</v>
      </c>
      <c r="E192" t="s">
        <v>214</v>
      </c>
      <c r="F192" s="11">
        <f>Trans_Demand!C1134</f>
        <v>2095</v>
      </c>
      <c r="G192" s="11">
        <f>Trans_Demand!D1134</f>
        <v>118.5672</v>
      </c>
    </row>
    <row r="193" spans="2:7">
      <c r="B193" t="str">
        <f>Trans_Demand!A1135</f>
        <v>WASWATAPRDMD</v>
      </c>
      <c r="C193" t="str">
        <f>"DEMAND - "&amp;_xlfn.XLOOKUP(B193,Demand!E:E,Demand!A:A)&amp;" "&amp;_xlfn.XLOOKUP(B193,Demand!E:E,Demand!B:B)&amp;" "&amp;_xlfn.XLOOKUP(B193,Demand!E:E,Demand!C:C)&amp;" "&amp;_xlfn.XLOOKUP(B193,Demand!E:E,Demand!D:D)</f>
        <v xml:space="preserve">DEMAND - Waste Water Annual Precipitation </v>
      </c>
      <c r="D193" t="str">
        <f>Trans_Demand!B1135</f>
        <v>Mm3</v>
      </c>
      <c r="E193" t="s">
        <v>214</v>
      </c>
      <c r="F193" s="11">
        <f>Trans_Demand!C1135</f>
        <v>2100</v>
      </c>
      <c r="G193" s="11">
        <f>Trans_Demand!D1135</f>
        <v>118.5672</v>
      </c>
    </row>
    <row r="194" spans="2:7">
      <c r="B194" t="str">
        <f>B193</f>
        <v>WASWATAPRDMD</v>
      </c>
      <c r="C194" t="str">
        <f>C193</f>
        <v xml:space="preserve">DEMAND - Waste Water Annual Precipitation </v>
      </c>
      <c r="D194" t="str">
        <f>D193</f>
        <v>Mm3</v>
      </c>
      <c r="E194" t="str">
        <f>E193</f>
        <v>COM_PROJ</v>
      </c>
      <c r="F194" s="11">
        <v>0</v>
      </c>
      <c r="G194" s="11">
        <v>5</v>
      </c>
    </row>
    <row r="195" spans="2:7">
      <c r="B195" t="str">
        <f>Trans_Demand!A1154</f>
        <v>WASWATTRTDMD</v>
      </c>
      <c r="C195" t="str">
        <f>"DEMAND - "&amp;_xlfn.XLOOKUP(B195,Demand!E:E,Demand!A:A)&amp;" "&amp;_xlfn.XLOOKUP(B195,Demand!E:E,Demand!B:B)&amp;" "&amp;_xlfn.XLOOKUP(B195,Demand!E:E,Demand!C:C)&amp;" "&amp;_xlfn.XLOOKUP(B195,Demand!E:E,Demand!D:D)</f>
        <v xml:space="preserve">DEMAND - Waste Water Treatment </v>
      </c>
      <c r="D195" t="str">
        <f>Trans_Demand!B1154</f>
        <v>Mm3</v>
      </c>
      <c r="E195" t="s">
        <v>214</v>
      </c>
      <c r="F195" s="11">
        <f>Trans_Demand!C1154</f>
        <v>2019</v>
      </c>
      <c r="G195" s="11">
        <f>Trans_Demand!D1154</f>
        <v>1718.825872023252</v>
      </c>
    </row>
    <row r="196" spans="2:7">
      <c r="B196" t="str">
        <f>Trans_Demand!A1155</f>
        <v>WASWATTRTDMD</v>
      </c>
      <c r="C196" t="str">
        <f>"DEMAND - "&amp;_xlfn.XLOOKUP(B196,Demand!E:E,Demand!A:A)&amp;" "&amp;_xlfn.XLOOKUP(B196,Demand!E:E,Demand!B:B)&amp;" "&amp;_xlfn.XLOOKUP(B196,Demand!E:E,Demand!C:C)&amp;" "&amp;_xlfn.XLOOKUP(B196,Demand!E:E,Demand!D:D)</f>
        <v xml:space="preserve">DEMAND - Waste Water Treatment </v>
      </c>
      <c r="D196" t="str">
        <f>Trans_Demand!B1155</f>
        <v>Mm3</v>
      </c>
      <c r="E196" t="s">
        <v>214</v>
      </c>
      <c r="F196" s="11">
        <f>Trans_Demand!C1155</f>
        <v>2020</v>
      </c>
      <c r="G196" s="11">
        <f>Trans_Demand!D1155</f>
        <v>1727.4200013833679</v>
      </c>
    </row>
    <row r="197" spans="2:7">
      <c r="B197" t="str">
        <f>Trans_Demand!A1156</f>
        <v>WASWATTRTDMD</v>
      </c>
      <c r="C197" t="str">
        <f>"DEMAND - "&amp;_xlfn.XLOOKUP(B197,Demand!E:E,Demand!A:A)&amp;" "&amp;_xlfn.XLOOKUP(B197,Demand!E:E,Demand!B:B)&amp;" "&amp;_xlfn.XLOOKUP(B197,Demand!E:E,Demand!C:C)&amp;" "&amp;_xlfn.XLOOKUP(B197,Demand!E:E,Demand!D:D)</f>
        <v xml:space="preserve">DEMAND - Waste Water Treatment </v>
      </c>
      <c r="D197" t="str">
        <f>Trans_Demand!B1156</f>
        <v>Mm3</v>
      </c>
      <c r="E197" t="s">
        <v>214</v>
      </c>
      <c r="F197" s="11">
        <f>Trans_Demand!C1156</f>
        <v>2025</v>
      </c>
      <c r="G197" s="11">
        <f>Trans_Demand!D1156</f>
        <v>1770.6055014179519</v>
      </c>
    </row>
    <row r="198" spans="2:7">
      <c r="B198" t="str">
        <f>Trans_Demand!A1157</f>
        <v>WASWATTRTDMD</v>
      </c>
      <c r="C198" t="str">
        <f>"DEMAND - "&amp;_xlfn.XLOOKUP(B198,Demand!E:E,Demand!A:A)&amp;" "&amp;_xlfn.XLOOKUP(B198,Demand!E:E,Demand!B:B)&amp;" "&amp;_xlfn.XLOOKUP(B198,Demand!E:E,Demand!C:C)&amp;" "&amp;_xlfn.XLOOKUP(B198,Demand!E:E,Demand!D:D)</f>
        <v xml:space="preserve">DEMAND - Waste Water Treatment </v>
      </c>
      <c r="D198" t="str">
        <f>Trans_Demand!B1157</f>
        <v>Mm3</v>
      </c>
      <c r="E198" t="s">
        <v>214</v>
      </c>
      <c r="F198" s="11">
        <f>Trans_Demand!C1157</f>
        <v>2030</v>
      </c>
      <c r="G198" s="11">
        <f>Trans_Demand!D1157</f>
        <v>1814.8706389534011</v>
      </c>
    </row>
    <row r="199" spans="2:7">
      <c r="B199" t="str">
        <f>Trans_Demand!A1158</f>
        <v>WASWATTRTDMD</v>
      </c>
      <c r="C199" t="str">
        <f>"DEMAND - "&amp;_xlfn.XLOOKUP(B199,Demand!E:E,Demand!A:A)&amp;" "&amp;_xlfn.XLOOKUP(B199,Demand!E:E,Demand!B:B)&amp;" "&amp;_xlfn.XLOOKUP(B199,Demand!E:E,Demand!C:C)&amp;" "&amp;_xlfn.XLOOKUP(B199,Demand!E:E,Demand!D:D)</f>
        <v xml:space="preserve">DEMAND - Waste Water Treatment </v>
      </c>
      <c r="D199" t="str">
        <f>Trans_Demand!B1158</f>
        <v>Mm3</v>
      </c>
      <c r="E199" t="s">
        <v>214</v>
      </c>
      <c r="F199" s="11">
        <f>Trans_Demand!C1158</f>
        <v>2035</v>
      </c>
      <c r="G199" s="11">
        <f>Trans_Demand!D1158</f>
        <v>1860.2424049272361</v>
      </c>
    </row>
    <row r="200" spans="2:7">
      <c r="B200" t="str">
        <f>Trans_Demand!A1159</f>
        <v>WASWATTRTDMD</v>
      </c>
      <c r="C200" t="str">
        <f>"DEMAND - "&amp;_xlfn.XLOOKUP(B200,Demand!E:E,Demand!A:A)&amp;" "&amp;_xlfn.XLOOKUP(B200,Demand!E:E,Demand!B:B)&amp;" "&amp;_xlfn.XLOOKUP(B200,Demand!E:E,Demand!C:C)&amp;" "&amp;_xlfn.XLOOKUP(B200,Demand!E:E,Demand!D:D)</f>
        <v xml:space="preserve">DEMAND - Waste Water Treatment </v>
      </c>
      <c r="D200" t="str">
        <f>Trans_Demand!B1159</f>
        <v>Mm3</v>
      </c>
      <c r="E200" t="s">
        <v>214</v>
      </c>
      <c r="F200" s="11">
        <f>Trans_Demand!C1159</f>
        <v>2040</v>
      </c>
      <c r="G200" s="11">
        <f>Trans_Demand!D1159</f>
        <v>1906.7484650504171</v>
      </c>
    </row>
    <row r="201" spans="2:7">
      <c r="B201" t="str">
        <f>Trans_Demand!A1160</f>
        <v>WASWATTRTDMD</v>
      </c>
      <c r="C201" t="str">
        <f>"DEMAND - "&amp;_xlfn.XLOOKUP(B201,Demand!E:E,Demand!A:A)&amp;" "&amp;_xlfn.XLOOKUP(B201,Demand!E:E,Demand!B:B)&amp;" "&amp;_xlfn.XLOOKUP(B201,Demand!E:E,Demand!C:C)&amp;" "&amp;_xlfn.XLOOKUP(B201,Demand!E:E,Demand!D:D)</f>
        <v xml:space="preserve">DEMAND - Waste Water Treatment </v>
      </c>
      <c r="D201" t="str">
        <f>Trans_Demand!B1160</f>
        <v>Mm3</v>
      </c>
      <c r="E201" t="s">
        <v>214</v>
      </c>
      <c r="F201" s="11">
        <f>Trans_Demand!C1160</f>
        <v>2045</v>
      </c>
      <c r="G201" s="11">
        <f>Trans_Demand!D1160</f>
        <v>1954.4171766766769</v>
      </c>
    </row>
    <row r="202" spans="2:7">
      <c r="B202" t="str">
        <f>Trans_Demand!A1161</f>
        <v>WASWATTRTDMD</v>
      </c>
      <c r="C202" t="str">
        <f>"DEMAND - "&amp;_xlfn.XLOOKUP(B202,Demand!E:E,Demand!A:A)&amp;" "&amp;_xlfn.XLOOKUP(B202,Demand!E:E,Demand!B:B)&amp;" "&amp;_xlfn.XLOOKUP(B202,Demand!E:E,Demand!C:C)&amp;" "&amp;_xlfn.XLOOKUP(B202,Demand!E:E,Demand!D:D)</f>
        <v xml:space="preserve">DEMAND - Waste Water Treatment </v>
      </c>
      <c r="D202" t="str">
        <f>Trans_Demand!B1161</f>
        <v>Mm3</v>
      </c>
      <c r="E202" t="s">
        <v>214</v>
      </c>
      <c r="F202" s="11">
        <f>Trans_Demand!C1161</f>
        <v>2050</v>
      </c>
      <c r="G202" s="11">
        <f>Trans_Demand!D1161</f>
        <v>2003.2776060935939</v>
      </c>
    </row>
    <row r="203" spans="2:7">
      <c r="B203" t="str">
        <f>Trans_Demand!A1162</f>
        <v>WASWATTRTDMD</v>
      </c>
      <c r="C203" t="str">
        <f>"DEMAND - "&amp;_xlfn.XLOOKUP(B203,Demand!E:E,Demand!A:A)&amp;" "&amp;_xlfn.XLOOKUP(B203,Demand!E:E,Demand!B:B)&amp;" "&amp;_xlfn.XLOOKUP(B203,Demand!E:E,Demand!C:C)&amp;" "&amp;_xlfn.XLOOKUP(B203,Demand!E:E,Demand!D:D)</f>
        <v xml:space="preserve">DEMAND - Waste Water Treatment </v>
      </c>
      <c r="D203" t="str">
        <f>Trans_Demand!B1162</f>
        <v>Mm3</v>
      </c>
      <c r="E203" t="s">
        <v>214</v>
      </c>
      <c r="F203" s="11">
        <f>Trans_Demand!C1162</f>
        <v>2055</v>
      </c>
      <c r="G203" s="11">
        <f>Trans_Demand!D1162</f>
        <v>2053.359546245933</v>
      </c>
    </row>
    <row r="204" spans="2:7">
      <c r="B204" t="str">
        <f>Trans_Demand!A1163</f>
        <v>WASWATTRTDMD</v>
      </c>
      <c r="C204" t="str">
        <f>"DEMAND - "&amp;_xlfn.XLOOKUP(B204,Demand!E:E,Demand!A:A)&amp;" "&amp;_xlfn.XLOOKUP(B204,Demand!E:E,Demand!B:B)&amp;" "&amp;_xlfn.XLOOKUP(B204,Demand!E:E,Demand!C:C)&amp;" "&amp;_xlfn.XLOOKUP(B204,Demand!E:E,Demand!D:D)</f>
        <v xml:space="preserve">DEMAND - Waste Water Treatment </v>
      </c>
      <c r="D204" t="str">
        <f>Trans_Demand!B1163</f>
        <v>Mm3</v>
      </c>
      <c r="E204" t="s">
        <v>214</v>
      </c>
      <c r="F204" s="11">
        <f>Trans_Demand!C1163</f>
        <v>2060</v>
      </c>
      <c r="G204" s="11">
        <f>Trans_Demand!D1163</f>
        <v>2104.693534902081</v>
      </c>
    </row>
    <row r="205" spans="2:7">
      <c r="B205" t="str">
        <f>Trans_Demand!A1164</f>
        <v>WASWATTRTDMD</v>
      </c>
      <c r="C205" t="str">
        <f>"DEMAND - "&amp;_xlfn.XLOOKUP(B205,Demand!E:E,Demand!A:A)&amp;" "&amp;_xlfn.XLOOKUP(B205,Demand!E:E,Demand!B:B)&amp;" "&amp;_xlfn.XLOOKUP(B205,Demand!E:E,Demand!C:C)&amp;" "&amp;_xlfn.XLOOKUP(B205,Demand!E:E,Demand!D:D)</f>
        <v xml:space="preserve">DEMAND - Waste Water Treatment </v>
      </c>
      <c r="D205" t="str">
        <f>Trans_Demand!B1164</f>
        <v>Mm3</v>
      </c>
      <c r="E205" t="s">
        <v>214</v>
      </c>
      <c r="F205" s="11">
        <f>Trans_Demand!C1164</f>
        <v>2065</v>
      </c>
      <c r="G205" s="11">
        <f>Trans_Demand!D1164</f>
        <v>2157.3108732746332</v>
      </c>
    </row>
    <row r="206" spans="2:7">
      <c r="B206" t="str">
        <f>Trans_Demand!A1165</f>
        <v>WASWATTRTDMD</v>
      </c>
      <c r="C206" t="str">
        <f>"DEMAND - "&amp;_xlfn.XLOOKUP(B206,Demand!E:E,Demand!A:A)&amp;" "&amp;_xlfn.XLOOKUP(B206,Demand!E:E,Demand!B:B)&amp;" "&amp;_xlfn.XLOOKUP(B206,Demand!E:E,Demand!C:C)&amp;" "&amp;_xlfn.XLOOKUP(B206,Demand!E:E,Demand!D:D)</f>
        <v xml:space="preserve">DEMAND - Waste Water Treatment </v>
      </c>
      <c r="D206" t="str">
        <f>Trans_Demand!B1165</f>
        <v>Mm3</v>
      </c>
      <c r="E206" t="s">
        <v>214</v>
      </c>
      <c r="F206" s="11">
        <f>Trans_Demand!C1165</f>
        <v>2070</v>
      </c>
      <c r="G206" s="11">
        <f>Trans_Demand!D1165</f>
        <v>2211.2436451064991</v>
      </c>
    </row>
    <row r="207" spans="2:7">
      <c r="B207" t="str">
        <f>Trans_Demand!A1166</f>
        <v>WASWATTRTDMD</v>
      </c>
      <c r="C207" t="str">
        <f>"DEMAND - "&amp;_xlfn.XLOOKUP(B207,Demand!E:E,Demand!A:A)&amp;" "&amp;_xlfn.XLOOKUP(B207,Demand!E:E,Demand!B:B)&amp;" "&amp;_xlfn.XLOOKUP(B207,Demand!E:E,Demand!C:C)&amp;" "&amp;_xlfn.XLOOKUP(B207,Demand!E:E,Demand!D:D)</f>
        <v xml:space="preserve">DEMAND - Waste Water Treatment </v>
      </c>
      <c r="D207" t="str">
        <f>Trans_Demand!B1166</f>
        <v>Mm3</v>
      </c>
      <c r="E207" t="s">
        <v>214</v>
      </c>
      <c r="F207" s="11">
        <f>Trans_Demand!C1166</f>
        <v>2075</v>
      </c>
      <c r="G207" s="11">
        <f>Trans_Demand!D1166</f>
        <v>2266.5247362341611</v>
      </c>
    </row>
    <row r="208" spans="2:7">
      <c r="B208" t="str">
        <f>Trans_Demand!A1167</f>
        <v>WASWATTRTDMD</v>
      </c>
      <c r="C208" t="str">
        <f>"DEMAND - "&amp;_xlfn.XLOOKUP(B208,Demand!E:E,Demand!A:A)&amp;" "&amp;_xlfn.XLOOKUP(B208,Demand!E:E,Demand!B:B)&amp;" "&amp;_xlfn.XLOOKUP(B208,Demand!E:E,Demand!C:C)&amp;" "&amp;_xlfn.XLOOKUP(B208,Demand!E:E,Demand!D:D)</f>
        <v xml:space="preserve">DEMAND - Waste Water Treatment </v>
      </c>
      <c r="D208" t="str">
        <f>Trans_Demand!B1167</f>
        <v>Mm3</v>
      </c>
      <c r="E208" t="s">
        <v>214</v>
      </c>
      <c r="F208" s="11">
        <f>Trans_Demand!C1167</f>
        <v>2080</v>
      </c>
      <c r="G208" s="11">
        <f>Trans_Demand!D1167</f>
        <v>2323.1878546400148</v>
      </c>
    </row>
    <row r="209" spans="2:7">
      <c r="B209" t="str">
        <f>Trans_Demand!A1168</f>
        <v>WASWATTRTDMD</v>
      </c>
      <c r="C209" t="str">
        <f>"DEMAND - "&amp;_xlfn.XLOOKUP(B209,Demand!E:E,Demand!A:A)&amp;" "&amp;_xlfn.XLOOKUP(B209,Demand!E:E,Demand!B:B)&amp;" "&amp;_xlfn.XLOOKUP(B209,Demand!E:E,Demand!C:C)&amp;" "&amp;_xlfn.XLOOKUP(B209,Demand!E:E,Demand!D:D)</f>
        <v xml:space="preserve">DEMAND - Waste Water Treatment </v>
      </c>
      <c r="D209" t="str">
        <f>Trans_Demand!B1168</f>
        <v>Mm3</v>
      </c>
      <c r="E209" t="s">
        <v>214</v>
      </c>
      <c r="F209" s="11">
        <f>Trans_Demand!C1168</f>
        <v>2085</v>
      </c>
      <c r="G209" s="11">
        <f>Trans_Demand!D1168</f>
        <v>2381.2675510060149</v>
      </c>
    </row>
    <row r="210" spans="2:7">
      <c r="B210" t="str">
        <f>Trans_Demand!A1169</f>
        <v>WASWATTRTDMD</v>
      </c>
      <c r="C210" t="str">
        <f>"DEMAND - "&amp;_xlfn.XLOOKUP(B210,Demand!E:E,Demand!A:A)&amp;" "&amp;_xlfn.XLOOKUP(B210,Demand!E:E,Demand!B:B)&amp;" "&amp;_xlfn.XLOOKUP(B210,Demand!E:E,Demand!C:C)&amp;" "&amp;_xlfn.XLOOKUP(B210,Demand!E:E,Demand!D:D)</f>
        <v xml:space="preserve">DEMAND - Waste Water Treatment </v>
      </c>
      <c r="D210" t="str">
        <f>Trans_Demand!B1169</f>
        <v>Mm3</v>
      </c>
      <c r="E210" t="s">
        <v>214</v>
      </c>
      <c r="F210" s="11">
        <f>Trans_Demand!C1169</f>
        <v>2090</v>
      </c>
      <c r="G210" s="11">
        <f>Trans_Demand!D1169</f>
        <v>2440.7992397811649</v>
      </c>
    </row>
    <row r="211" spans="2:7">
      <c r="B211" t="str">
        <f>Trans_Demand!A1170</f>
        <v>WASWATTRTDMD</v>
      </c>
      <c r="C211" t="str">
        <f>"DEMAND - "&amp;_xlfn.XLOOKUP(B211,Demand!E:E,Demand!A:A)&amp;" "&amp;_xlfn.XLOOKUP(B211,Demand!E:E,Demand!B:B)&amp;" "&amp;_xlfn.XLOOKUP(B211,Demand!E:E,Demand!C:C)&amp;" "&amp;_xlfn.XLOOKUP(B211,Demand!E:E,Demand!D:D)</f>
        <v xml:space="preserve">DEMAND - Waste Water Treatment </v>
      </c>
      <c r="D211" t="str">
        <f>Trans_Demand!B1170</f>
        <v>Mm3</v>
      </c>
      <c r="E211" t="s">
        <v>214</v>
      </c>
      <c r="F211" s="11">
        <f>Trans_Demand!C1170</f>
        <v>2095</v>
      </c>
      <c r="G211" s="11">
        <f>Trans_Demand!D1170</f>
        <v>2501.8192207756938</v>
      </c>
    </row>
    <row r="212" spans="2:7">
      <c r="B212" t="str">
        <f>Trans_Demand!A1171</f>
        <v>WASWATTRTDMD</v>
      </c>
      <c r="C212" t="str">
        <f>"DEMAND - "&amp;_xlfn.XLOOKUP(B212,Demand!E:E,Demand!A:A)&amp;" "&amp;_xlfn.XLOOKUP(B212,Demand!E:E,Demand!B:B)&amp;" "&amp;_xlfn.XLOOKUP(B212,Demand!E:E,Demand!C:C)&amp;" "&amp;_xlfn.XLOOKUP(B212,Demand!E:E,Demand!D:D)</f>
        <v xml:space="preserve">DEMAND - Waste Water Treatment </v>
      </c>
      <c r="D212" t="str">
        <f>Trans_Demand!B1171</f>
        <v>Mm3</v>
      </c>
      <c r="E212" t="s">
        <v>214</v>
      </c>
      <c r="F212" s="11">
        <f>Trans_Demand!C1171</f>
        <v>2100</v>
      </c>
      <c r="G212" s="11">
        <f>Trans_Demand!D1171</f>
        <v>2564.364701295086</v>
      </c>
    </row>
    <row r="213" spans="2:7">
      <c r="B213" t="str">
        <f>B212</f>
        <v>WASWATTRTDMD</v>
      </c>
      <c r="C213" t="str">
        <f>C212</f>
        <v xml:space="preserve">DEMAND - Waste Water Treatment </v>
      </c>
      <c r="D213" t="str">
        <f>D212</f>
        <v>Mm3</v>
      </c>
      <c r="E213" t="str">
        <f>E212</f>
        <v>COM_PROJ</v>
      </c>
      <c r="F213" s="11">
        <v>0</v>
      </c>
      <c r="G213" s="11">
        <v>5</v>
      </c>
    </row>
    <row r="214" spans="2:7">
      <c r="F214" s="11"/>
      <c r="G214" s="11"/>
    </row>
    <row r="215" spans="2:7">
      <c r="F215" s="11"/>
      <c r="G215" s="11"/>
    </row>
    <row r="216" spans="2:7">
      <c r="F216" s="11"/>
      <c r="G216" s="11"/>
    </row>
    <row r="217" spans="2:7">
      <c r="F217" s="11"/>
      <c r="G217" s="11"/>
    </row>
    <row r="218" spans="2:7">
      <c r="F218" s="11"/>
      <c r="G218" s="11"/>
    </row>
    <row r="219" spans="2:7">
      <c r="F219" s="11"/>
      <c r="G219" s="11"/>
    </row>
    <row r="220" spans="2:7">
      <c r="F220" s="11"/>
      <c r="G220" s="11"/>
    </row>
    <row r="221" spans="2:7">
      <c r="F221" s="11"/>
      <c r="G221" s="11"/>
    </row>
    <row r="222" spans="2:7">
      <c r="F222" s="11"/>
      <c r="G222" s="11"/>
    </row>
    <row r="223" spans="2:7">
      <c r="F223" s="11"/>
      <c r="G223" s="11"/>
    </row>
    <row r="224" spans="2:7">
      <c r="F224" s="11"/>
      <c r="G224" s="11"/>
    </row>
    <row r="225" spans="6:7">
      <c r="F225" s="11"/>
      <c r="G225" s="11"/>
    </row>
    <row r="226" spans="6:7">
      <c r="F226" s="11"/>
      <c r="G226" s="11"/>
    </row>
    <row r="227" spans="6:7">
      <c r="F227" s="11"/>
      <c r="G227" s="11"/>
    </row>
    <row r="228" spans="6:7">
      <c r="F228" s="11"/>
      <c r="G228" s="11"/>
    </row>
    <row r="229" spans="6:7">
      <c r="F229" s="11"/>
      <c r="G229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G735"/>
  <sheetViews>
    <sheetView workbookViewId="0">
      <selection activeCell="C5" sqref="C5:G5"/>
    </sheetView>
  </sheetViews>
  <sheetFormatPr defaultRowHeight="15"/>
  <cols>
    <col min="2" max="2" width="16.28515625" bestFit="1" customWidth="1"/>
    <col min="3" max="3" width="30.5703125" bestFit="1" customWidth="1"/>
    <col min="4" max="4" width="8.42578125" customWidth="1"/>
    <col min="5" max="5" width="10.42578125" bestFit="1" customWidth="1"/>
    <col min="6" max="6" width="5" bestFit="1" customWidth="1"/>
    <col min="7" max="7" width="8.5703125" bestFit="1" customWidth="1"/>
  </cols>
  <sheetData>
    <row r="3" spans="2:7">
      <c r="B3" s="8" t="s">
        <v>207</v>
      </c>
    </row>
    <row r="4" spans="2:7">
      <c r="B4" s="9" t="s">
        <v>208</v>
      </c>
      <c r="C4" s="9" t="s">
        <v>209</v>
      </c>
      <c r="D4" s="9" t="s">
        <v>210</v>
      </c>
      <c r="E4" s="9" t="s">
        <v>206</v>
      </c>
      <c r="F4" s="9" t="s">
        <v>30</v>
      </c>
      <c r="G4" s="9" t="s">
        <v>228</v>
      </c>
    </row>
    <row r="5" spans="2:7" ht="15" customHeight="1" thickBot="1">
      <c r="B5" s="10" t="s">
        <v>213</v>
      </c>
      <c r="C5" s="10" t="s">
        <v>213</v>
      </c>
      <c r="D5" s="10" t="s">
        <v>213</v>
      </c>
      <c r="E5" s="10" t="s">
        <v>213</v>
      </c>
      <c r="F5" s="10" t="s">
        <v>213</v>
      </c>
      <c r="G5" s="10" t="s">
        <v>213</v>
      </c>
    </row>
    <row r="6" spans="2:7">
      <c r="B6" t="str">
        <f>Trans_Demand!A596</f>
        <v>TRAPASCARDMD</v>
      </c>
      <c r="C6" t="str">
        <f>"DEMAND - "&amp;_xlfn.XLOOKUP(B6,Demand!E:E,Demand!A:A)&amp;" "&amp;_xlfn.XLOOKUP(B6,Demand!E:E,Demand!B:B)&amp;" "&amp;_xlfn.XLOOKUP(B6,Demand!E:E,Demand!C:C)&amp;" "&amp;_xlfn.XLOOKUP(B6,Demand!E:E,Demand!D:D)</f>
        <v xml:space="preserve">DEMAND - Transportation Passenger Passenger Car </v>
      </c>
      <c r="D6" t="str">
        <f>_xlfn.XLOOKUP(B6,Trans_Demand!A:A,Trans_Demand!B:B)</f>
        <v>M Vkm</v>
      </c>
      <c r="E6" t="s">
        <v>214</v>
      </c>
      <c r="F6">
        <f>Trans_Demand!C2</f>
        <v>2019</v>
      </c>
      <c r="G6" s="11">
        <f>SUMIFS(Trans_Demand!D:D,Trans_Demand!A:A,DMD_TRA!B6,Trans_Demand!C:C,DMD_TRA!F6)</f>
        <v>68921.250890371171</v>
      </c>
    </row>
    <row r="7" spans="2:7">
      <c r="B7" t="str">
        <f>Trans_Demand!A597</f>
        <v>TRAPASCARDMD</v>
      </c>
      <c r="C7" t="str">
        <f>"DEMAND - "&amp;_xlfn.XLOOKUP(B7,Demand!E:E,Demand!A:A)&amp;" "&amp;_xlfn.XLOOKUP(B7,Demand!E:E,Demand!B:B)&amp;" "&amp;_xlfn.XLOOKUP(B7,Demand!E:E,Demand!C:C)&amp;" "&amp;_xlfn.XLOOKUP(B7,Demand!E:E,Demand!D:D)</f>
        <v xml:space="preserve">DEMAND - Transportation Passenger Passenger Car </v>
      </c>
      <c r="D7" t="str">
        <f>_xlfn.XLOOKUP(B7,Trans_Demand!A:A,Trans_Demand!B:B)</f>
        <v>M Vkm</v>
      </c>
      <c r="E7" t="s">
        <v>214</v>
      </c>
      <c r="F7">
        <f>Trans_Demand!C3</f>
        <v>2020</v>
      </c>
      <c r="G7" s="11">
        <f>SUMIFS(Trans_Demand!D:D,Trans_Demand!A:A,DMD_TRA!B7,Trans_Demand!C:C,DMD_TRA!F7)</f>
        <v>69265.857144823021</v>
      </c>
    </row>
    <row r="8" spans="2:7">
      <c r="B8" t="str">
        <f>Trans_Demand!A598</f>
        <v>TRAPASCARDMD</v>
      </c>
      <c r="C8" t="str">
        <f>"DEMAND - "&amp;_xlfn.XLOOKUP(B8,Demand!E:E,Demand!A:A)&amp;" "&amp;_xlfn.XLOOKUP(B8,Demand!E:E,Demand!B:B)&amp;" "&amp;_xlfn.XLOOKUP(B8,Demand!E:E,Demand!C:C)&amp;" "&amp;_xlfn.XLOOKUP(B8,Demand!E:E,Demand!D:D)</f>
        <v xml:space="preserve">DEMAND - Transportation Passenger Passenger Car </v>
      </c>
      <c r="D8" t="str">
        <f>_xlfn.XLOOKUP(B8,Trans_Demand!A:A,Trans_Demand!B:B)</f>
        <v>M Vkm</v>
      </c>
      <c r="E8" t="s">
        <v>214</v>
      </c>
      <c r="F8">
        <f>Trans_Demand!C4</f>
        <v>2025</v>
      </c>
      <c r="G8" s="11">
        <f>SUMIFS(Trans_Demand!D:D,Trans_Demand!A:A,DMD_TRA!B8,Trans_Demand!C:C,DMD_TRA!F8)</f>
        <v>70997.503573443595</v>
      </c>
    </row>
    <row r="9" spans="2:7">
      <c r="B9" t="str">
        <f>Trans_Demand!A599</f>
        <v>TRAPASCARDMD</v>
      </c>
      <c r="C9" t="str">
        <f>"DEMAND - "&amp;_xlfn.XLOOKUP(B9,Demand!E:E,Demand!A:A)&amp;" "&amp;_xlfn.XLOOKUP(B9,Demand!E:E,Demand!B:B)&amp;" "&amp;_xlfn.XLOOKUP(B9,Demand!E:E,Demand!C:C)&amp;" "&amp;_xlfn.XLOOKUP(B9,Demand!E:E,Demand!D:D)</f>
        <v xml:space="preserve">DEMAND - Transportation Passenger Passenger Car </v>
      </c>
      <c r="D9" t="str">
        <f>_xlfn.XLOOKUP(B9,Trans_Demand!A:A,Trans_Demand!B:B)</f>
        <v>M Vkm</v>
      </c>
      <c r="E9" t="s">
        <v>214</v>
      </c>
      <c r="F9">
        <f>Trans_Demand!C5</f>
        <v>2030</v>
      </c>
      <c r="G9" s="11">
        <f>SUMIFS(Trans_Demand!D:D,Trans_Demand!A:A,DMD_TRA!B9,Trans_Demand!C:C,DMD_TRA!F9)</f>
        <v>72772.44116277968</v>
      </c>
    </row>
    <row r="10" spans="2:7">
      <c r="B10" t="str">
        <f>Trans_Demand!A600</f>
        <v>TRAPASCARDMD</v>
      </c>
      <c r="C10" t="str">
        <f>"DEMAND - "&amp;_xlfn.XLOOKUP(B10,Demand!E:E,Demand!A:A)&amp;" "&amp;_xlfn.XLOOKUP(B10,Demand!E:E,Demand!B:B)&amp;" "&amp;_xlfn.XLOOKUP(B10,Demand!E:E,Demand!C:C)&amp;" "&amp;_xlfn.XLOOKUP(B10,Demand!E:E,Demand!D:D)</f>
        <v xml:space="preserve">DEMAND - Transportation Passenger Passenger Car </v>
      </c>
      <c r="D10" t="str">
        <f>_xlfn.XLOOKUP(B10,Trans_Demand!A:A,Trans_Demand!B:B)</f>
        <v>M Vkm</v>
      </c>
      <c r="E10" t="s">
        <v>214</v>
      </c>
      <c r="F10">
        <f>Trans_Demand!C6</f>
        <v>2035</v>
      </c>
      <c r="G10" s="11">
        <f>SUMIFS(Trans_Demand!D:D,Trans_Demand!A:A,DMD_TRA!B10,Trans_Demand!C:C,DMD_TRA!F10)</f>
        <v>74591.752191849169</v>
      </c>
    </row>
    <row r="11" spans="2:7">
      <c r="B11" t="str">
        <f>Trans_Demand!A601</f>
        <v>TRAPASCARDMD</v>
      </c>
      <c r="C11" t="str">
        <f>"DEMAND - "&amp;_xlfn.XLOOKUP(B11,Demand!E:E,Demand!A:A)&amp;" "&amp;_xlfn.XLOOKUP(B11,Demand!E:E,Demand!B:B)&amp;" "&amp;_xlfn.XLOOKUP(B11,Demand!E:E,Demand!C:C)&amp;" "&amp;_xlfn.XLOOKUP(B11,Demand!E:E,Demand!D:D)</f>
        <v xml:space="preserve">DEMAND - Transportation Passenger Passenger Car </v>
      </c>
      <c r="D11" t="str">
        <f>_xlfn.XLOOKUP(B11,Trans_Demand!A:A,Trans_Demand!B:B)</f>
        <v>M Vkm</v>
      </c>
      <c r="E11" t="s">
        <v>214</v>
      </c>
      <c r="F11">
        <f>Trans_Demand!C7</f>
        <v>2040</v>
      </c>
      <c r="G11" s="11">
        <f>SUMIFS(Trans_Demand!D:D,Trans_Demand!A:A,DMD_TRA!B11,Trans_Demand!C:C,DMD_TRA!F11)</f>
        <v>76456.545996645393</v>
      </c>
    </row>
    <row r="12" spans="2:7">
      <c r="B12" t="str">
        <f>Trans_Demand!A602</f>
        <v>TRAPASCARDMD</v>
      </c>
      <c r="C12" t="str">
        <f>"DEMAND - "&amp;_xlfn.XLOOKUP(B12,Demand!E:E,Demand!A:A)&amp;" "&amp;_xlfn.XLOOKUP(B12,Demand!E:E,Demand!B:B)&amp;" "&amp;_xlfn.XLOOKUP(B12,Demand!E:E,Demand!C:C)&amp;" "&amp;_xlfn.XLOOKUP(B12,Demand!E:E,Demand!D:D)</f>
        <v xml:space="preserve">DEMAND - Transportation Passenger Passenger Car </v>
      </c>
      <c r="D12" t="str">
        <f>_xlfn.XLOOKUP(B12,Trans_Demand!A:A,Trans_Demand!B:B)</f>
        <v>M Vkm</v>
      </c>
      <c r="E12" t="s">
        <v>214</v>
      </c>
      <c r="F12">
        <f>Trans_Demand!C8</f>
        <v>2045</v>
      </c>
      <c r="G12" s="11">
        <f>SUMIFS(Trans_Demand!D:D,Trans_Demand!A:A,DMD_TRA!B12,Trans_Demand!C:C,DMD_TRA!F12)</f>
        <v>78367.959646561518</v>
      </c>
    </row>
    <row r="13" spans="2:7">
      <c r="B13" t="str">
        <f>Trans_Demand!A603</f>
        <v>TRAPASCARDMD</v>
      </c>
      <c r="C13" t="str">
        <f>"DEMAND - "&amp;_xlfn.XLOOKUP(B13,Demand!E:E,Demand!A:A)&amp;" "&amp;_xlfn.XLOOKUP(B13,Demand!E:E,Demand!B:B)&amp;" "&amp;_xlfn.XLOOKUP(B13,Demand!E:E,Demand!C:C)&amp;" "&amp;_xlfn.XLOOKUP(B13,Demand!E:E,Demand!D:D)</f>
        <v xml:space="preserve">DEMAND - Transportation Passenger Passenger Car </v>
      </c>
      <c r="D13" t="str">
        <f>_xlfn.XLOOKUP(B13,Trans_Demand!A:A,Trans_Demand!B:B)</f>
        <v>M Vkm</v>
      </c>
      <c r="E13" t="s">
        <v>214</v>
      </c>
      <c r="F13">
        <f>Trans_Demand!C9</f>
        <v>2050</v>
      </c>
      <c r="G13" s="11">
        <f>SUMIFS(Trans_Demand!D:D,Trans_Demand!A:A,DMD_TRA!B13,Trans_Demand!C:C,DMD_TRA!F13)</f>
        <v>80327.158637725544</v>
      </c>
    </row>
    <row r="14" spans="2:7">
      <c r="B14" t="str">
        <f>Trans_Demand!A604</f>
        <v>TRAPASCARDMD</v>
      </c>
      <c r="C14" t="str">
        <f>"DEMAND - "&amp;_xlfn.XLOOKUP(B14,Demand!E:E,Demand!A:A)&amp;" "&amp;_xlfn.XLOOKUP(B14,Demand!E:E,Demand!B:B)&amp;" "&amp;_xlfn.XLOOKUP(B14,Demand!E:E,Demand!C:C)&amp;" "&amp;_xlfn.XLOOKUP(B14,Demand!E:E,Demand!D:D)</f>
        <v xml:space="preserve">DEMAND - Transportation Passenger Passenger Car </v>
      </c>
      <c r="D14" t="str">
        <f>_xlfn.XLOOKUP(B14,Trans_Demand!A:A,Trans_Demand!B:B)</f>
        <v>M Vkm</v>
      </c>
      <c r="E14" t="s">
        <v>214</v>
      </c>
      <c r="F14">
        <f>Trans_Demand!C10</f>
        <v>2055</v>
      </c>
      <c r="G14" s="11">
        <f>SUMIFS(Trans_Demand!D:D,Trans_Demand!A:A,DMD_TRA!B14,Trans_Demand!C:C,DMD_TRA!F14)</f>
        <v>82335.337603668682</v>
      </c>
    </row>
    <row r="15" spans="2:7">
      <c r="B15" t="str">
        <f>Trans_Demand!A605</f>
        <v>TRAPASCARDMD</v>
      </c>
      <c r="C15" t="str">
        <f>"DEMAND - "&amp;_xlfn.XLOOKUP(B15,Demand!E:E,Demand!A:A)&amp;" "&amp;_xlfn.XLOOKUP(B15,Demand!E:E,Demand!B:B)&amp;" "&amp;_xlfn.XLOOKUP(B15,Demand!E:E,Demand!C:C)&amp;" "&amp;_xlfn.XLOOKUP(B15,Demand!E:E,Demand!D:D)</f>
        <v xml:space="preserve">DEMAND - Transportation Passenger Passenger Car </v>
      </c>
      <c r="D15" t="str">
        <f>_xlfn.XLOOKUP(B15,Trans_Demand!A:A,Trans_Demand!B:B)</f>
        <v>M Vkm</v>
      </c>
      <c r="E15" t="s">
        <v>214</v>
      </c>
      <c r="F15">
        <f>Trans_Demand!C11</f>
        <v>2060</v>
      </c>
      <c r="G15" s="11">
        <f>SUMIFS(Trans_Demand!D:D,Trans_Demand!A:A,DMD_TRA!B15,Trans_Demand!C:C,DMD_TRA!F15)</f>
        <v>84393.721043760394</v>
      </c>
    </row>
    <row r="16" spans="2:7">
      <c r="B16" t="str">
        <f>Trans_Demand!A606</f>
        <v>TRAPASCARDMD</v>
      </c>
      <c r="C16" t="str">
        <f>"DEMAND - "&amp;_xlfn.XLOOKUP(B16,Demand!E:E,Demand!A:A)&amp;" "&amp;_xlfn.XLOOKUP(B16,Demand!E:E,Demand!B:B)&amp;" "&amp;_xlfn.XLOOKUP(B16,Demand!E:E,Demand!C:C)&amp;" "&amp;_xlfn.XLOOKUP(B16,Demand!E:E,Demand!D:D)</f>
        <v xml:space="preserve">DEMAND - Transportation Passenger Passenger Car </v>
      </c>
      <c r="D16" t="str">
        <f>_xlfn.XLOOKUP(B16,Trans_Demand!A:A,Trans_Demand!B:B)</f>
        <v>M Vkm</v>
      </c>
      <c r="E16" t="s">
        <v>214</v>
      </c>
      <c r="F16">
        <f>Trans_Demand!C12</f>
        <v>2065</v>
      </c>
      <c r="G16" s="11">
        <f>SUMIFS(Trans_Demand!D:D,Trans_Demand!A:A,DMD_TRA!B16,Trans_Demand!C:C,DMD_TRA!F16)</f>
        <v>86503.564069854401</v>
      </c>
    </row>
    <row r="17" spans="2:7">
      <c r="B17" t="str">
        <f>Trans_Demand!A607</f>
        <v>TRAPASCARDMD</v>
      </c>
      <c r="C17" t="str">
        <f>"DEMAND - "&amp;_xlfn.XLOOKUP(B17,Demand!E:E,Demand!A:A)&amp;" "&amp;_xlfn.XLOOKUP(B17,Demand!E:E,Demand!B:B)&amp;" "&amp;_xlfn.XLOOKUP(B17,Demand!E:E,Demand!C:C)&amp;" "&amp;_xlfn.XLOOKUP(B17,Demand!E:E,Demand!D:D)</f>
        <v xml:space="preserve">DEMAND - Transportation Passenger Passenger Car </v>
      </c>
      <c r="D17" t="str">
        <f>_xlfn.XLOOKUP(B17,Trans_Demand!A:A,Trans_Demand!B:B)</f>
        <v>M Vkm</v>
      </c>
      <c r="E17" t="s">
        <v>214</v>
      </c>
      <c r="F17">
        <f>Trans_Demand!C13</f>
        <v>2070</v>
      </c>
      <c r="G17" s="11">
        <f>SUMIFS(Trans_Demand!D:D,Trans_Demand!A:A,DMD_TRA!B17,Trans_Demand!C:C,DMD_TRA!F17)</f>
        <v>88666.153171600759</v>
      </c>
    </row>
    <row r="18" spans="2:7">
      <c r="B18" t="str">
        <f>Trans_Demand!A608</f>
        <v>TRAPASCARDMD</v>
      </c>
      <c r="C18" t="str">
        <f>"DEMAND - "&amp;_xlfn.XLOOKUP(B18,Demand!E:E,Demand!A:A)&amp;" "&amp;_xlfn.XLOOKUP(B18,Demand!E:E,Demand!B:B)&amp;" "&amp;_xlfn.XLOOKUP(B18,Demand!E:E,Demand!C:C)&amp;" "&amp;_xlfn.XLOOKUP(B18,Demand!E:E,Demand!D:D)</f>
        <v xml:space="preserve">DEMAND - Transportation Passenger Passenger Car </v>
      </c>
      <c r="D18" t="str">
        <f>_xlfn.XLOOKUP(B18,Trans_Demand!A:A,Trans_Demand!B:B)</f>
        <v>M Vkm</v>
      </c>
      <c r="E18" t="s">
        <v>214</v>
      </c>
      <c r="F18">
        <f>Trans_Demand!C14</f>
        <v>2075</v>
      </c>
      <c r="G18" s="11">
        <f>SUMIFS(Trans_Demand!D:D,Trans_Demand!A:A,DMD_TRA!B18,Trans_Demand!C:C,DMD_TRA!F18)</f>
        <v>90882.807000890767</v>
      </c>
    </row>
    <row r="19" spans="2:7">
      <c r="B19" t="str">
        <f>Trans_Demand!A609</f>
        <v>TRAPASCARDMD</v>
      </c>
      <c r="C19" t="str">
        <f>"DEMAND - "&amp;_xlfn.XLOOKUP(B19,Demand!E:E,Demand!A:A)&amp;" "&amp;_xlfn.XLOOKUP(B19,Demand!E:E,Demand!B:B)&amp;" "&amp;_xlfn.XLOOKUP(B19,Demand!E:E,Demand!C:C)&amp;" "&amp;_xlfn.XLOOKUP(B19,Demand!E:E,Demand!D:D)</f>
        <v xml:space="preserve">DEMAND - Transportation Passenger Passenger Car </v>
      </c>
      <c r="D19" t="str">
        <f>_xlfn.XLOOKUP(B19,Trans_Demand!A:A,Trans_Demand!B:B)</f>
        <v>M Vkm</v>
      </c>
      <c r="E19" t="s">
        <v>214</v>
      </c>
      <c r="F19">
        <f>Trans_Demand!C15</f>
        <v>2080</v>
      </c>
      <c r="G19" s="11">
        <f>SUMIFS(Trans_Demand!D:D,Trans_Demand!A:A,DMD_TRA!B19,Trans_Demand!C:C,DMD_TRA!F19)</f>
        <v>93154.877175913032</v>
      </c>
    </row>
    <row r="20" spans="2:7">
      <c r="B20" t="str">
        <f>Trans_Demand!A610</f>
        <v>TRAPASCARDMD</v>
      </c>
      <c r="C20" t="str">
        <f>"DEMAND - "&amp;_xlfn.XLOOKUP(B20,Demand!E:E,Demand!A:A)&amp;" "&amp;_xlfn.XLOOKUP(B20,Demand!E:E,Demand!B:B)&amp;" "&amp;_xlfn.XLOOKUP(B20,Demand!E:E,Demand!C:C)&amp;" "&amp;_xlfn.XLOOKUP(B20,Demand!E:E,Demand!D:D)</f>
        <v xml:space="preserve">DEMAND - Transportation Passenger Passenger Car </v>
      </c>
      <c r="D20" t="str">
        <f>_xlfn.XLOOKUP(B20,Trans_Demand!A:A,Trans_Demand!B:B)</f>
        <v>M Vkm</v>
      </c>
      <c r="E20" t="s">
        <v>214</v>
      </c>
      <c r="F20">
        <f>Trans_Demand!C16</f>
        <v>2085</v>
      </c>
      <c r="G20" s="11">
        <f>SUMIFS(Trans_Demand!D:D,Trans_Demand!A:A,DMD_TRA!B20,Trans_Demand!C:C,DMD_TRA!F20)</f>
        <v>95483.749105310853</v>
      </c>
    </row>
    <row r="21" spans="2:7">
      <c r="B21" t="str">
        <f>Trans_Demand!A611</f>
        <v>TRAPASCARDMD</v>
      </c>
      <c r="C21" t="str">
        <f>"DEMAND - "&amp;_xlfn.XLOOKUP(B21,Demand!E:E,Demand!A:A)&amp;" "&amp;_xlfn.XLOOKUP(B21,Demand!E:E,Demand!B:B)&amp;" "&amp;_xlfn.XLOOKUP(B21,Demand!E:E,Demand!C:C)&amp;" "&amp;_xlfn.XLOOKUP(B21,Demand!E:E,Demand!D:D)</f>
        <v xml:space="preserve">DEMAND - Transportation Passenger Passenger Car </v>
      </c>
      <c r="D21" t="str">
        <f>_xlfn.XLOOKUP(B21,Trans_Demand!A:A,Trans_Demand!B:B)</f>
        <v>M Vkm</v>
      </c>
      <c r="E21" t="s">
        <v>214</v>
      </c>
      <c r="F21">
        <f>Trans_Demand!C17</f>
        <v>2090</v>
      </c>
      <c r="G21" s="11">
        <f>SUMIFS(Trans_Demand!D:D,Trans_Demand!A:A,DMD_TRA!B21,Trans_Demand!C:C,DMD_TRA!F21)</f>
        <v>97870.842832943614</v>
      </c>
    </row>
    <row r="22" spans="2:7">
      <c r="B22" t="str">
        <f>Trans_Demand!A612</f>
        <v>TRAPASCARDMD</v>
      </c>
      <c r="C22" t="str">
        <f>"DEMAND - "&amp;_xlfn.XLOOKUP(B22,Demand!E:E,Demand!A:A)&amp;" "&amp;_xlfn.XLOOKUP(B22,Demand!E:E,Demand!B:B)&amp;" "&amp;_xlfn.XLOOKUP(B22,Demand!E:E,Demand!C:C)&amp;" "&amp;_xlfn.XLOOKUP(B22,Demand!E:E,Demand!D:D)</f>
        <v xml:space="preserve">DEMAND - Transportation Passenger Passenger Car </v>
      </c>
      <c r="D22" t="str">
        <f>_xlfn.XLOOKUP(B22,Trans_Demand!A:A,Trans_Demand!B:B)</f>
        <v>M Vkm</v>
      </c>
      <c r="E22" t="s">
        <v>214</v>
      </c>
      <c r="F22">
        <f>Trans_Demand!C18</f>
        <v>2095</v>
      </c>
      <c r="G22" s="11">
        <f>SUMIFS(Trans_Demand!D:D,Trans_Demand!A:A,DMD_TRA!B22,Trans_Demand!C:C,DMD_TRA!F22)</f>
        <v>100317.6139037672</v>
      </c>
    </row>
    <row r="23" spans="2:7">
      <c r="B23" t="str">
        <f>Trans_Demand!A613</f>
        <v>TRAPASCARDMD</v>
      </c>
      <c r="C23" t="str">
        <f>"DEMAND - "&amp;_xlfn.XLOOKUP(B23,Demand!E:E,Demand!A:A)&amp;" "&amp;_xlfn.XLOOKUP(B23,Demand!E:E,Demand!B:B)&amp;" "&amp;_xlfn.XLOOKUP(B23,Demand!E:E,Demand!C:C)&amp;" "&amp;_xlfn.XLOOKUP(B23,Demand!E:E,Demand!D:D)</f>
        <v xml:space="preserve">DEMAND - Transportation Passenger Passenger Car </v>
      </c>
      <c r="D23" t="str">
        <f>_xlfn.XLOOKUP(B23,Trans_Demand!A:A,Trans_Demand!B:B)</f>
        <v>M Vkm</v>
      </c>
      <c r="E23" t="s">
        <v>214</v>
      </c>
      <c r="F23">
        <f>Trans_Demand!C19</f>
        <v>2100</v>
      </c>
      <c r="G23" s="11">
        <f>SUMIFS(Trans_Demand!D:D,Trans_Demand!A:A,DMD_TRA!B23,Trans_Demand!C:C,DMD_TRA!F23)</f>
        <v>102825.55425136141</v>
      </c>
    </row>
    <row r="24" spans="2:7">
      <c r="B24" t="str">
        <f>Trans_Demand!A614</f>
        <v>TRAPASLDTDMD</v>
      </c>
      <c r="C24" t="str">
        <f>"DEMAND - "&amp;_xlfn.XLOOKUP(B24,Demand!E:E,Demand!A:A)&amp;" "&amp;_xlfn.XLOOKUP(B24,Demand!E:E,Demand!B:B)&amp;" "&amp;_xlfn.XLOOKUP(B24,Demand!E:E,Demand!C:C)&amp;" "&amp;_xlfn.XLOOKUP(B24,Demand!E:E,Demand!D:D)</f>
        <v xml:space="preserve">DEMAND - Transportation Passenger Passenger Truck </v>
      </c>
      <c r="D24" t="str">
        <f>_xlfn.XLOOKUP(B24,Trans_Demand!A:A,Trans_Demand!B:B)</f>
        <v>M Vkm</v>
      </c>
      <c r="E24" t="s">
        <v>214</v>
      </c>
      <c r="F24">
        <f>Trans_Demand!C20</f>
        <v>2019</v>
      </c>
      <c r="G24" s="11">
        <f>SUMIFS(Trans_Demand!D:D,Trans_Demand!A:A,DMD_TRA!B24,Trans_Demand!C:C,DMD_TRA!F24)</f>
        <v>0</v>
      </c>
    </row>
    <row r="25" spans="2:7">
      <c r="B25" t="str">
        <f>Trans_Demand!A615</f>
        <v>TRAPASLDTDMD</v>
      </c>
      <c r="C25" t="str">
        <f>"DEMAND - "&amp;_xlfn.XLOOKUP(B25,Demand!E:E,Demand!A:A)&amp;" "&amp;_xlfn.XLOOKUP(B25,Demand!E:E,Demand!B:B)&amp;" "&amp;_xlfn.XLOOKUP(B25,Demand!E:E,Demand!C:C)&amp;" "&amp;_xlfn.XLOOKUP(B25,Demand!E:E,Demand!D:D)</f>
        <v xml:space="preserve">DEMAND - Transportation Passenger Passenger Truck </v>
      </c>
      <c r="D25" t="str">
        <f>_xlfn.XLOOKUP(B25,Trans_Demand!A:A,Trans_Demand!B:B)</f>
        <v>M Vkm</v>
      </c>
      <c r="E25" t="s">
        <v>214</v>
      </c>
      <c r="F25">
        <f>Trans_Demand!C21</f>
        <v>2020</v>
      </c>
      <c r="G25" s="11">
        <f>SUMIFS(Trans_Demand!D:D,Trans_Demand!A:A,DMD_TRA!B25,Trans_Demand!C:C,DMD_TRA!F25)</f>
        <v>0</v>
      </c>
    </row>
    <row r="26" spans="2:7">
      <c r="B26" t="str">
        <f>Trans_Demand!A616</f>
        <v>TRAPASLDTDMD</v>
      </c>
      <c r="C26" t="str">
        <f>"DEMAND - "&amp;_xlfn.XLOOKUP(B26,Demand!E:E,Demand!A:A)&amp;" "&amp;_xlfn.XLOOKUP(B26,Demand!E:E,Demand!B:B)&amp;" "&amp;_xlfn.XLOOKUP(B26,Demand!E:E,Demand!C:C)&amp;" "&amp;_xlfn.XLOOKUP(B26,Demand!E:E,Demand!D:D)</f>
        <v xml:space="preserve">DEMAND - Transportation Passenger Passenger Truck </v>
      </c>
      <c r="D26" t="str">
        <f>_xlfn.XLOOKUP(B26,Trans_Demand!A:A,Trans_Demand!B:B)</f>
        <v>M Vkm</v>
      </c>
      <c r="E26" t="s">
        <v>214</v>
      </c>
      <c r="F26">
        <f>Trans_Demand!C22</f>
        <v>2025</v>
      </c>
      <c r="G26" s="11">
        <f>SUMIFS(Trans_Demand!D:D,Trans_Demand!A:A,DMD_TRA!B26,Trans_Demand!C:C,DMD_TRA!F26)</f>
        <v>0</v>
      </c>
    </row>
    <row r="27" spans="2:7">
      <c r="B27" t="str">
        <f>Trans_Demand!A617</f>
        <v>TRAPASLDTDMD</v>
      </c>
      <c r="C27" t="str">
        <f>"DEMAND - "&amp;_xlfn.XLOOKUP(B27,Demand!E:E,Demand!A:A)&amp;" "&amp;_xlfn.XLOOKUP(B27,Demand!E:E,Demand!B:B)&amp;" "&amp;_xlfn.XLOOKUP(B27,Demand!E:E,Demand!C:C)&amp;" "&amp;_xlfn.XLOOKUP(B27,Demand!E:E,Demand!D:D)</f>
        <v xml:space="preserve">DEMAND - Transportation Passenger Passenger Truck </v>
      </c>
      <c r="D27" t="str">
        <f>_xlfn.XLOOKUP(B27,Trans_Demand!A:A,Trans_Demand!B:B)</f>
        <v>M Vkm</v>
      </c>
      <c r="E27" t="s">
        <v>214</v>
      </c>
      <c r="F27">
        <f>Trans_Demand!C23</f>
        <v>2030</v>
      </c>
      <c r="G27" s="11">
        <f>SUMIFS(Trans_Demand!D:D,Trans_Demand!A:A,DMD_TRA!B27,Trans_Demand!C:C,DMD_TRA!F27)</f>
        <v>0</v>
      </c>
    </row>
    <row r="28" spans="2:7">
      <c r="B28" t="str">
        <f>Trans_Demand!A618</f>
        <v>TRAPASLDTDMD</v>
      </c>
      <c r="C28" t="str">
        <f>"DEMAND - "&amp;_xlfn.XLOOKUP(B28,Demand!E:E,Demand!A:A)&amp;" "&amp;_xlfn.XLOOKUP(B28,Demand!E:E,Demand!B:B)&amp;" "&amp;_xlfn.XLOOKUP(B28,Demand!E:E,Demand!C:C)&amp;" "&amp;_xlfn.XLOOKUP(B28,Demand!E:E,Demand!D:D)</f>
        <v xml:space="preserve">DEMAND - Transportation Passenger Passenger Truck </v>
      </c>
      <c r="D28" t="str">
        <f>_xlfn.XLOOKUP(B28,Trans_Demand!A:A,Trans_Demand!B:B)</f>
        <v>M Vkm</v>
      </c>
      <c r="E28" t="s">
        <v>214</v>
      </c>
      <c r="F28">
        <f>Trans_Demand!C24</f>
        <v>2035</v>
      </c>
      <c r="G28" s="11">
        <f>SUMIFS(Trans_Demand!D:D,Trans_Demand!A:A,DMD_TRA!B28,Trans_Demand!C:C,DMD_TRA!F28)</f>
        <v>0</v>
      </c>
    </row>
    <row r="29" spans="2:7">
      <c r="B29" t="str">
        <f>Trans_Demand!A619</f>
        <v>TRAPASLDTDMD</v>
      </c>
      <c r="C29" t="str">
        <f>"DEMAND - "&amp;_xlfn.XLOOKUP(B29,Demand!E:E,Demand!A:A)&amp;" "&amp;_xlfn.XLOOKUP(B29,Demand!E:E,Demand!B:B)&amp;" "&amp;_xlfn.XLOOKUP(B29,Demand!E:E,Demand!C:C)&amp;" "&amp;_xlfn.XLOOKUP(B29,Demand!E:E,Demand!D:D)</f>
        <v xml:space="preserve">DEMAND - Transportation Passenger Passenger Truck </v>
      </c>
      <c r="D29" t="str">
        <f>_xlfn.XLOOKUP(B29,Trans_Demand!A:A,Trans_Demand!B:B)</f>
        <v>M Vkm</v>
      </c>
      <c r="E29" t="s">
        <v>214</v>
      </c>
      <c r="F29">
        <f>Trans_Demand!C25</f>
        <v>2040</v>
      </c>
      <c r="G29" s="11">
        <f>SUMIFS(Trans_Demand!D:D,Trans_Demand!A:A,DMD_TRA!B29,Trans_Demand!C:C,DMD_TRA!F29)</f>
        <v>0</v>
      </c>
    </row>
    <row r="30" spans="2:7">
      <c r="B30" t="str">
        <f>Trans_Demand!A620</f>
        <v>TRAPASLDTDMD</v>
      </c>
      <c r="C30" t="str">
        <f>"DEMAND - "&amp;_xlfn.XLOOKUP(B30,Demand!E:E,Demand!A:A)&amp;" "&amp;_xlfn.XLOOKUP(B30,Demand!E:E,Demand!B:B)&amp;" "&amp;_xlfn.XLOOKUP(B30,Demand!E:E,Demand!C:C)&amp;" "&amp;_xlfn.XLOOKUP(B30,Demand!E:E,Demand!D:D)</f>
        <v xml:space="preserve">DEMAND - Transportation Passenger Passenger Truck </v>
      </c>
      <c r="D30" t="str">
        <f>_xlfn.XLOOKUP(B30,Trans_Demand!A:A,Trans_Demand!B:B)</f>
        <v>M Vkm</v>
      </c>
      <c r="E30" t="s">
        <v>214</v>
      </c>
      <c r="F30">
        <f>Trans_Demand!C26</f>
        <v>2045</v>
      </c>
      <c r="G30" s="11">
        <f>SUMIFS(Trans_Demand!D:D,Trans_Demand!A:A,DMD_TRA!B30,Trans_Demand!C:C,DMD_TRA!F30)</f>
        <v>0</v>
      </c>
    </row>
    <row r="31" spans="2:7">
      <c r="B31" t="str">
        <f>Trans_Demand!A621</f>
        <v>TRAPASLDTDMD</v>
      </c>
      <c r="C31" t="str">
        <f>"DEMAND - "&amp;_xlfn.XLOOKUP(B31,Demand!E:E,Demand!A:A)&amp;" "&amp;_xlfn.XLOOKUP(B31,Demand!E:E,Demand!B:B)&amp;" "&amp;_xlfn.XLOOKUP(B31,Demand!E:E,Demand!C:C)&amp;" "&amp;_xlfn.XLOOKUP(B31,Demand!E:E,Demand!D:D)</f>
        <v xml:space="preserve">DEMAND - Transportation Passenger Passenger Truck </v>
      </c>
      <c r="D31" t="str">
        <f>_xlfn.XLOOKUP(B31,Trans_Demand!A:A,Trans_Demand!B:B)</f>
        <v>M Vkm</v>
      </c>
      <c r="E31" t="s">
        <v>214</v>
      </c>
      <c r="F31">
        <f>Trans_Demand!C27</f>
        <v>2050</v>
      </c>
      <c r="G31" s="11">
        <f>SUMIFS(Trans_Demand!D:D,Trans_Demand!A:A,DMD_TRA!B31,Trans_Demand!C:C,DMD_TRA!F31)</f>
        <v>0</v>
      </c>
    </row>
    <row r="32" spans="2:7">
      <c r="B32" t="str">
        <f>Trans_Demand!A622</f>
        <v>TRAPASLDTDMD</v>
      </c>
      <c r="C32" t="str">
        <f>"DEMAND - "&amp;_xlfn.XLOOKUP(B32,Demand!E:E,Demand!A:A)&amp;" "&amp;_xlfn.XLOOKUP(B32,Demand!E:E,Demand!B:B)&amp;" "&amp;_xlfn.XLOOKUP(B32,Demand!E:E,Demand!C:C)&amp;" "&amp;_xlfn.XLOOKUP(B32,Demand!E:E,Demand!D:D)</f>
        <v xml:space="preserve">DEMAND - Transportation Passenger Passenger Truck </v>
      </c>
      <c r="D32" t="str">
        <f>_xlfn.XLOOKUP(B32,Trans_Demand!A:A,Trans_Demand!B:B)</f>
        <v>M Vkm</v>
      </c>
      <c r="E32" t="s">
        <v>214</v>
      </c>
      <c r="F32">
        <f>Trans_Demand!C28</f>
        <v>2055</v>
      </c>
      <c r="G32" s="11">
        <f>SUMIFS(Trans_Demand!D:D,Trans_Demand!A:A,DMD_TRA!B32,Trans_Demand!C:C,DMD_TRA!F32)</f>
        <v>0</v>
      </c>
    </row>
    <row r="33" spans="2:7">
      <c r="B33" t="str">
        <f>Trans_Demand!A623</f>
        <v>TRAPASLDTDMD</v>
      </c>
      <c r="C33" t="str">
        <f>"DEMAND - "&amp;_xlfn.XLOOKUP(B33,Demand!E:E,Demand!A:A)&amp;" "&amp;_xlfn.XLOOKUP(B33,Demand!E:E,Demand!B:B)&amp;" "&amp;_xlfn.XLOOKUP(B33,Demand!E:E,Demand!C:C)&amp;" "&amp;_xlfn.XLOOKUP(B33,Demand!E:E,Demand!D:D)</f>
        <v xml:space="preserve">DEMAND - Transportation Passenger Passenger Truck </v>
      </c>
      <c r="D33" t="str">
        <f>_xlfn.XLOOKUP(B33,Trans_Demand!A:A,Trans_Demand!B:B)</f>
        <v>M Vkm</v>
      </c>
      <c r="E33" t="s">
        <v>214</v>
      </c>
      <c r="F33">
        <f>Trans_Demand!C29</f>
        <v>2060</v>
      </c>
      <c r="G33" s="11">
        <f>SUMIFS(Trans_Demand!D:D,Trans_Demand!A:A,DMD_TRA!B33,Trans_Demand!C:C,DMD_TRA!F33)</f>
        <v>0</v>
      </c>
    </row>
    <row r="34" spans="2:7">
      <c r="B34" t="str">
        <f>Trans_Demand!A624</f>
        <v>TRAPASLDTDMD</v>
      </c>
      <c r="C34" t="str">
        <f>"DEMAND - "&amp;_xlfn.XLOOKUP(B34,Demand!E:E,Demand!A:A)&amp;" "&amp;_xlfn.XLOOKUP(B34,Demand!E:E,Demand!B:B)&amp;" "&amp;_xlfn.XLOOKUP(B34,Demand!E:E,Demand!C:C)&amp;" "&amp;_xlfn.XLOOKUP(B34,Demand!E:E,Demand!D:D)</f>
        <v xml:space="preserve">DEMAND - Transportation Passenger Passenger Truck </v>
      </c>
      <c r="D34" t="str">
        <f>_xlfn.XLOOKUP(B34,Trans_Demand!A:A,Trans_Demand!B:B)</f>
        <v>M Vkm</v>
      </c>
      <c r="E34" t="s">
        <v>214</v>
      </c>
      <c r="F34">
        <f>Trans_Demand!C30</f>
        <v>2065</v>
      </c>
      <c r="G34" s="11">
        <f>SUMIFS(Trans_Demand!D:D,Trans_Demand!A:A,DMD_TRA!B34,Trans_Demand!C:C,DMD_TRA!F34)</f>
        <v>0</v>
      </c>
    </row>
    <row r="35" spans="2:7">
      <c r="B35" t="str">
        <f>Trans_Demand!A625</f>
        <v>TRAPASLDTDMD</v>
      </c>
      <c r="C35" t="str">
        <f>"DEMAND - "&amp;_xlfn.XLOOKUP(B35,Demand!E:E,Demand!A:A)&amp;" "&amp;_xlfn.XLOOKUP(B35,Demand!E:E,Demand!B:B)&amp;" "&amp;_xlfn.XLOOKUP(B35,Demand!E:E,Demand!C:C)&amp;" "&amp;_xlfn.XLOOKUP(B35,Demand!E:E,Demand!D:D)</f>
        <v xml:space="preserve">DEMAND - Transportation Passenger Passenger Truck </v>
      </c>
      <c r="D35" t="str">
        <f>_xlfn.XLOOKUP(B35,Trans_Demand!A:A,Trans_Demand!B:B)</f>
        <v>M Vkm</v>
      </c>
      <c r="E35" t="s">
        <v>214</v>
      </c>
      <c r="F35">
        <f>Trans_Demand!C31</f>
        <v>2070</v>
      </c>
      <c r="G35" s="11">
        <f>SUMIFS(Trans_Demand!D:D,Trans_Demand!A:A,DMD_TRA!B35,Trans_Demand!C:C,DMD_TRA!F35)</f>
        <v>0</v>
      </c>
    </row>
    <row r="36" spans="2:7">
      <c r="B36" t="str">
        <f>Trans_Demand!A626</f>
        <v>TRAPASLDTDMD</v>
      </c>
      <c r="C36" t="str">
        <f>"DEMAND - "&amp;_xlfn.XLOOKUP(B36,Demand!E:E,Demand!A:A)&amp;" "&amp;_xlfn.XLOOKUP(B36,Demand!E:E,Demand!B:B)&amp;" "&amp;_xlfn.XLOOKUP(B36,Demand!E:E,Demand!C:C)&amp;" "&amp;_xlfn.XLOOKUP(B36,Demand!E:E,Demand!D:D)</f>
        <v xml:space="preserve">DEMAND - Transportation Passenger Passenger Truck </v>
      </c>
      <c r="D36" t="str">
        <f>_xlfn.XLOOKUP(B36,Trans_Demand!A:A,Trans_Demand!B:B)</f>
        <v>M Vkm</v>
      </c>
      <c r="E36" t="s">
        <v>214</v>
      </c>
      <c r="F36">
        <f>Trans_Demand!C32</f>
        <v>2075</v>
      </c>
      <c r="G36" s="11">
        <f>SUMIFS(Trans_Demand!D:D,Trans_Demand!A:A,DMD_TRA!B36,Trans_Demand!C:C,DMD_TRA!F36)</f>
        <v>0</v>
      </c>
    </row>
    <row r="37" spans="2:7">
      <c r="B37" t="str">
        <f>Trans_Demand!A627</f>
        <v>TRAPASLDTDMD</v>
      </c>
      <c r="C37" t="str">
        <f>"DEMAND - "&amp;_xlfn.XLOOKUP(B37,Demand!E:E,Demand!A:A)&amp;" "&amp;_xlfn.XLOOKUP(B37,Demand!E:E,Demand!B:B)&amp;" "&amp;_xlfn.XLOOKUP(B37,Demand!E:E,Demand!C:C)&amp;" "&amp;_xlfn.XLOOKUP(B37,Demand!E:E,Demand!D:D)</f>
        <v xml:space="preserve">DEMAND - Transportation Passenger Passenger Truck </v>
      </c>
      <c r="D37" t="str">
        <f>_xlfn.XLOOKUP(B37,Trans_Demand!A:A,Trans_Demand!B:B)</f>
        <v>M Vkm</v>
      </c>
      <c r="E37" t="s">
        <v>214</v>
      </c>
      <c r="F37">
        <f>Trans_Demand!C33</f>
        <v>2080</v>
      </c>
      <c r="G37" s="11">
        <f>SUMIFS(Trans_Demand!D:D,Trans_Demand!A:A,DMD_TRA!B37,Trans_Demand!C:C,DMD_TRA!F37)</f>
        <v>0</v>
      </c>
    </row>
    <row r="38" spans="2:7">
      <c r="B38" t="str">
        <f>Trans_Demand!A628</f>
        <v>TRAPASLDTDMD</v>
      </c>
      <c r="C38" t="str">
        <f>"DEMAND - "&amp;_xlfn.XLOOKUP(B38,Demand!E:E,Demand!A:A)&amp;" "&amp;_xlfn.XLOOKUP(B38,Demand!E:E,Demand!B:B)&amp;" "&amp;_xlfn.XLOOKUP(B38,Demand!E:E,Demand!C:C)&amp;" "&amp;_xlfn.XLOOKUP(B38,Demand!E:E,Demand!D:D)</f>
        <v xml:space="preserve">DEMAND - Transportation Passenger Passenger Truck </v>
      </c>
      <c r="D38" t="str">
        <f>_xlfn.XLOOKUP(B38,Trans_Demand!A:A,Trans_Demand!B:B)</f>
        <v>M Vkm</v>
      </c>
      <c r="E38" t="s">
        <v>214</v>
      </c>
      <c r="F38">
        <f>Trans_Demand!C34</f>
        <v>2085</v>
      </c>
      <c r="G38" s="11">
        <f>SUMIFS(Trans_Demand!D:D,Trans_Demand!A:A,DMD_TRA!B38,Trans_Demand!C:C,DMD_TRA!F38)</f>
        <v>0</v>
      </c>
    </row>
    <row r="39" spans="2:7">
      <c r="B39" t="str">
        <f>Trans_Demand!A629</f>
        <v>TRAPASLDTDMD</v>
      </c>
      <c r="C39" t="str">
        <f>"DEMAND - "&amp;_xlfn.XLOOKUP(B39,Demand!E:E,Demand!A:A)&amp;" "&amp;_xlfn.XLOOKUP(B39,Demand!E:E,Demand!B:B)&amp;" "&amp;_xlfn.XLOOKUP(B39,Demand!E:E,Demand!C:C)&amp;" "&amp;_xlfn.XLOOKUP(B39,Demand!E:E,Demand!D:D)</f>
        <v xml:space="preserve">DEMAND - Transportation Passenger Passenger Truck </v>
      </c>
      <c r="D39" t="str">
        <f>_xlfn.XLOOKUP(B39,Trans_Demand!A:A,Trans_Demand!B:B)</f>
        <v>M Vkm</v>
      </c>
      <c r="E39" t="s">
        <v>214</v>
      </c>
      <c r="F39">
        <f>Trans_Demand!C35</f>
        <v>2090</v>
      </c>
      <c r="G39" s="11">
        <f>SUMIFS(Trans_Demand!D:D,Trans_Demand!A:A,DMD_TRA!B39,Trans_Demand!C:C,DMD_TRA!F39)</f>
        <v>0</v>
      </c>
    </row>
    <row r="40" spans="2:7">
      <c r="B40" t="str">
        <f>Trans_Demand!A630</f>
        <v>TRAPASLDTDMD</v>
      </c>
      <c r="C40" t="str">
        <f>"DEMAND - "&amp;_xlfn.XLOOKUP(B40,Demand!E:E,Demand!A:A)&amp;" "&amp;_xlfn.XLOOKUP(B40,Demand!E:E,Demand!B:B)&amp;" "&amp;_xlfn.XLOOKUP(B40,Demand!E:E,Demand!C:C)&amp;" "&amp;_xlfn.XLOOKUP(B40,Demand!E:E,Demand!D:D)</f>
        <v xml:space="preserve">DEMAND - Transportation Passenger Passenger Truck </v>
      </c>
      <c r="D40" t="str">
        <f>_xlfn.XLOOKUP(B40,Trans_Demand!A:A,Trans_Demand!B:B)</f>
        <v>M Vkm</v>
      </c>
      <c r="E40" t="s">
        <v>214</v>
      </c>
      <c r="F40">
        <f>Trans_Demand!C36</f>
        <v>2095</v>
      </c>
      <c r="G40" s="11">
        <f>SUMIFS(Trans_Demand!D:D,Trans_Demand!A:A,DMD_TRA!B40,Trans_Demand!C:C,DMD_TRA!F40)</f>
        <v>0</v>
      </c>
    </row>
    <row r="41" spans="2:7">
      <c r="B41" t="str">
        <f>Trans_Demand!A631</f>
        <v>TRAPASLDTDMD</v>
      </c>
      <c r="C41" t="str">
        <f>"DEMAND - "&amp;_xlfn.XLOOKUP(B41,Demand!E:E,Demand!A:A)&amp;" "&amp;_xlfn.XLOOKUP(B41,Demand!E:E,Demand!B:B)&amp;" "&amp;_xlfn.XLOOKUP(B41,Demand!E:E,Demand!C:C)&amp;" "&amp;_xlfn.XLOOKUP(B41,Demand!E:E,Demand!D:D)</f>
        <v xml:space="preserve">DEMAND - Transportation Passenger Passenger Truck </v>
      </c>
      <c r="D41" t="str">
        <f>_xlfn.XLOOKUP(B41,Trans_Demand!A:A,Trans_Demand!B:B)</f>
        <v>M Vkm</v>
      </c>
      <c r="E41" t="s">
        <v>214</v>
      </c>
      <c r="F41">
        <f>Trans_Demand!C37</f>
        <v>2100</v>
      </c>
      <c r="G41" s="11">
        <f>SUMIFS(Trans_Demand!D:D,Trans_Demand!A:A,DMD_TRA!B41,Trans_Demand!C:C,DMD_TRA!F41)</f>
        <v>0</v>
      </c>
    </row>
    <row r="42" spans="2:7">
      <c r="B42" t="str">
        <f>Trans_Demand!A632</f>
        <v>TRAPASMOTDMD</v>
      </c>
      <c r="C42" t="str">
        <f>"DEMAND - "&amp;_xlfn.XLOOKUP(B42,Demand!E:E,Demand!A:A)&amp;" "&amp;_xlfn.XLOOKUP(B42,Demand!E:E,Demand!B:B)&amp;" "&amp;_xlfn.XLOOKUP(B42,Demand!E:E,Demand!C:C)&amp;" "&amp;_xlfn.XLOOKUP(B42,Demand!E:E,Demand!D:D)</f>
        <v xml:space="preserve">DEMAND - Transportation Passenger Motorcycle </v>
      </c>
      <c r="D42" t="str">
        <f>_xlfn.XLOOKUP(B42,Trans_Demand!A:A,Trans_Demand!B:B)</f>
        <v>M Vkm</v>
      </c>
      <c r="E42" t="s">
        <v>214</v>
      </c>
      <c r="F42">
        <f>Trans_Demand!C38</f>
        <v>2019</v>
      </c>
      <c r="G42" s="11">
        <f>SUMIFS(Trans_Demand!D:D,Trans_Demand!A:A,DMD_TRA!B42,Trans_Demand!C:C,DMD_TRA!F42)</f>
        <v>0</v>
      </c>
    </row>
    <row r="43" spans="2:7">
      <c r="B43" t="str">
        <f>Trans_Demand!A633</f>
        <v>TRAPASMOTDMD</v>
      </c>
      <c r="C43" t="str">
        <f>"DEMAND - "&amp;_xlfn.XLOOKUP(B43,Demand!E:E,Demand!A:A)&amp;" "&amp;_xlfn.XLOOKUP(B43,Demand!E:E,Demand!B:B)&amp;" "&amp;_xlfn.XLOOKUP(B43,Demand!E:E,Demand!C:C)&amp;" "&amp;_xlfn.XLOOKUP(B43,Demand!E:E,Demand!D:D)</f>
        <v xml:space="preserve">DEMAND - Transportation Passenger Motorcycle </v>
      </c>
      <c r="D43" t="str">
        <f>_xlfn.XLOOKUP(B43,Trans_Demand!A:A,Trans_Demand!B:B)</f>
        <v>M Vkm</v>
      </c>
      <c r="E43" t="s">
        <v>214</v>
      </c>
      <c r="F43">
        <f>Trans_Demand!C39</f>
        <v>2020</v>
      </c>
      <c r="G43" s="11">
        <f>SUMIFS(Trans_Demand!D:D,Trans_Demand!A:A,DMD_TRA!B43,Trans_Demand!C:C,DMD_TRA!F43)</f>
        <v>0</v>
      </c>
    </row>
    <row r="44" spans="2:7">
      <c r="B44" t="str">
        <f>Trans_Demand!A634</f>
        <v>TRAPASMOTDMD</v>
      </c>
      <c r="C44" t="str">
        <f>"DEMAND - "&amp;_xlfn.XLOOKUP(B44,Demand!E:E,Demand!A:A)&amp;" "&amp;_xlfn.XLOOKUP(B44,Demand!E:E,Demand!B:B)&amp;" "&amp;_xlfn.XLOOKUP(B44,Demand!E:E,Demand!C:C)&amp;" "&amp;_xlfn.XLOOKUP(B44,Demand!E:E,Demand!D:D)</f>
        <v xml:space="preserve">DEMAND - Transportation Passenger Motorcycle </v>
      </c>
      <c r="D44" t="str">
        <f>_xlfn.XLOOKUP(B44,Trans_Demand!A:A,Trans_Demand!B:B)</f>
        <v>M Vkm</v>
      </c>
      <c r="E44" t="s">
        <v>214</v>
      </c>
      <c r="F44">
        <f>Trans_Demand!C40</f>
        <v>2025</v>
      </c>
      <c r="G44" s="11">
        <f>SUMIFS(Trans_Demand!D:D,Trans_Demand!A:A,DMD_TRA!B44,Trans_Demand!C:C,DMD_TRA!F44)</f>
        <v>0</v>
      </c>
    </row>
    <row r="45" spans="2:7">
      <c r="B45" t="str">
        <f>Trans_Demand!A635</f>
        <v>TRAPASMOTDMD</v>
      </c>
      <c r="C45" t="str">
        <f>"DEMAND - "&amp;_xlfn.XLOOKUP(B45,Demand!E:E,Demand!A:A)&amp;" "&amp;_xlfn.XLOOKUP(B45,Demand!E:E,Demand!B:B)&amp;" "&amp;_xlfn.XLOOKUP(B45,Demand!E:E,Demand!C:C)&amp;" "&amp;_xlfn.XLOOKUP(B45,Demand!E:E,Demand!D:D)</f>
        <v xml:space="preserve">DEMAND - Transportation Passenger Motorcycle </v>
      </c>
      <c r="D45" t="str">
        <f>_xlfn.XLOOKUP(B45,Trans_Demand!A:A,Trans_Demand!B:B)</f>
        <v>M Vkm</v>
      </c>
      <c r="E45" t="s">
        <v>214</v>
      </c>
      <c r="F45">
        <f>Trans_Demand!C41</f>
        <v>2030</v>
      </c>
      <c r="G45" s="11">
        <f>SUMIFS(Trans_Demand!D:D,Trans_Demand!A:A,DMD_TRA!B45,Trans_Demand!C:C,DMD_TRA!F45)</f>
        <v>0</v>
      </c>
    </row>
    <row r="46" spans="2:7">
      <c r="B46" t="str">
        <f>Trans_Demand!A636</f>
        <v>TRAPASMOTDMD</v>
      </c>
      <c r="C46" t="str">
        <f>"DEMAND - "&amp;_xlfn.XLOOKUP(B46,Demand!E:E,Demand!A:A)&amp;" "&amp;_xlfn.XLOOKUP(B46,Demand!E:E,Demand!B:B)&amp;" "&amp;_xlfn.XLOOKUP(B46,Demand!E:E,Demand!C:C)&amp;" "&amp;_xlfn.XLOOKUP(B46,Demand!E:E,Demand!D:D)</f>
        <v xml:space="preserve">DEMAND - Transportation Passenger Motorcycle </v>
      </c>
      <c r="D46" t="str">
        <f>_xlfn.XLOOKUP(B46,Trans_Demand!A:A,Trans_Demand!B:B)</f>
        <v>M Vkm</v>
      </c>
      <c r="E46" t="s">
        <v>214</v>
      </c>
      <c r="F46">
        <f>Trans_Demand!C42</f>
        <v>2035</v>
      </c>
      <c r="G46" s="11">
        <f>SUMIFS(Trans_Demand!D:D,Trans_Demand!A:A,DMD_TRA!B46,Trans_Demand!C:C,DMD_TRA!F46)</f>
        <v>0</v>
      </c>
    </row>
    <row r="47" spans="2:7">
      <c r="B47" t="str">
        <f>Trans_Demand!A637</f>
        <v>TRAPASMOTDMD</v>
      </c>
      <c r="C47" t="str">
        <f>"DEMAND - "&amp;_xlfn.XLOOKUP(B47,Demand!E:E,Demand!A:A)&amp;" "&amp;_xlfn.XLOOKUP(B47,Demand!E:E,Demand!B:B)&amp;" "&amp;_xlfn.XLOOKUP(B47,Demand!E:E,Demand!C:C)&amp;" "&amp;_xlfn.XLOOKUP(B47,Demand!E:E,Demand!D:D)</f>
        <v xml:space="preserve">DEMAND - Transportation Passenger Motorcycle </v>
      </c>
      <c r="D47" t="str">
        <f>_xlfn.XLOOKUP(B47,Trans_Demand!A:A,Trans_Demand!B:B)</f>
        <v>M Vkm</v>
      </c>
      <c r="E47" t="s">
        <v>214</v>
      </c>
      <c r="F47">
        <f>Trans_Demand!C43</f>
        <v>2040</v>
      </c>
      <c r="G47" s="11">
        <f>SUMIFS(Trans_Demand!D:D,Trans_Demand!A:A,DMD_TRA!B47,Trans_Demand!C:C,DMD_TRA!F47)</f>
        <v>0</v>
      </c>
    </row>
    <row r="48" spans="2:7">
      <c r="B48" t="str">
        <f>Trans_Demand!A638</f>
        <v>TRAPASMOTDMD</v>
      </c>
      <c r="C48" t="str">
        <f>"DEMAND - "&amp;_xlfn.XLOOKUP(B48,Demand!E:E,Demand!A:A)&amp;" "&amp;_xlfn.XLOOKUP(B48,Demand!E:E,Demand!B:B)&amp;" "&amp;_xlfn.XLOOKUP(B48,Demand!E:E,Demand!C:C)&amp;" "&amp;_xlfn.XLOOKUP(B48,Demand!E:E,Demand!D:D)</f>
        <v xml:space="preserve">DEMAND - Transportation Passenger Motorcycle </v>
      </c>
      <c r="D48" t="str">
        <f>_xlfn.XLOOKUP(B48,Trans_Demand!A:A,Trans_Demand!B:B)</f>
        <v>M Vkm</v>
      </c>
      <c r="E48" t="s">
        <v>214</v>
      </c>
      <c r="F48">
        <f>Trans_Demand!C44</f>
        <v>2045</v>
      </c>
      <c r="G48" s="11">
        <f>SUMIFS(Trans_Demand!D:D,Trans_Demand!A:A,DMD_TRA!B48,Trans_Demand!C:C,DMD_TRA!F48)</f>
        <v>0</v>
      </c>
    </row>
    <row r="49" spans="2:7">
      <c r="B49" t="str">
        <f>Trans_Demand!A639</f>
        <v>TRAPASMOTDMD</v>
      </c>
      <c r="C49" t="str">
        <f>"DEMAND - "&amp;_xlfn.XLOOKUP(B49,Demand!E:E,Demand!A:A)&amp;" "&amp;_xlfn.XLOOKUP(B49,Demand!E:E,Demand!B:B)&amp;" "&amp;_xlfn.XLOOKUP(B49,Demand!E:E,Demand!C:C)&amp;" "&amp;_xlfn.XLOOKUP(B49,Demand!E:E,Demand!D:D)</f>
        <v xml:space="preserve">DEMAND - Transportation Passenger Motorcycle </v>
      </c>
      <c r="D49" t="str">
        <f>_xlfn.XLOOKUP(B49,Trans_Demand!A:A,Trans_Demand!B:B)</f>
        <v>M Vkm</v>
      </c>
      <c r="E49" t="s">
        <v>214</v>
      </c>
      <c r="F49">
        <f>Trans_Demand!C45</f>
        <v>2050</v>
      </c>
      <c r="G49" s="11">
        <f>SUMIFS(Trans_Demand!D:D,Trans_Demand!A:A,DMD_TRA!B49,Trans_Demand!C:C,DMD_TRA!F49)</f>
        <v>0</v>
      </c>
    </row>
    <row r="50" spans="2:7">
      <c r="B50" t="str">
        <f>Trans_Demand!A640</f>
        <v>TRAPASMOTDMD</v>
      </c>
      <c r="C50" t="str">
        <f>"DEMAND - "&amp;_xlfn.XLOOKUP(B50,Demand!E:E,Demand!A:A)&amp;" "&amp;_xlfn.XLOOKUP(B50,Demand!E:E,Demand!B:B)&amp;" "&amp;_xlfn.XLOOKUP(B50,Demand!E:E,Demand!C:C)&amp;" "&amp;_xlfn.XLOOKUP(B50,Demand!E:E,Demand!D:D)</f>
        <v xml:space="preserve">DEMAND - Transportation Passenger Motorcycle </v>
      </c>
      <c r="D50" t="str">
        <f>_xlfn.XLOOKUP(B50,Trans_Demand!A:A,Trans_Demand!B:B)</f>
        <v>M Vkm</v>
      </c>
      <c r="E50" t="s">
        <v>214</v>
      </c>
      <c r="F50">
        <f>Trans_Demand!C46</f>
        <v>2055</v>
      </c>
      <c r="G50" s="11">
        <f>SUMIFS(Trans_Demand!D:D,Trans_Demand!A:A,DMD_TRA!B50,Trans_Demand!C:C,DMD_TRA!F50)</f>
        <v>0</v>
      </c>
    </row>
    <row r="51" spans="2:7">
      <c r="B51" t="str">
        <f>Trans_Demand!A641</f>
        <v>TRAPASMOTDMD</v>
      </c>
      <c r="C51" t="str">
        <f>"DEMAND - "&amp;_xlfn.XLOOKUP(B51,Demand!E:E,Demand!A:A)&amp;" "&amp;_xlfn.XLOOKUP(B51,Demand!E:E,Demand!B:B)&amp;" "&amp;_xlfn.XLOOKUP(B51,Demand!E:E,Demand!C:C)&amp;" "&amp;_xlfn.XLOOKUP(B51,Demand!E:E,Demand!D:D)</f>
        <v xml:space="preserve">DEMAND - Transportation Passenger Motorcycle </v>
      </c>
      <c r="D51" t="str">
        <f>_xlfn.XLOOKUP(B51,Trans_Demand!A:A,Trans_Demand!B:B)</f>
        <v>M Vkm</v>
      </c>
      <c r="E51" t="s">
        <v>214</v>
      </c>
      <c r="F51">
        <f>Trans_Demand!C47</f>
        <v>2060</v>
      </c>
      <c r="G51" s="11">
        <f>SUMIFS(Trans_Demand!D:D,Trans_Demand!A:A,DMD_TRA!B51,Trans_Demand!C:C,DMD_TRA!F51)</f>
        <v>0</v>
      </c>
    </row>
    <row r="52" spans="2:7">
      <c r="B52" t="str">
        <f>Trans_Demand!A642</f>
        <v>TRAPASMOTDMD</v>
      </c>
      <c r="C52" t="str">
        <f>"DEMAND - "&amp;_xlfn.XLOOKUP(B52,Demand!E:E,Demand!A:A)&amp;" "&amp;_xlfn.XLOOKUP(B52,Demand!E:E,Demand!B:B)&amp;" "&amp;_xlfn.XLOOKUP(B52,Demand!E:E,Demand!C:C)&amp;" "&amp;_xlfn.XLOOKUP(B52,Demand!E:E,Demand!D:D)</f>
        <v xml:space="preserve">DEMAND - Transportation Passenger Motorcycle </v>
      </c>
      <c r="D52" t="str">
        <f>_xlfn.XLOOKUP(B52,Trans_Demand!A:A,Trans_Demand!B:B)</f>
        <v>M Vkm</v>
      </c>
      <c r="E52" t="s">
        <v>214</v>
      </c>
      <c r="F52">
        <f>Trans_Demand!C48</f>
        <v>2065</v>
      </c>
      <c r="G52" s="11">
        <f>SUMIFS(Trans_Demand!D:D,Trans_Demand!A:A,DMD_TRA!B52,Trans_Demand!C:C,DMD_TRA!F52)</f>
        <v>0</v>
      </c>
    </row>
    <row r="53" spans="2:7">
      <c r="B53" t="str">
        <f>Trans_Demand!A643</f>
        <v>TRAPASMOTDMD</v>
      </c>
      <c r="C53" t="str">
        <f>"DEMAND - "&amp;_xlfn.XLOOKUP(B53,Demand!E:E,Demand!A:A)&amp;" "&amp;_xlfn.XLOOKUP(B53,Demand!E:E,Demand!B:B)&amp;" "&amp;_xlfn.XLOOKUP(B53,Demand!E:E,Demand!C:C)&amp;" "&amp;_xlfn.XLOOKUP(B53,Demand!E:E,Demand!D:D)</f>
        <v xml:space="preserve">DEMAND - Transportation Passenger Motorcycle </v>
      </c>
      <c r="D53" t="str">
        <f>_xlfn.XLOOKUP(B53,Trans_Demand!A:A,Trans_Demand!B:B)</f>
        <v>M Vkm</v>
      </c>
      <c r="E53" t="s">
        <v>214</v>
      </c>
      <c r="F53">
        <f>Trans_Demand!C49</f>
        <v>2070</v>
      </c>
      <c r="G53" s="11">
        <f>SUMIFS(Trans_Demand!D:D,Trans_Demand!A:A,DMD_TRA!B53,Trans_Demand!C:C,DMD_TRA!F53)</f>
        <v>0</v>
      </c>
    </row>
    <row r="54" spans="2:7">
      <c r="B54" t="str">
        <f>Trans_Demand!A644</f>
        <v>TRAPASMOTDMD</v>
      </c>
      <c r="C54" t="str">
        <f>"DEMAND - "&amp;_xlfn.XLOOKUP(B54,Demand!E:E,Demand!A:A)&amp;" "&amp;_xlfn.XLOOKUP(B54,Demand!E:E,Demand!B:B)&amp;" "&amp;_xlfn.XLOOKUP(B54,Demand!E:E,Demand!C:C)&amp;" "&amp;_xlfn.XLOOKUP(B54,Demand!E:E,Demand!D:D)</f>
        <v xml:space="preserve">DEMAND - Transportation Passenger Motorcycle </v>
      </c>
      <c r="D54" t="str">
        <f>_xlfn.XLOOKUP(B54,Trans_Demand!A:A,Trans_Demand!B:B)</f>
        <v>M Vkm</v>
      </c>
      <c r="E54" t="s">
        <v>214</v>
      </c>
      <c r="F54">
        <f>Trans_Demand!C50</f>
        <v>2075</v>
      </c>
      <c r="G54" s="11">
        <f>SUMIFS(Trans_Demand!D:D,Trans_Demand!A:A,DMD_TRA!B54,Trans_Demand!C:C,DMD_TRA!F54)</f>
        <v>0</v>
      </c>
    </row>
    <row r="55" spans="2:7">
      <c r="B55" t="str">
        <f>Trans_Demand!A645</f>
        <v>TRAPASMOTDMD</v>
      </c>
      <c r="C55" t="str">
        <f>"DEMAND - "&amp;_xlfn.XLOOKUP(B55,Demand!E:E,Demand!A:A)&amp;" "&amp;_xlfn.XLOOKUP(B55,Demand!E:E,Demand!B:B)&amp;" "&amp;_xlfn.XLOOKUP(B55,Demand!E:E,Demand!C:C)&amp;" "&amp;_xlfn.XLOOKUP(B55,Demand!E:E,Demand!D:D)</f>
        <v xml:space="preserve">DEMAND - Transportation Passenger Motorcycle </v>
      </c>
      <c r="D55" t="str">
        <f>_xlfn.XLOOKUP(B55,Trans_Demand!A:A,Trans_Demand!B:B)</f>
        <v>M Vkm</v>
      </c>
      <c r="E55" t="s">
        <v>214</v>
      </c>
      <c r="F55">
        <f>Trans_Demand!C51</f>
        <v>2080</v>
      </c>
      <c r="G55" s="11">
        <f>SUMIFS(Trans_Demand!D:D,Trans_Demand!A:A,DMD_TRA!B55,Trans_Demand!C:C,DMD_TRA!F55)</f>
        <v>0</v>
      </c>
    </row>
    <row r="56" spans="2:7">
      <c r="B56" t="str">
        <f>Trans_Demand!A646</f>
        <v>TRAPASMOTDMD</v>
      </c>
      <c r="C56" t="str">
        <f>"DEMAND - "&amp;_xlfn.XLOOKUP(B56,Demand!E:E,Demand!A:A)&amp;" "&amp;_xlfn.XLOOKUP(B56,Demand!E:E,Demand!B:B)&amp;" "&amp;_xlfn.XLOOKUP(B56,Demand!E:E,Demand!C:C)&amp;" "&amp;_xlfn.XLOOKUP(B56,Demand!E:E,Demand!D:D)</f>
        <v xml:space="preserve">DEMAND - Transportation Passenger Motorcycle </v>
      </c>
      <c r="D56" t="str">
        <f>_xlfn.XLOOKUP(B56,Trans_Demand!A:A,Trans_Demand!B:B)</f>
        <v>M Vkm</v>
      </c>
      <c r="E56" t="s">
        <v>214</v>
      </c>
      <c r="F56">
        <f>Trans_Demand!C52</f>
        <v>2085</v>
      </c>
      <c r="G56" s="11">
        <f>SUMIFS(Trans_Demand!D:D,Trans_Demand!A:A,DMD_TRA!B56,Trans_Demand!C:C,DMD_TRA!F56)</f>
        <v>0</v>
      </c>
    </row>
    <row r="57" spans="2:7">
      <c r="B57" t="str">
        <f>Trans_Demand!A647</f>
        <v>TRAPASMOTDMD</v>
      </c>
      <c r="C57" t="str">
        <f>"DEMAND - "&amp;_xlfn.XLOOKUP(B57,Demand!E:E,Demand!A:A)&amp;" "&amp;_xlfn.XLOOKUP(B57,Demand!E:E,Demand!B:B)&amp;" "&amp;_xlfn.XLOOKUP(B57,Demand!E:E,Demand!C:C)&amp;" "&amp;_xlfn.XLOOKUP(B57,Demand!E:E,Demand!D:D)</f>
        <v xml:space="preserve">DEMAND - Transportation Passenger Motorcycle </v>
      </c>
      <c r="D57" t="str">
        <f>_xlfn.XLOOKUP(B57,Trans_Demand!A:A,Trans_Demand!B:B)</f>
        <v>M Vkm</v>
      </c>
      <c r="E57" t="s">
        <v>214</v>
      </c>
      <c r="F57">
        <f>Trans_Demand!C53</f>
        <v>2090</v>
      </c>
      <c r="G57" s="11">
        <f>SUMIFS(Trans_Demand!D:D,Trans_Demand!A:A,DMD_TRA!B57,Trans_Demand!C:C,DMD_TRA!F57)</f>
        <v>0</v>
      </c>
    </row>
    <row r="58" spans="2:7">
      <c r="B58" t="str">
        <f>Trans_Demand!A648</f>
        <v>TRAPASMOTDMD</v>
      </c>
      <c r="C58" t="str">
        <f>"DEMAND - "&amp;_xlfn.XLOOKUP(B58,Demand!E:E,Demand!A:A)&amp;" "&amp;_xlfn.XLOOKUP(B58,Demand!E:E,Demand!B:B)&amp;" "&amp;_xlfn.XLOOKUP(B58,Demand!E:E,Demand!C:C)&amp;" "&amp;_xlfn.XLOOKUP(B58,Demand!E:E,Demand!D:D)</f>
        <v xml:space="preserve">DEMAND - Transportation Passenger Motorcycle </v>
      </c>
      <c r="D58" t="str">
        <f>_xlfn.XLOOKUP(B58,Trans_Demand!A:A,Trans_Demand!B:B)</f>
        <v>M Vkm</v>
      </c>
      <c r="E58" t="s">
        <v>214</v>
      </c>
      <c r="F58">
        <f>Trans_Demand!C54</f>
        <v>2095</v>
      </c>
      <c r="G58" s="11">
        <f>SUMIFS(Trans_Demand!D:D,Trans_Demand!A:A,DMD_TRA!B58,Trans_Demand!C:C,DMD_TRA!F58)</f>
        <v>0</v>
      </c>
    </row>
    <row r="59" spans="2:7">
      <c r="B59" t="str">
        <f>Trans_Demand!A649</f>
        <v>TRAPASMOTDMD</v>
      </c>
      <c r="C59" t="str">
        <f>"DEMAND - "&amp;_xlfn.XLOOKUP(B59,Demand!E:E,Demand!A:A)&amp;" "&amp;_xlfn.XLOOKUP(B59,Demand!E:E,Demand!B:B)&amp;" "&amp;_xlfn.XLOOKUP(B59,Demand!E:E,Demand!C:C)&amp;" "&amp;_xlfn.XLOOKUP(B59,Demand!E:E,Demand!D:D)</f>
        <v xml:space="preserve">DEMAND - Transportation Passenger Motorcycle </v>
      </c>
      <c r="D59" t="str">
        <f>_xlfn.XLOOKUP(B59,Trans_Demand!A:A,Trans_Demand!B:B)</f>
        <v>M Vkm</v>
      </c>
      <c r="E59" t="s">
        <v>214</v>
      </c>
      <c r="F59">
        <f>Trans_Demand!C55</f>
        <v>2100</v>
      </c>
      <c r="G59" s="11">
        <f>SUMIFS(Trans_Demand!D:D,Trans_Demand!A:A,DMD_TRA!B59,Trans_Demand!C:C,DMD_TRA!F59)</f>
        <v>0</v>
      </c>
    </row>
    <row r="60" spans="2:7">
      <c r="B60" t="str">
        <f>Trans_Demand!A650</f>
        <v>TRAFRECLTDMD</v>
      </c>
      <c r="C60" t="str">
        <f>"DEMAND - "&amp;_xlfn.XLOOKUP(B60,Demand!E:E,Demand!A:A)&amp;" "&amp;_xlfn.XLOOKUP(B60,Demand!E:E,Demand!B:B)&amp;" "&amp;_xlfn.XLOOKUP(B60,Demand!E:E,Demand!C:C)&amp;" "&amp;_xlfn.XLOOKUP(B60,Demand!E:E,Demand!D:D)</f>
        <v xml:space="preserve">DEMAND - Transportation Freight Light Commercial Truck </v>
      </c>
      <c r="D60" t="str">
        <f>_xlfn.XLOOKUP(B60,Trans_Demand!A:A,Trans_Demand!B:B)</f>
        <v>M Vkm</v>
      </c>
      <c r="E60" t="s">
        <v>214</v>
      </c>
      <c r="F60">
        <f>Trans_Demand!C56</f>
        <v>2019</v>
      </c>
      <c r="G60" s="11">
        <f>SUMIFS(Trans_Demand!D:D,Trans_Demand!A:A,DMD_TRA!B60,Trans_Demand!C:C,DMD_TRA!F60)</f>
        <v>1578.5178847930749</v>
      </c>
    </row>
    <row r="61" spans="2:7">
      <c r="B61" t="str">
        <f>Trans_Demand!A651</f>
        <v>TRAFRECLTDMD</v>
      </c>
      <c r="C61" t="str">
        <f>"DEMAND - "&amp;_xlfn.XLOOKUP(B61,Demand!E:E,Demand!A:A)&amp;" "&amp;_xlfn.XLOOKUP(B61,Demand!E:E,Demand!B:B)&amp;" "&amp;_xlfn.XLOOKUP(B61,Demand!E:E,Demand!C:C)&amp;" "&amp;_xlfn.XLOOKUP(B61,Demand!E:E,Demand!D:D)</f>
        <v xml:space="preserve">DEMAND - Transportation Freight Light Commercial Truck </v>
      </c>
      <c r="D61" t="str">
        <f>_xlfn.XLOOKUP(B61,Trans_Demand!A:A,Trans_Demand!B:B)</f>
        <v>M Vkm</v>
      </c>
      <c r="E61" t="s">
        <v>214</v>
      </c>
      <c r="F61">
        <f>Trans_Demand!C57</f>
        <v>2020</v>
      </c>
      <c r="G61" s="11">
        <f>SUMIFS(Trans_Demand!D:D,Trans_Demand!A:A,DMD_TRA!B61,Trans_Demand!C:C,DMD_TRA!F61)</f>
        <v>1586.41047421704</v>
      </c>
    </row>
    <row r="62" spans="2:7">
      <c r="B62" t="str">
        <f>Trans_Demand!A652</f>
        <v>TRAFRECLTDMD</v>
      </c>
      <c r="C62" t="str">
        <f>"DEMAND - "&amp;_xlfn.XLOOKUP(B62,Demand!E:E,Demand!A:A)&amp;" "&amp;_xlfn.XLOOKUP(B62,Demand!E:E,Demand!B:B)&amp;" "&amp;_xlfn.XLOOKUP(B62,Demand!E:E,Demand!C:C)&amp;" "&amp;_xlfn.XLOOKUP(B62,Demand!E:E,Demand!D:D)</f>
        <v xml:space="preserve">DEMAND - Transportation Freight Light Commercial Truck </v>
      </c>
      <c r="D62" t="str">
        <f>_xlfn.XLOOKUP(B62,Trans_Demand!A:A,Trans_Demand!B:B)</f>
        <v>M Vkm</v>
      </c>
      <c r="E62" t="s">
        <v>214</v>
      </c>
      <c r="F62">
        <f>Trans_Demand!C58</f>
        <v>2025</v>
      </c>
      <c r="G62" s="11">
        <f>SUMIFS(Trans_Demand!D:D,Trans_Demand!A:A,DMD_TRA!B62,Trans_Demand!C:C,DMD_TRA!F62)</f>
        <v>1626.0707360724659</v>
      </c>
    </row>
    <row r="63" spans="2:7">
      <c r="B63" t="str">
        <f>Trans_Demand!A653</f>
        <v>TRAFRECLTDMD</v>
      </c>
      <c r="C63" t="str">
        <f>"DEMAND - "&amp;_xlfn.XLOOKUP(B63,Demand!E:E,Demand!A:A)&amp;" "&amp;_xlfn.XLOOKUP(B63,Demand!E:E,Demand!B:B)&amp;" "&amp;_xlfn.XLOOKUP(B63,Demand!E:E,Demand!C:C)&amp;" "&amp;_xlfn.XLOOKUP(B63,Demand!E:E,Demand!D:D)</f>
        <v xml:space="preserve">DEMAND - Transportation Freight Light Commercial Truck </v>
      </c>
      <c r="D63" t="str">
        <f>_xlfn.XLOOKUP(B63,Trans_Demand!A:A,Trans_Demand!B:B)</f>
        <v>M Vkm</v>
      </c>
      <c r="E63" t="s">
        <v>214</v>
      </c>
      <c r="F63">
        <f>Trans_Demand!C59</f>
        <v>2030</v>
      </c>
      <c r="G63" s="11">
        <f>SUMIFS(Trans_Demand!D:D,Trans_Demand!A:A,DMD_TRA!B63,Trans_Demand!C:C,DMD_TRA!F63)</f>
        <v>1666.7225044742779</v>
      </c>
    </row>
    <row r="64" spans="2:7">
      <c r="B64" t="str">
        <f>Trans_Demand!A654</f>
        <v>TRAFRECLTDMD</v>
      </c>
      <c r="C64" t="str">
        <f>"DEMAND - "&amp;_xlfn.XLOOKUP(B64,Demand!E:E,Demand!A:A)&amp;" "&amp;_xlfn.XLOOKUP(B64,Demand!E:E,Demand!B:B)&amp;" "&amp;_xlfn.XLOOKUP(B64,Demand!E:E,Demand!C:C)&amp;" "&amp;_xlfn.XLOOKUP(B64,Demand!E:E,Demand!D:D)</f>
        <v xml:space="preserve">DEMAND - Transportation Freight Light Commercial Truck </v>
      </c>
      <c r="D64" t="str">
        <f>_xlfn.XLOOKUP(B64,Trans_Demand!A:A,Trans_Demand!B:B)</f>
        <v>M Vkm</v>
      </c>
      <c r="E64" t="s">
        <v>214</v>
      </c>
      <c r="F64">
        <f>Trans_Demand!C60</f>
        <v>2035</v>
      </c>
      <c r="G64" s="11">
        <f>SUMIFS(Trans_Demand!D:D,Trans_Demand!A:A,DMD_TRA!B64,Trans_Demand!C:C,DMD_TRA!F64)</f>
        <v>1708.390567086135</v>
      </c>
    </row>
    <row r="65" spans="2:7">
      <c r="B65" t="str">
        <f>Trans_Demand!A655</f>
        <v>TRAFRECLTDMD</v>
      </c>
      <c r="C65" t="str">
        <f>"DEMAND - "&amp;_xlfn.XLOOKUP(B65,Demand!E:E,Demand!A:A)&amp;" "&amp;_xlfn.XLOOKUP(B65,Demand!E:E,Demand!B:B)&amp;" "&amp;_xlfn.XLOOKUP(B65,Demand!E:E,Demand!C:C)&amp;" "&amp;_xlfn.XLOOKUP(B65,Demand!E:E,Demand!D:D)</f>
        <v xml:space="preserve">DEMAND - Transportation Freight Light Commercial Truck </v>
      </c>
      <c r="D65" t="str">
        <f>_xlfn.XLOOKUP(B65,Trans_Demand!A:A,Trans_Demand!B:B)</f>
        <v>M Vkm</v>
      </c>
      <c r="E65" t="s">
        <v>214</v>
      </c>
      <c r="F65">
        <f>Trans_Demand!C61</f>
        <v>2040</v>
      </c>
      <c r="G65" s="11">
        <f>SUMIFS(Trans_Demand!D:D,Trans_Demand!A:A,DMD_TRA!B65,Trans_Demand!C:C,DMD_TRA!F65)</f>
        <v>1751.1003312632879</v>
      </c>
    </row>
    <row r="66" spans="2:7">
      <c r="B66" t="str">
        <f>Trans_Demand!A656</f>
        <v>TRAFRECLTDMD</v>
      </c>
      <c r="C66" t="str">
        <f>"DEMAND - "&amp;_xlfn.XLOOKUP(B66,Demand!E:E,Demand!A:A)&amp;" "&amp;_xlfn.XLOOKUP(B66,Demand!E:E,Demand!B:B)&amp;" "&amp;_xlfn.XLOOKUP(B66,Demand!E:E,Demand!C:C)&amp;" "&amp;_xlfn.XLOOKUP(B66,Demand!E:E,Demand!D:D)</f>
        <v xml:space="preserve">DEMAND - Transportation Freight Light Commercial Truck </v>
      </c>
      <c r="D66" t="str">
        <f>_xlfn.XLOOKUP(B66,Trans_Demand!A:A,Trans_Demand!B:B)</f>
        <v>M Vkm</v>
      </c>
      <c r="E66" t="s">
        <v>214</v>
      </c>
      <c r="F66">
        <f>Trans_Demand!C62</f>
        <v>2045</v>
      </c>
      <c r="G66" s="11">
        <f>SUMIFS(Trans_Demand!D:D,Trans_Demand!A:A,DMD_TRA!B66,Trans_Demand!C:C,DMD_TRA!F66)</f>
        <v>1794.8778395448701</v>
      </c>
    </row>
    <row r="67" spans="2:7">
      <c r="B67" t="str">
        <f>Trans_Demand!A657</f>
        <v>TRAFRECLTDMD</v>
      </c>
      <c r="C67" t="str">
        <f>"DEMAND - "&amp;_xlfn.XLOOKUP(B67,Demand!E:E,Demand!A:A)&amp;" "&amp;_xlfn.XLOOKUP(B67,Demand!E:E,Demand!B:B)&amp;" "&amp;_xlfn.XLOOKUP(B67,Demand!E:E,Demand!C:C)&amp;" "&amp;_xlfn.XLOOKUP(B67,Demand!E:E,Demand!D:D)</f>
        <v xml:space="preserve">DEMAND - Transportation Freight Light Commercial Truck </v>
      </c>
      <c r="D67" t="str">
        <f>_xlfn.XLOOKUP(B67,Trans_Demand!A:A,Trans_Demand!B:B)</f>
        <v>M Vkm</v>
      </c>
      <c r="E67" t="s">
        <v>214</v>
      </c>
      <c r="F67">
        <f>Trans_Demand!C63</f>
        <v>2050</v>
      </c>
      <c r="G67" s="11">
        <f>SUMIFS(Trans_Demand!D:D,Trans_Demand!A:A,DMD_TRA!B67,Trans_Demand!C:C,DMD_TRA!F67)</f>
        <v>1839.7497855334909</v>
      </c>
    </row>
    <row r="68" spans="2:7">
      <c r="B68" t="str">
        <f>Trans_Demand!A658</f>
        <v>TRAFRECLTDMD</v>
      </c>
      <c r="C68" t="str">
        <f>"DEMAND - "&amp;_xlfn.XLOOKUP(B68,Demand!E:E,Demand!A:A)&amp;" "&amp;_xlfn.XLOOKUP(B68,Demand!E:E,Demand!B:B)&amp;" "&amp;_xlfn.XLOOKUP(B68,Demand!E:E,Demand!C:C)&amp;" "&amp;_xlfn.XLOOKUP(B68,Demand!E:E,Demand!D:D)</f>
        <v xml:space="preserve">DEMAND - Transportation Freight Light Commercial Truck </v>
      </c>
      <c r="D68" t="str">
        <f>_xlfn.XLOOKUP(B68,Trans_Demand!A:A,Trans_Demand!B:B)</f>
        <v>M Vkm</v>
      </c>
      <c r="E68" t="s">
        <v>214</v>
      </c>
      <c r="F68">
        <f>Trans_Demand!C64</f>
        <v>2055</v>
      </c>
      <c r="G68" s="11">
        <f>SUMIFS(Trans_Demand!D:D,Trans_Demand!A:A,DMD_TRA!B68,Trans_Demand!C:C,DMD_TRA!F68)</f>
        <v>1885.743530171829</v>
      </c>
    </row>
    <row r="69" spans="2:7">
      <c r="B69" t="str">
        <f>Trans_Demand!A659</f>
        <v>TRAFRECLTDMD</v>
      </c>
      <c r="C69" t="str">
        <f>"DEMAND - "&amp;_xlfn.XLOOKUP(B69,Demand!E:E,Demand!A:A)&amp;" "&amp;_xlfn.XLOOKUP(B69,Demand!E:E,Demand!B:B)&amp;" "&amp;_xlfn.XLOOKUP(B69,Demand!E:E,Demand!C:C)&amp;" "&amp;_xlfn.XLOOKUP(B69,Demand!E:E,Demand!D:D)</f>
        <v xml:space="preserve">DEMAND - Transportation Freight Light Commercial Truck </v>
      </c>
      <c r="D69" t="str">
        <f>_xlfn.XLOOKUP(B69,Trans_Demand!A:A,Trans_Demand!B:B)</f>
        <v>M Vkm</v>
      </c>
      <c r="E69" t="s">
        <v>214</v>
      </c>
      <c r="F69">
        <f>Trans_Demand!C65</f>
        <v>2060</v>
      </c>
      <c r="G69" s="11">
        <f>SUMIFS(Trans_Demand!D:D,Trans_Demand!A:A,DMD_TRA!B69,Trans_Demand!C:C,DMD_TRA!F69)</f>
        <v>1932.8871184261241</v>
      </c>
    </row>
    <row r="70" spans="2:7">
      <c r="B70" t="str">
        <f>Trans_Demand!A660</f>
        <v>TRAFRECLTDMD</v>
      </c>
      <c r="C70" t="str">
        <f>"DEMAND - "&amp;_xlfn.XLOOKUP(B70,Demand!E:E,Demand!A:A)&amp;" "&amp;_xlfn.XLOOKUP(B70,Demand!E:E,Demand!B:B)&amp;" "&amp;_xlfn.XLOOKUP(B70,Demand!E:E,Demand!C:C)&amp;" "&amp;_xlfn.XLOOKUP(B70,Demand!E:E,Demand!D:D)</f>
        <v xml:space="preserve">DEMAND - Transportation Freight Light Commercial Truck </v>
      </c>
      <c r="D70" t="str">
        <f>_xlfn.XLOOKUP(B70,Trans_Demand!A:A,Trans_Demand!B:B)</f>
        <v>M Vkm</v>
      </c>
      <c r="E70" t="s">
        <v>214</v>
      </c>
      <c r="F70">
        <f>Trans_Demand!C66</f>
        <v>2065</v>
      </c>
      <c r="G70" s="11">
        <f>SUMIFS(Trans_Demand!D:D,Trans_Demand!A:A,DMD_TRA!B70,Trans_Demand!C:C,DMD_TRA!F70)</f>
        <v>1981.2092963867769</v>
      </c>
    </row>
    <row r="71" spans="2:7">
      <c r="B71" t="str">
        <f>Trans_Demand!A661</f>
        <v>TRAFRECLTDMD</v>
      </c>
      <c r="C71" t="str">
        <f>"DEMAND - "&amp;_xlfn.XLOOKUP(B71,Demand!E:E,Demand!A:A)&amp;" "&amp;_xlfn.XLOOKUP(B71,Demand!E:E,Demand!B:B)&amp;" "&amp;_xlfn.XLOOKUP(B71,Demand!E:E,Demand!C:C)&amp;" "&amp;_xlfn.XLOOKUP(B71,Demand!E:E,Demand!D:D)</f>
        <v xml:space="preserve">DEMAND - Transportation Freight Light Commercial Truck </v>
      </c>
      <c r="D71" t="str">
        <f>_xlfn.XLOOKUP(B71,Trans_Demand!A:A,Trans_Demand!B:B)</f>
        <v>M Vkm</v>
      </c>
      <c r="E71" t="s">
        <v>214</v>
      </c>
      <c r="F71">
        <f>Trans_Demand!C67</f>
        <v>2070</v>
      </c>
      <c r="G71" s="11">
        <f>SUMIFS(Trans_Demand!D:D,Trans_Demand!A:A,DMD_TRA!B71,Trans_Demand!C:C,DMD_TRA!F71)</f>
        <v>2030.7395287964459</v>
      </c>
    </row>
    <row r="72" spans="2:7">
      <c r="B72" t="str">
        <f>Trans_Demand!A662</f>
        <v>TRAFRECLTDMD</v>
      </c>
      <c r="C72" t="str">
        <f>"DEMAND - "&amp;_xlfn.XLOOKUP(B72,Demand!E:E,Demand!A:A)&amp;" "&amp;_xlfn.XLOOKUP(B72,Demand!E:E,Demand!B:B)&amp;" "&amp;_xlfn.XLOOKUP(B72,Demand!E:E,Demand!C:C)&amp;" "&amp;_xlfn.XLOOKUP(B72,Demand!E:E,Demand!D:D)</f>
        <v xml:space="preserve">DEMAND - Transportation Freight Light Commercial Truck </v>
      </c>
      <c r="D72" t="str">
        <f>_xlfn.XLOOKUP(B72,Trans_Demand!A:A,Trans_Demand!B:B)</f>
        <v>M Vkm</v>
      </c>
      <c r="E72" t="s">
        <v>214</v>
      </c>
      <c r="F72">
        <f>Trans_Demand!C68</f>
        <v>2075</v>
      </c>
      <c r="G72" s="11">
        <f>SUMIFS(Trans_Demand!D:D,Trans_Demand!A:A,DMD_TRA!B72,Trans_Demand!C:C,DMD_TRA!F72)</f>
        <v>2081.5080170163569</v>
      </c>
    </row>
    <row r="73" spans="2:7">
      <c r="B73" t="str">
        <f>Trans_Demand!A663</f>
        <v>TRAFRECLTDMD</v>
      </c>
      <c r="C73" t="str">
        <f>"DEMAND - "&amp;_xlfn.XLOOKUP(B73,Demand!E:E,Demand!A:A)&amp;" "&amp;_xlfn.XLOOKUP(B73,Demand!E:E,Demand!B:B)&amp;" "&amp;_xlfn.XLOOKUP(B73,Demand!E:E,Demand!C:C)&amp;" "&amp;_xlfn.XLOOKUP(B73,Demand!E:E,Demand!D:D)</f>
        <v xml:space="preserve">DEMAND - Transportation Freight Light Commercial Truck </v>
      </c>
      <c r="D73" t="str">
        <f>_xlfn.XLOOKUP(B73,Trans_Demand!A:A,Trans_Demand!B:B)</f>
        <v>M Vkm</v>
      </c>
      <c r="E73" t="s">
        <v>214</v>
      </c>
      <c r="F73">
        <f>Trans_Demand!C69</f>
        <v>2080</v>
      </c>
      <c r="G73" s="11">
        <f>SUMIFS(Trans_Demand!D:D,Trans_Demand!A:A,DMD_TRA!B73,Trans_Demand!C:C,DMD_TRA!F73)</f>
        <v>2133.5457174417661</v>
      </c>
    </row>
    <row r="74" spans="2:7">
      <c r="B74" t="str">
        <f>Trans_Demand!A664</f>
        <v>TRAFRECLTDMD</v>
      </c>
      <c r="C74" t="str">
        <f>"DEMAND - "&amp;_xlfn.XLOOKUP(B74,Demand!E:E,Demand!A:A)&amp;" "&amp;_xlfn.XLOOKUP(B74,Demand!E:E,Demand!B:B)&amp;" "&amp;_xlfn.XLOOKUP(B74,Demand!E:E,Demand!C:C)&amp;" "&amp;_xlfn.XLOOKUP(B74,Demand!E:E,Demand!D:D)</f>
        <v xml:space="preserve">DEMAND - Transportation Freight Light Commercial Truck </v>
      </c>
      <c r="D74" t="str">
        <f>_xlfn.XLOOKUP(B74,Trans_Demand!A:A,Trans_Demand!B:B)</f>
        <v>M Vkm</v>
      </c>
      <c r="E74" t="s">
        <v>214</v>
      </c>
      <c r="F74">
        <f>Trans_Demand!C70</f>
        <v>2085</v>
      </c>
      <c r="G74" s="11">
        <f>SUMIFS(Trans_Demand!D:D,Trans_Demand!A:A,DMD_TRA!B74,Trans_Demand!C:C,DMD_TRA!F74)</f>
        <v>2186.88436037781</v>
      </c>
    </row>
    <row r="75" spans="2:7">
      <c r="B75" t="str">
        <f>Trans_Demand!A665</f>
        <v>TRAFRECLTDMD</v>
      </c>
      <c r="C75" t="str">
        <f>"DEMAND - "&amp;_xlfn.XLOOKUP(B75,Demand!E:E,Demand!A:A)&amp;" "&amp;_xlfn.XLOOKUP(B75,Demand!E:E,Demand!B:B)&amp;" "&amp;_xlfn.XLOOKUP(B75,Demand!E:E,Demand!C:C)&amp;" "&amp;_xlfn.XLOOKUP(B75,Demand!E:E,Demand!D:D)</f>
        <v xml:space="preserve">DEMAND - Transportation Freight Light Commercial Truck </v>
      </c>
      <c r="D75" t="str">
        <f>_xlfn.XLOOKUP(B75,Trans_Demand!A:A,Trans_Demand!B:B)</f>
        <v>M Vkm</v>
      </c>
      <c r="E75" t="s">
        <v>214</v>
      </c>
      <c r="F75">
        <f>Trans_Demand!C71</f>
        <v>2090</v>
      </c>
      <c r="G75" s="11">
        <f>SUMIFS(Trans_Demand!D:D,Trans_Demand!A:A,DMD_TRA!B75,Trans_Demand!C:C,DMD_TRA!F75)</f>
        <v>2241.5564693872552</v>
      </c>
    </row>
    <row r="76" spans="2:7">
      <c r="B76" t="str">
        <f>Trans_Demand!A666</f>
        <v>TRAFRECLTDMD</v>
      </c>
      <c r="C76" t="str">
        <f>"DEMAND - "&amp;_xlfn.XLOOKUP(B76,Demand!E:E,Demand!A:A)&amp;" "&amp;_xlfn.XLOOKUP(B76,Demand!E:E,Demand!B:B)&amp;" "&amp;_xlfn.XLOOKUP(B76,Demand!E:E,Demand!C:C)&amp;" "&amp;_xlfn.XLOOKUP(B76,Demand!E:E,Demand!D:D)</f>
        <v xml:space="preserve">DEMAND - Transportation Freight Light Commercial Truck </v>
      </c>
      <c r="D76" t="str">
        <f>_xlfn.XLOOKUP(B76,Trans_Demand!A:A,Trans_Demand!B:B)</f>
        <v>M Vkm</v>
      </c>
      <c r="E76" t="s">
        <v>214</v>
      </c>
      <c r="F76">
        <f>Trans_Demand!C72</f>
        <v>2095</v>
      </c>
      <c r="G76" s="11">
        <f>SUMIFS(Trans_Demand!D:D,Trans_Demand!A:A,DMD_TRA!B76,Trans_Demand!C:C,DMD_TRA!F76)</f>
        <v>2297.595381121936</v>
      </c>
    </row>
    <row r="77" spans="2:7">
      <c r="B77" t="str">
        <f>Trans_Demand!A667</f>
        <v>TRAFRECLTDMD</v>
      </c>
      <c r="C77" t="str">
        <f>"DEMAND - "&amp;_xlfn.XLOOKUP(B77,Demand!E:E,Demand!A:A)&amp;" "&amp;_xlfn.XLOOKUP(B77,Demand!E:E,Demand!B:B)&amp;" "&amp;_xlfn.XLOOKUP(B77,Demand!E:E,Demand!C:C)&amp;" "&amp;_xlfn.XLOOKUP(B77,Demand!E:E,Demand!D:D)</f>
        <v xml:space="preserve">DEMAND - Transportation Freight Light Commercial Truck </v>
      </c>
      <c r="D77" t="str">
        <f>_xlfn.XLOOKUP(B77,Trans_Demand!A:A,Trans_Demand!B:B)</f>
        <v>M Vkm</v>
      </c>
      <c r="E77" t="s">
        <v>214</v>
      </c>
      <c r="F77">
        <f>Trans_Demand!C73</f>
        <v>2100</v>
      </c>
      <c r="G77" s="11">
        <f>SUMIFS(Trans_Demand!D:D,Trans_Demand!A:A,DMD_TRA!B77,Trans_Demand!C:C,DMD_TRA!F77)</f>
        <v>2355.035265649984</v>
      </c>
    </row>
    <row r="78" spans="2:7">
      <c r="B78" t="str">
        <f>Trans_Demand!A668</f>
        <v>TRAFRERFTDMD</v>
      </c>
      <c r="C78" t="str">
        <f>"DEMAND - "&amp;_xlfn.XLOOKUP(B78,Demand!E:E,Demand!A:A)&amp;" "&amp;_xlfn.XLOOKUP(B78,Demand!E:E,Demand!B:B)&amp;" "&amp;_xlfn.XLOOKUP(B78,Demand!E:E,Demand!C:C)&amp;" "&amp;_xlfn.XLOOKUP(B78,Demand!E:E,Demand!D:D)</f>
        <v xml:space="preserve">DEMAND - Transportation Freight Refuse Truck </v>
      </c>
      <c r="D78" t="str">
        <f>_xlfn.XLOOKUP(B78,Trans_Demand!A:A,Trans_Demand!B:B)</f>
        <v>M Vkm</v>
      </c>
      <c r="E78" t="s">
        <v>214</v>
      </c>
      <c r="F78">
        <f>Trans_Demand!C74</f>
        <v>2019</v>
      </c>
      <c r="G78" s="11">
        <f>SUMIFS(Trans_Demand!D:D,Trans_Demand!A:A,DMD_TRA!B78,Trans_Demand!C:C,DMD_TRA!F78)</f>
        <v>70.026308273942732</v>
      </c>
    </row>
    <row r="79" spans="2:7">
      <c r="B79" t="str">
        <f>Trans_Demand!A669</f>
        <v>TRAFRERFTDMD</v>
      </c>
      <c r="C79" t="str">
        <f>"DEMAND - "&amp;_xlfn.XLOOKUP(B79,Demand!E:E,Demand!A:A)&amp;" "&amp;_xlfn.XLOOKUP(B79,Demand!E:E,Demand!B:B)&amp;" "&amp;_xlfn.XLOOKUP(B79,Demand!E:E,Demand!C:C)&amp;" "&amp;_xlfn.XLOOKUP(B79,Demand!E:E,Demand!D:D)</f>
        <v xml:space="preserve">DEMAND - Transportation Freight Refuse Truck </v>
      </c>
      <c r="D79" t="str">
        <f>_xlfn.XLOOKUP(B79,Trans_Demand!A:A,Trans_Demand!B:B)</f>
        <v>M Vkm</v>
      </c>
      <c r="E79" t="s">
        <v>214</v>
      </c>
      <c r="F79">
        <f>Trans_Demand!C75</f>
        <v>2020</v>
      </c>
      <c r="G79" s="11">
        <f>SUMIFS(Trans_Demand!D:D,Trans_Demand!A:A,DMD_TRA!B79,Trans_Demand!C:C,DMD_TRA!F79)</f>
        <v>70.376439815312438</v>
      </c>
    </row>
    <row r="80" spans="2:7">
      <c r="B80" t="str">
        <f>Trans_Demand!A670</f>
        <v>TRAFRERFTDMD</v>
      </c>
      <c r="C80" t="str">
        <f>"DEMAND - "&amp;_xlfn.XLOOKUP(B80,Demand!E:E,Demand!A:A)&amp;" "&amp;_xlfn.XLOOKUP(B80,Demand!E:E,Demand!B:B)&amp;" "&amp;_xlfn.XLOOKUP(B80,Demand!E:E,Demand!C:C)&amp;" "&amp;_xlfn.XLOOKUP(B80,Demand!E:E,Demand!D:D)</f>
        <v xml:space="preserve">DEMAND - Transportation Freight Refuse Truck </v>
      </c>
      <c r="D80" t="str">
        <f>_xlfn.XLOOKUP(B80,Trans_Demand!A:A,Trans_Demand!B:B)</f>
        <v>M Vkm</v>
      </c>
      <c r="E80" t="s">
        <v>214</v>
      </c>
      <c r="F80">
        <f>Trans_Demand!C76</f>
        <v>2025</v>
      </c>
      <c r="G80" s="11">
        <f>SUMIFS(Trans_Demand!D:D,Trans_Demand!A:A,DMD_TRA!B80,Trans_Demand!C:C,DMD_TRA!F80)</f>
        <v>72.135850810695246</v>
      </c>
    </row>
    <row r="81" spans="2:7">
      <c r="B81" t="str">
        <f>Trans_Demand!A671</f>
        <v>TRAFRERFTDMD</v>
      </c>
      <c r="C81" t="str">
        <f>"DEMAND - "&amp;_xlfn.XLOOKUP(B81,Demand!E:E,Demand!A:A)&amp;" "&amp;_xlfn.XLOOKUP(B81,Demand!E:E,Demand!B:B)&amp;" "&amp;_xlfn.XLOOKUP(B81,Demand!E:E,Demand!C:C)&amp;" "&amp;_xlfn.XLOOKUP(B81,Demand!E:E,Demand!D:D)</f>
        <v xml:space="preserve">DEMAND - Transportation Freight Refuse Truck </v>
      </c>
      <c r="D81" t="str">
        <f>_xlfn.XLOOKUP(B81,Trans_Demand!A:A,Trans_Demand!B:B)</f>
        <v>M Vkm</v>
      </c>
      <c r="E81" t="s">
        <v>214</v>
      </c>
      <c r="F81">
        <f>Trans_Demand!C77</f>
        <v>2030</v>
      </c>
      <c r="G81" s="11">
        <f>SUMIFS(Trans_Demand!D:D,Trans_Demand!A:A,DMD_TRA!B81,Trans_Demand!C:C,DMD_TRA!F81)</f>
        <v>73.939247080962616</v>
      </c>
    </row>
    <row r="82" spans="2:7">
      <c r="B82" t="str">
        <f>Trans_Demand!A672</f>
        <v>TRAFRERFTDMD</v>
      </c>
      <c r="C82" t="str">
        <f>"DEMAND - "&amp;_xlfn.XLOOKUP(B82,Demand!E:E,Demand!A:A)&amp;" "&amp;_xlfn.XLOOKUP(B82,Demand!E:E,Demand!B:B)&amp;" "&amp;_xlfn.XLOOKUP(B82,Demand!E:E,Demand!C:C)&amp;" "&amp;_xlfn.XLOOKUP(B82,Demand!E:E,Demand!D:D)</f>
        <v xml:space="preserve">DEMAND - Transportation Freight Refuse Truck </v>
      </c>
      <c r="D82" t="str">
        <f>_xlfn.XLOOKUP(B82,Trans_Demand!A:A,Trans_Demand!B:B)</f>
        <v>M Vkm</v>
      </c>
      <c r="E82" t="s">
        <v>214</v>
      </c>
      <c r="F82">
        <f>Trans_Demand!C78</f>
        <v>2035</v>
      </c>
      <c r="G82" s="11">
        <f>SUMIFS(Trans_Demand!D:D,Trans_Demand!A:A,DMD_TRA!B82,Trans_Demand!C:C,DMD_TRA!F82)</f>
        <v>75.787728257986672</v>
      </c>
    </row>
    <row r="83" spans="2:7">
      <c r="B83" t="str">
        <f>Trans_Demand!A673</f>
        <v>TRAFRERFTDMD</v>
      </c>
      <c r="C83" t="str">
        <f>"DEMAND - "&amp;_xlfn.XLOOKUP(B83,Demand!E:E,Demand!A:A)&amp;" "&amp;_xlfn.XLOOKUP(B83,Demand!E:E,Demand!B:B)&amp;" "&amp;_xlfn.XLOOKUP(B83,Demand!E:E,Demand!C:C)&amp;" "&amp;_xlfn.XLOOKUP(B83,Demand!E:E,Demand!D:D)</f>
        <v xml:space="preserve">DEMAND - Transportation Freight Refuse Truck </v>
      </c>
      <c r="D83" t="str">
        <f>_xlfn.XLOOKUP(B83,Trans_Demand!A:A,Trans_Demand!B:B)</f>
        <v>M Vkm</v>
      </c>
      <c r="E83" t="s">
        <v>214</v>
      </c>
      <c r="F83">
        <f>Trans_Demand!C79</f>
        <v>2040</v>
      </c>
      <c r="G83" s="11">
        <f>SUMIFS(Trans_Demand!D:D,Trans_Demand!A:A,DMD_TRA!B83,Trans_Demand!C:C,DMD_TRA!F83)</f>
        <v>77.682421464436331</v>
      </c>
    </row>
    <row r="84" spans="2:7">
      <c r="B84" t="str">
        <f>Trans_Demand!A674</f>
        <v>TRAFRERFTDMD</v>
      </c>
      <c r="C84" t="str">
        <f>"DEMAND - "&amp;_xlfn.XLOOKUP(B84,Demand!E:E,Demand!A:A)&amp;" "&amp;_xlfn.XLOOKUP(B84,Demand!E:E,Demand!B:B)&amp;" "&amp;_xlfn.XLOOKUP(B84,Demand!E:E,Demand!C:C)&amp;" "&amp;_xlfn.XLOOKUP(B84,Demand!E:E,Demand!D:D)</f>
        <v xml:space="preserve">DEMAND - Transportation Freight Refuse Truck </v>
      </c>
      <c r="D84" t="str">
        <f>_xlfn.XLOOKUP(B84,Trans_Demand!A:A,Trans_Demand!B:B)</f>
        <v>M Vkm</v>
      </c>
      <c r="E84" t="s">
        <v>214</v>
      </c>
      <c r="F84">
        <f>Trans_Demand!C80</f>
        <v>2045</v>
      </c>
      <c r="G84" s="11">
        <f>SUMIFS(Trans_Demand!D:D,Trans_Demand!A:A,DMD_TRA!B84,Trans_Demand!C:C,DMD_TRA!F84)</f>
        <v>79.624482001047227</v>
      </c>
    </row>
    <row r="85" spans="2:7">
      <c r="B85" t="str">
        <f>Trans_Demand!A675</f>
        <v>TRAFRERFTDMD</v>
      </c>
      <c r="C85" t="str">
        <f>"DEMAND - "&amp;_xlfn.XLOOKUP(B85,Demand!E:E,Demand!A:A)&amp;" "&amp;_xlfn.XLOOKUP(B85,Demand!E:E,Demand!B:B)&amp;" "&amp;_xlfn.XLOOKUP(B85,Demand!E:E,Demand!C:C)&amp;" "&amp;_xlfn.XLOOKUP(B85,Demand!E:E,Demand!D:D)</f>
        <v xml:space="preserve">DEMAND - Transportation Freight Refuse Truck </v>
      </c>
      <c r="D85" t="str">
        <f>_xlfn.XLOOKUP(B85,Trans_Demand!A:A,Trans_Demand!B:B)</f>
        <v>M Vkm</v>
      </c>
      <c r="E85" t="s">
        <v>214</v>
      </c>
      <c r="F85">
        <f>Trans_Demand!C81</f>
        <v>2050</v>
      </c>
      <c r="G85" s="11">
        <f>SUMIFS(Trans_Demand!D:D,Trans_Demand!A:A,DMD_TRA!B85,Trans_Demand!C:C,DMD_TRA!F85)</f>
        <v>81.615094051073399</v>
      </c>
    </row>
    <row r="86" spans="2:7">
      <c r="B86" t="str">
        <f>Trans_Demand!A676</f>
        <v>TRAFRERFTDMD</v>
      </c>
      <c r="C86" t="str">
        <f>"DEMAND - "&amp;_xlfn.XLOOKUP(B86,Demand!E:E,Demand!A:A)&amp;" "&amp;_xlfn.XLOOKUP(B86,Demand!E:E,Demand!B:B)&amp;" "&amp;_xlfn.XLOOKUP(B86,Demand!E:E,Demand!C:C)&amp;" "&amp;_xlfn.XLOOKUP(B86,Demand!E:E,Demand!D:D)</f>
        <v xml:space="preserve">DEMAND - Transportation Freight Refuse Truck </v>
      </c>
      <c r="D86" t="str">
        <f>_xlfn.XLOOKUP(B86,Trans_Demand!A:A,Trans_Demand!B:B)</f>
        <v>M Vkm</v>
      </c>
      <c r="E86" t="s">
        <v>214</v>
      </c>
      <c r="F86">
        <f>Trans_Demand!C82</f>
        <v>2055</v>
      </c>
      <c r="G86" s="11">
        <f>SUMIFS(Trans_Demand!D:D,Trans_Demand!A:A,DMD_TRA!B86,Trans_Demand!C:C,DMD_TRA!F86)</f>
        <v>83.65547140235023</v>
      </c>
    </row>
    <row r="87" spans="2:7">
      <c r="B87" t="str">
        <f>Trans_Demand!A677</f>
        <v>TRAFRERFTDMD</v>
      </c>
      <c r="C87" t="str">
        <f>"DEMAND - "&amp;_xlfn.XLOOKUP(B87,Demand!E:E,Demand!A:A)&amp;" "&amp;_xlfn.XLOOKUP(B87,Demand!E:E,Demand!B:B)&amp;" "&amp;_xlfn.XLOOKUP(B87,Demand!E:E,Demand!C:C)&amp;" "&amp;_xlfn.XLOOKUP(B87,Demand!E:E,Demand!D:D)</f>
        <v xml:space="preserve">DEMAND - Transportation Freight Refuse Truck </v>
      </c>
      <c r="D87" t="str">
        <f>_xlfn.XLOOKUP(B87,Trans_Demand!A:A,Trans_Demand!B:B)</f>
        <v>M Vkm</v>
      </c>
      <c r="E87" t="s">
        <v>214</v>
      </c>
      <c r="F87">
        <f>Trans_Demand!C83</f>
        <v>2060</v>
      </c>
      <c r="G87" s="11">
        <f>SUMIFS(Trans_Demand!D:D,Trans_Demand!A:A,DMD_TRA!B87,Trans_Demand!C:C,DMD_TRA!F87)</f>
        <v>85.746858187408975</v>
      </c>
    </row>
    <row r="88" spans="2:7">
      <c r="B88" t="str">
        <f>Trans_Demand!A678</f>
        <v>TRAFRERFTDMD</v>
      </c>
      <c r="C88" t="str">
        <f>"DEMAND - "&amp;_xlfn.XLOOKUP(B88,Demand!E:E,Demand!A:A)&amp;" "&amp;_xlfn.XLOOKUP(B88,Demand!E:E,Demand!B:B)&amp;" "&amp;_xlfn.XLOOKUP(B88,Demand!E:E,Demand!C:C)&amp;" "&amp;_xlfn.XLOOKUP(B88,Demand!E:E,Demand!D:D)</f>
        <v xml:space="preserve">DEMAND - Transportation Freight Refuse Truck </v>
      </c>
      <c r="D88" t="str">
        <f>_xlfn.XLOOKUP(B88,Trans_Demand!A:A,Trans_Demand!B:B)</f>
        <v>M Vkm</v>
      </c>
      <c r="E88" t="s">
        <v>214</v>
      </c>
      <c r="F88">
        <f>Trans_Demand!C84</f>
        <v>2065</v>
      </c>
      <c r="G88" s="11">
        <f>SUMIFS(Trans_Demand!D:D,Trans_Demand!A:A,DMD_TRA!B88,Trans_Demand!C:C,DMD_TRA!F88)</f>
        <v>87.890529642094194</v>
      </c>
    </row>
    <row r="89" spans="2:7">
      <c r="B89" t="str">
        <f>Trans_Demand!A679</f>
        <v>TRAFRERFTDMD</v>
      </c>
      <c r="C89" t="str">
        <f>"DEMAND - "&amp;_xlfn.XLOOKUP(B89,Demand!E:E,Demand!A:A)&amp;" "&amp;_xlfn.XLOOKUP(B89,Demand!E:E,Demand!B:B)&amp;" "&amp;_xlfn.XLOOKUP(B89,Demand!E:E,Demand!C:C)&amp;" "&amp;_xlfn.XLOOKUP(B89,Demand!E:E,Demand!D:D)</f>
        <v xml:space="preserve">DEMAND - Transportation Freight Refuse Truck </v>
      </c>
      <c r="D89" t="str">
        <f>_xlfn.XLOOKUP(B89,Trans_Demand!A:A,Trans_Demand!B:B)</f>
        <v>M Vkm</v>
      </c>
      <c r="E89" t="s">
        <v>214</v>
      </c>
      <c r="F89">
        <f>Trans_Demand!C85</f>
        <v>2070</v>
      </c>
      <c r="G89" s="11">
        <f>SUMIFS(Trans_Demand!D:D,Trans_Demand!A:A,DMD_TRA!B89,Trans_Demand!C:C,DMD_TRA!F89)</f>
        <v>90.087792883146534</v>
      </c>
    </row>
    <row r="90" spans="2:7">
      <c r="B90" t="str">
        <f>Trans_Demand!A680</f>
        <v>TRAFRERFTDMD</v>
      </c>
      <c r="C90" t="str">
        <f>"DEMAND - "&amp;_xlfn.XLOOKUP(B90,Demand!E:E,Demand!A:A)&amp;" "&amp;_xlfn.XLOOKUP(B90,Demand!E:E,Demand!B:B)&amp;" "&amp;_xlfn.XLOOKUP(B90,Demand!E:E,Demand!C:C)&amp;" "&amp;_xlfn.XLOOKUP(B90,Demand!E:E,Demand!D:D)</f>
        <v xml:space="preserve">DEMAND - Transportation Freight Refuse Truck </v>
      </c>
      <c r="D90" t="str">
        <f>_xlfn.XLOOKUP(B90,Trans_Demand!A:A,Trans_Demand!B:B)</f>
        <v>M Vkm</v>
      </c>
      <c r="E90" t="s">
        <v>214</v>
      </c>
      <c r="F90">
        <f>Trans_Demand!C86</f>
        <v>2075</v>
      </c>
      <c r="G90" s="11">
        <f>SUMIFS(Trans_Demand!D:D,Trans_Demand!A:A,DMD_TRA!B90,Trans_Demand!C:C,DMD_TRA!F90)</f>
        <v>92.339987705225184</v>
      </c>
    </row>
    <row r="91" spans="2:7">
      <c r="B91" t="str">
        <f>Trans_Demand!A681</f>
        <v>TRAFRERFTDMD</v>
      </c>
      <c r="C91" t="str">
        <f>"DEMAND - "&amp;_xlfn.XLOOKUP(B91,Demand!E:E,Demand!A:A)&amp;" "&amp;_xlfn.XLOOKUP(B91,Demand!E:E,Demand!B:B)&amp;" "&amp;_xlfn.XLOOKUP(B91,Demand!E:E,Demand!C:C)&amp;" "&amp;_xlfn.XLOOKUP(B91,Demand!E:E,Demand!D:D)</f>
        <v xml:space="preserve">DEMAND - Transportation Freight Refuse Truck </v>
      </c>
      <c r="D91" t="str">
        <f>_xlfn.XLOOKUP(B91,Trans_Demand!A:A,Trans_Demand!B:B)</f>
        <v>M Vkm</v>
      </c>
      <c r="E91" t="s">
        <v>214</v>
      </c>
      <c r="F91">
        <f>Trans_Demand!C87</f>
        <v>2080</v>
      </c>
      <c r="G91" s="11">
        <f>SUMIFS(Trans_Demand!D:D,Trans_Demand!A:A,DMD_TRA!B91,Trans_Demand!C:C,DMD_TRA!F91)</f>
        <v>94.648487397855803</v>
      </c>
    </row>
    <row r="92" spans="2:7">
      <c r="B92" t="str">
        <f>Trans_Demand!A682</f>
        <v>TRAFRERFTDMD</v>
      </c>
      <c r="C92" t="str">
        <f>"DEMAND - "&amp;_xlfn.XLOOKUP(B92,Demand!E:E,Demand!A:A)&amp;" "&amp;_xlfn.XLOOKUP(B92,Demand!E:E,Demand!B:B)&amp;" "&amp;_xlfn.XLOOKUP(B92,Demand!E:E,Demand!C:C)&amp;" "&amp;_xlfn.XLOOKUP(B92,Demand!E:E,Demand!D:D)</f>
        <v xml:space="preserve">DEMAND - Transportation Freight Refuse Truck </v>
      </c>
      <c r="D92" t="str">
        <f>_xlfn.XLOOKUP(B92,Trans_Demand!A:A,Trans_Demand!B:B)</f>
        <v>M Vkm</v>
      </c>
      <c r="E92" t="s">
        <v>214</v>
      </c>
      <c r="F92">
        <f>Trans_Demand!C88</f>
        <v>2085</v>
      </c>
      <c r="G92" s="11">
        <f>SUMIFS(Trans_Demand!D:D,Trans_Demand!A:A,DMD_TRA!B92,Trans_Demand!C:C,DMD_TRA!F92)</f>
        <v>97.014699582802194</v>
      </c>
    </row>
    <row r="93" spans="2:7">
      <c r="B93" t="str">
        <f>Trans_Demand!A683</f>
        <v>TRAFRERFTDMD</v>
      </c>
      <c r="C93" t="str">
        <f>"DEMAND - "&amp;_xlfn.XLOOKUP(B93,Demand!E:E,Demand!A:A)&amp;" "&amp;_xlfn.XLOOKUP(B93,Demand!E:E,Demand!B:B)&amp;" "&amp;_xlfn.XLOOKUP(B93,Demand!E:E,Demand!C:C)&amp;" "&amp;_xlfn.XLOOKUP(B93,Demand!E:E,Demand!D:D)</f>
        <v xml:space="preserve">DEMAND - Transportation Freight Refuse Truck </v>
      </c>
      <c r="D93" t="str">
        <f>_xlfn.XLOOKUP(B93,Trans_Demand!A:A,Trans_Demand!B:B)</f>
        <v>M Vkm</v>
      </c>
      <c r="E93" t="s">
        <v>214</v>
      </c>
      <c r="F93">
        <f>Trans_Demand!C89</f>
        <v>2090</v>
      </c>
      <c r="G93" s="11">
        <f>SUMIFS(Trans_Demand!D:D,Trans_Demand!A:A,DMD_TRA!B93,Trans_Demand!C:C,DMD_TRA!F93)</f>
        <v>99.440067072372244</v>
      </c>
    </row>
    <row r="94" spans="2:7">
      <c r="B94" t="str">
        <f>Trans_Demand!A684</f>
        <v>TRAFRERFTDMD</v>
      </c>
      <c r="C94" t="str">
        <f>"DEMAND - "&amp;_xlfn.XLOOKUP(B94,Demand!E:E,Demand!A:A)&amp;" "&amp;_xlfn.XLOOKUP(B94,Demand!E:E,Demand!B:B)&amp;" "&amp;_xlfn.XLOOKUP(B94,Demand!E:E,Demand!C:C)&amp;" "&amp;_xlfn.XLOOKUP(B94,Demand!E:E,Demand!D:D)</f>
        <v xml:space="preserve">DEMAND - Transportation Freight Refuse Truck </v>
      </c>
      <c r="D94" t="str">
        <f>_xlfn.XLOOKUP(B94,Trans_Demand!A:A,Trans_Demand!B:B)</f>
        <v>M Vkm</v>
      </c>
      <c r="E94" t="s">
        <v>214</v>
      </c>
      <c r="F94">
        <f>Trans_Demand!C90</f>
        <v>2095</v>
      </c>
      <c r="G94" s="11">
        <f>SUMIFS(Trans_Demand!D:D,Trans_Demand!A:A,DMD_TRA!B94,Trans_Demand!C:C,DMD_TRA!F94)</f>
        <v>101.9260687491815</v>
      </c>
    </row>
    <row r="95" spans="2:7">
      <c r="B95" t="str">
        <f>Trans_Demand!A685</f>
        <v>TRAFRERFTDMD</v>
      </c>
      <c r="C95" t="str">
        <f>"DEMAND - "&amp;_xlfn.XLOOKUP(B95,Demand!E:E,Demand!A:A)&amp;" "&amp;_xlfn.XLOOKUP(B95,Demand!E:E,Demand!B:B)&amp;" "&amp;_xlfn.XLOOKUP(B95,Demand!E:E,Demand!C:C)&amp;" "&amp;_xlfn.XLOOKUP(B95,Demand!E:E,Demand!D:D)</f>
        <v xml:space="preserve">DEMAND - Transportation Freight Refuse Truck </v>
      </c>
      <c r="D95" t="str">
        <f>_xlfn.XLOOKUP(B95,Trans_Demand!A:A,Trans_Demand!B:B)</f>
        <v>M Vkm</v>
      </c>
      <c r="E95" t="s">
        <v>214</v>
      </c>
      <c r="F95">
        <f>Trans_Demand!C91</f>
        <v>2100</v>
      </c>
      <c r="G95" s="11">
        <f>SUMIFS(Trans_Demand!D:D,Trans_Demand!A:A,DMD_TRA!B95,Trans_Demand!C:C,DMD_TRA!F95)</f>
        <v>104.4742204679111</v>
      </c>
    </row>
    <row r="96" spans="2:7">
      <c r="B96" t="str">
        <f>Trans_Demand!A686</f>
        <v>TRAFRESLHDMD</v>
      </c>
      <c r="C96" t="str">
        <f>"DEMAND - "&amp;_xlfn.XLOOKUP(B96,Demand!E:E,Demand!A:A)&amp;" "&amp;_xlfn.XLOOKUP(B96,Demand!E:E,Demand!B:B)&amp;" "&amp;_xlfn.XLOOKUP(B96,Demand!E:E,Demand!C:C)&amp;" "&amp;_xlfn.XLOOKUP(B96,Demand!E:E,Demand!D:D)</f>
        <v xml:space="preserve">DEMAND - Transportation Freight Single Unit Long-haul Truck </v>
      </c>
      <c r="D96" t="str">
        <f>_xlfn.XLOOKUP(B96,Trans_Demand!A:A,Trans_Demand!B:B)</f>
        <v>M Vkm</v>
      </c>
      <c r="E96" t="s">
        <v>214</v>
      </c>
      <c r="F96">
        <f>Trans_Demand!C92</f>
        <v>2019</v>
      </c>
      <c r="G96" s="11">
        <f>SUMIFS(Trans_Demand!D:D,Trans_Demand!A:A,DMD_TRA!B96,Trans_Demand!C:C,DMD_TRA!F96)</f>
        <v>0</v>
      </c>
    </row>
    <row r="97" spans="2:7">
      <c r="B97" t="str">
        <f>Trans_Demand!A687</f>
        <v>TRAFRESLHDMD</v>
      </c>
      <c r="C97" t="str">
        <f>"DEMAND - "&amp;_xlfn.XLOOKUP(B97,Demand!E:E,Demand!A:A)&amp;" "&amp;_xlfn.XLOOKUP(B97,Demand!E:E,Demand!B:B)&amp;" "&amp;_xlfn.XLOOKUP(B97,Demand!E:E,Demand!C:C)&amp;" "&amp;_xlfn.XLOOKUP(B97,Demand!E:E,Demand!D:D)</f>
        <v xml:space="preserve">DEMAND - Transportation Freight Single Unit Long-haul Truck </v>
      </c>
      <c r="D97" t="str">
        <f>_xlfn.XLOOKUP(B97,Trans_Demand!A:A,Trans_Demand!B:B)</f>
        <v>M Vkm</v>
      </c>
      <c r="E97" t="s">
        <v>214</v>
      </c>
      <c r="F97">
        <f>Trans_Demand!C93</f>
        <v>2020</v>
      </c>
      <c r="G97" s="11">
        <f>SUMIFS(Trans_Demand!D:D,Trans_Demand!A:A,DMD_TRA!B97,Trans_Demand!C:C,DMD_TRA!F97)</f>
        <v>0</v>
      </c>
    </row>
    <row r="98" spans="2:7">
      <c r="B98" t="str">
        <f>Trans_Demand!A688</f>
        <v>TRAFRESLHDMD</v>
      </c>
      <c r="C98" t="str">
        <f>"DEMAND - "&amp;_xlfn.XLOOKUP(B98,Demand!E:E,Demand!A:A)&amp;" "&amp;_xlfn.XLOOKUP(B98,Demand!E:E,Demand!B:B)&amp;" "&amp;_xlfn.XLOOKUP(B98,Demand!E:E,Demand!C:C)&amp;" "&amp;_xlfn.XLOOKUP(B98,Demand!E:E,Demand!D:D)</f>
        <v xml:space="preserve">DEMAND - Transportation Freight Single Unit Long-haul Truck </v>
      </c>
      <c r="D98" t="str">
        <f>_xlfn.XLOOKUP(B98,Trans_Demand!A:A,Trans_Demand!B:B)</f>
        <v>M Vkm</v>
      </c>
      <c r="E98" t="s">
        <v>214</v>
      </c>
      <c r="F98">
        <f>Trans_Demand!C94</f>
        <v>2025</v>
      </c>
      <c r="G98" s="11">
        <f>SUMIFS(Trans_Demand!D:D,Trans_Demand!A:A,DMD_TRA!B98,Trans_Demand!C:C,DMD_TRA!F98)</f>
        <v>0</v>
      </c>
    </row>
    <row r="99" spans="2:7">
      <c r="B99" t="str">
        <f>Trans_Demand!A689</f>
        <v>TRAFRESLHDMD</v>
      </c>
      <c r="C99" t="str">
        <f>"DEMAND - "&amp;_xlfn.XLOOKUP(B99,Demand!E:E,Demand!A:A)&amp;" "&amp;_xlfn.XLOOKUP(B99,Demand!E:E,Demand!B:B)&amp;" "&amp;_xlfn.XLOOKUP(B99,Demand!E:E,Demand!C:C)&amp;" "&amp;_xlfn.XLOOKUP(B99,Demand!E:E,Demand!D:D)</f>
        <v xml:space="preserve">DEMAND - Transportation Freight Single Unit Long-haul Truck </v>
      </c>
      <c r="D99" t="str">
        <f>_xlfn.XLOOKUP(B99,Trans_Demand!A:A,Trans_Demand!B:B)</f>
        <v>M Vkm</v>
      </c>
      <c r="E99" t="s">
        <v>214</v>
      </c>
      <c r="F99">
        <f>Trans_Demand!C95</f>
        <v>2030</v>
      </c>
      <c r="G99" s="11">
        <f>SUMIFS(Trans_Demand!D:D,Trans_Demand!A:A,DMD_TRA!B99,Trans_Demand!C:C,DMD_TRA!F99)</f>
        <v>0</v>
      </c>
    </row>
    <row r="100" spans="2:7">
      <c r="B100" t="str">
        <f>Trans_Demand!A690</f>
        <v>TRAFRESLHDMD</v>
      </c>
      <c r="C100" t="str">
        <f>"DEMAND - "&amp;_xlfn.XLOOKUP(B100,Demand!E:E,Demand!A:A)&amp;" "&amp;_xlfn.XLOOKUP(B100,Demand!E:E,Demand!B:B)&amp;" "&amp;_xlfn.XLOOKUP(B100,Demand!E:E,Demand!C:C)&amp;" "&amp;_xlfn.XLOOKUP(B100,Demand!E:E,Demand!D:D)</f>
        <v xml:space="preserve">DEMAND - Transportation Freight Single Unit Long-haul Truck </v>
      </c>
      <c r="D100" t="str">
        <f>_xlfn.XLOOKUP(B100,Trans_Demand!A:A,Trans_Demand!B:B)</f>
        <v>M Vkm</v>
      </c>
      <c r="E100" t="s">
        <v>214</v>
      </c>
      <c r="F100">
        <f>Trans_Demand!C96</f>
        <v>2035</v>
      </c>
      <c r="G100" s="11">
        <f>SUMIFS(Trans_Demand!D:D,Trans_Demand!A:A,DMD_TRA!B100,Trans_Demand!C:C,DMD_TRA!F100)</f>
        <v>0</v>
      </c>
    </row>
    <row r="101" spans="2:7">
      <c r="B101" t="str">
        <f>Trans_Demand!A691</f>
        <v>TRAFRESLHDMD</v>
      </c>
      <c r="C101" t="str">
        <f>"DEMAND - "&amp;_xlfn.XLOOKUP(B101,Demand!E:E,Demand!A:A)&amp;" "&amp;_xlfn.XLOOKUP(B101,Demand!E:E,Demand!B:B)&amp;" "&amp;_xlfn.XLOOKUP(B101,Demand!E:E,Demand!C:C)&amp;" "&amp;_xlfn.XLOOKUP(B101,Demand!E:E,Demand!D:D)</f>
        <v xml:space="preserve">DEMAND - Transportation Freight Single Unit Long-haul Truck </v>
      </c>
      <c r="D101" t="str">
        <f>_xlfn.XLOOKUP(B101,Trans_Demand!A:A,Trans_Demand!B:B)</f>
        <v>M Vkm</v>
      </c>
      <c r="E101" t="s">
        <v>214</v>
      </c>
      <c r="F101">
        <f>Trans_Demand!C97</f>
        <v>2040</v>
      </c>
      <c r="G101" s="11">
        <f>SUMIFS(Trans_Demand!D:D,Trans_Demand!A:A,DMD_TRA!B101,Trans_Demand!C:C,DMD_TRA!F101)</f>
        <v>0</v>
      </c>
    </row>
    <row r="102" spans="2:7">
      <c r="B102" t="str">
        <f>Trans_Demand!A692</f>
        <v>TRAFRESLHDMD</v>
      </c>
      <c r="C102" t="str">
        <f>"DEMAND - "&amp;_xlfn.XLOOKUP(B102,Demand!E:E,Demand!A:A)&amp;" "&amp;_xlfn.XLOOKUP(B102,Demand!E:E,Demand!B:B)&amp;" "&amp;_xlfn.XLOOKUP(B102,Demand!E:E,Demand!C:C)&amp;" "&amp;_xlfn.XLOOKUP(B102,Demand!E:E,Demand!D:D)</f>
        <v xml:space="preserve">DEMAND - Transportation Freight Single Unit Long-haul Truck </v>
      </c>
      <c r="D102" t="str">
        <f>_xlfn.XLOOKUP(B102,Trans_Demand!A:A,Trans_Demand!B:B)</f>
        <v>M Vkm</v>
      </c>
      <c r="E102" t="s">
        <v>214</v>
      </c>
      <c r="F102">
        <f>Trans_Demand!C98</f>
        <v>2045</v>
      </c>
      <c r="G102" s="11">
        <f>SUMIFS(Trans_Demand!D:D,Trans_Demand!A:A,DMD_TRA!B102,Trans_Demand!C:C,DMD_TRA!F102)</f>
        <v>0</v>
      </c>
    </row>
    <row r="103" spans="2:7">
      <c r="B103" t="str">
        <f>Trans_Demand!A693</f>
        <v>TRAFRESLHDMD</v>
      </c>
      <c r="C103" t="str">
        <f>"DEMAND - "&amp;_xlfn.XLOOKUP(B103,Demand!E:E,Demand!A:A)&amp;" "&amp;_xlfn.XLOOKUP(B103,Demand!E:E,Demand!B:B)&amp;" "&amp;_xlfn.XLOOKUP(B103,Demand!E:E,Demand!C:C)&amp;" "&amp;_xlfn.XLOOKUP(B103,Demand!E:E,Demand!D:D)</f>
        <v xml:space="preserve">DEMAND - Transportation Freight Single Unit Long-haul Truck </v>
      </c>
      <c r="D103" t="str">
        <f>_xlfn.XLOOKUP(B103,Trans_Demand!A:A,Trans_Demand!B:B)</f>
        <v>M Vkm</v>
      </c>
      <c r="E103" t="s">
        <v>214</v>
      </c>
      <c r="F103">
        <f>Trans_Demand!C99</f>
        <v>2050</v>
      </c>
      <c r="G103" s="11">
        <f>SUMIFS(Trans_Demand!D:D,Trans_Demand!A:A,DMD_TRA!B103,Trans_Demand!C:C,DMD_TRA!F103)</f>
        <v>0</v>
      </c>
    </row>
    <row r="104" spans="2:7">
      <c r="B104" t="str">
        <f>Trans_Demand!A694</f>
        <v>TRAFRESLHDMD</v>
      </c>
      <c r="C104" t="str">
        <f>"DEMAND - "&amp;_xlfn.XLOOKUP(B104,Demand!E:E,Demand!A:A)&amp;" "&amp;_xlfn.XLOOKUP(B104,Demand!E:E,Demand!B:B)&amp;" "&amp;_xlfn.XLOOKUP(B104,Demand!E:E,Demand!C:C)&amp;" "&amp;_xlfn.XLOOKUP(B104,Demand!E:E,Demand!D:D)</f>
        <v xml:space="preserve">DEMAND - Transportation Freight Single Unit Long-haul Truck </v>
      </c>
      <c r="D104" t="str">
        <f>_xlfn.XLOOKUP(B104,Trans_Demand!A:A,Trans_Demand!B:B)</f>
        <v>M Vkm</v>
      </c>
      <c r="E104" t="s">
        <v>214</v>
      </c>
      <c r="F104">
        <f>Trans_Demand!C100</f>
        <v>2055</v>
      </c>
      <c r="G104" s="11">
        <f>SUMIFS(Trans_Demand!D:D,Trans_Demand!A:A,DMD_TRA!B104,Trans_Demand!C:C,DMD_TRA!F104)</f>
        <v>0</v>
      </c>
    </row>
    <row r="105" spans="2:7">
      <c r="B105" t="str">
        <f>Trans_Demand!A695</f>
        <v>TRAFRESLHDMD</v>
      </c>
      <c r="C105" t="str">
        <f>"DEMAND - "&amp;_xlfn.XLOOKUP(B105,Demand!E:E,Demand!A:A)&amp;" "&amp;_xlfn.XLOOKUP(B105,Demand!E:E,Demand!B:B)&amp;" "&amp;_xlfn.XLOOKUP(B105,Demand!E:E,Demand!C:C)&amp;" "&amp;_xlfn.XLOOKUP(B105,Demand!E:E,Demand!D:D)</f>
        <v xml:space="preserve">DEMAND - Transportation Freight Single Unit Long-haul Truck </v>
      </c>
      <c r="D105" t="str">
        <f>_xlfn.XLOOKUP(B105,Trans_Demand!A:A,Trans_Demand!B:B)</f>
        <v>M Vkm</v>
      </c>
      <c r="E105" t="s">
        <v>214</v>
      </c>
      <c r="F105">
        <f>Trans_Demand!C101</f>
        <v>2060</v>
      </c>
      <c r="G105" s="11">
        <f>SUMIFS(Trans_Demand!D:D,Trans_Demand!A:A,DMD_TRA!B105,Trans_Demand!C:C,DMD_TRA!F105)</f>
        <v>0</v>
      </c>
    </row>
    <row r="106" spans="2:7">
      <c r="B106" t="str">
        <f>Trans_Demand!A696</f>
        <v>TRAFRESLHDMD</v>
      </c>
      <c r="C106" t="str">
        <f>"DEMAND - "&amp;_xlfn.XLOOKUP(B106,Demand!E:E,Demand!A:A)&amp;" "&amp;_xlfn.XLOOKUP(B106,Demand!E:E,Demand!B:B)&amp;" "&amp;_xlfn.XLOOKUP(B106,Demand!E:E,Demand!C:C)&amp;" "&amp;_xlfn.XLOOKUP(B106,Demand!E:E,Demand!D:D)</f>
        <v xml:space="preserve">DEMAND - Transportation Freight Single Unit Long-haul Truck </v>
      </c>
      <c r="D106" t="str">
        <f>_xlfn.XLOOKUP(B106,Trans_Demand!A:A,Trans_Demand!B:B)</f>
        <v>M Vkm</v>
      </c>
      <c r="E106" t="s">
        <v>214</v>
      </c>
      <c r="F106">
        <f>Trans_Demand!C102</f>
        <v>2065</v>
      </c>
      <c r="G106" s="11">
        <f>SUMIFS(Trans_Demand!D:D,Trans_Demand!A:A,DMD_TRA!B106,Trans_Demand!C:C,DMD_TRA!F106)</f>
        <v>0</v>
      </c>
    </row>
    <row r="107" spans="2:7">
      <c r="B107" t="str">
        <f>Trans_Demand!A697</f>
        <v>TRAFRESLHDMD</v>
      </c>
      <c r="C107" t="str">
        <f>"DEMAND - "&amp;_xlfn.XLOOKUP(B107,Demand!E:E,Demand!A:A)&amp;" "&amp;_xlfn.XLOOKUP(B107,Demand!E:E,Demand!B:B)&amp;" "&amp;_xlfn.XLOOKUP(B107,Demand!E:E,Demand!C:C)&amp;" "&amp;_xlfn.XLOOKUP(B107,Demand!E:E,Demand!D:D)</f>
        <v xml:space="preserve">DEMAND - Transportation Freight Single Unit Long-haul Truck </v>
      </c>
      <c r="D107" t="str">
        <f>_xlfn.XLOOKUP(B107,Trans_Demand!A:A,Trans_Demand!B:B)</f>
        <v>M Vkm</v>
      </c>
      <c r="E107" t="s">
        <v>214</v>
      </c>
      <c r="F107">
        <f>Trans_Demand!C103</f>
        <v>2070</v>
      </c>
      <c r="G107" s="11">
        <f>SUMIFS(Trans_Demand!D:D,Trans_Demand!A:A,DMD_TRA!B107,Trans_Demand!C:C,DMD_TRA!F107)</f>
        <v>0</v>
      </c>
    </row>
    <row r="108" spans="2:7">
      <c r="B108" t="str">
        <f>Trans_Demand!A698</f>
        <v>TRAFRESLHDMD</v>
      </c>
      <c r="C108" t="str">
        <f>"DEMAND - "&amp;_xlfn.XLOOKUP(B108,Demand!E:E,Demand!A:A)&amp;" "&amp;_xlfn.XLOOKUP(B108,Demand!E:E,Demand!B:B)&amp;" "&amp;_xlfn.XLOOKUP(B108,Demand!E:E,Demand!C:C)&amp;" "&amp;_xlfn.XLOOKUP(B108,Demand!E:E,Demand!D:D)</f>
        <v xml:space="preserve">DEMAND - Transportation Freight Single Unit Long-haul Truck </v>
      </c>
      <c r="D108" t="str">
        <f>_xlfn.XLOOKUP(B108,Trans_Demand!A:A,Trans_Demand!B:B)</f>
        <v>M Vkm</v>
      </c>
      <c r="E108" t="s">
        <v>214</v>
      </c>
      <c r="F108">
        <f>Trans_Demand!C104</f>
        <v>2075</v>
      </c>
      <c r="G108" s="11">
        <f>SUMIFS(Trans_Demand!D:D,Trans_Demand!A:A,DMD_TRA!B108,Trans_Demand!C:C,DMD_TRA!F108)</f>
        <v>0</v>
      </c>
    </row>
    <row r="109" spans="2:7">
      <c r="B109" t="str">
        <f>Trans_Demand!A699</f>
        <v>TRAFRESLHDMD</v>
      </c>
      <c r="C109" t="str">
        <f>"DEMAND - "&amp;_xlfn.XLOOKUP(B109,Demand!E:E,Demand!A:A)&amp;" "&amp;_xlfn.XLOOKUP(B109,Demand!E:E,Demand!B:B)&amp;" "&amp;_xlfn.XLOOKUP(B109,Demand!E:E,Demand!C:C)&amp;" "&amp;_xlfn.XLOOKUP(B109,Demand!E:E,Demand!D:D)</f>
        <v xml:space="preserve">DEMAND - Transportation Freight Single Unit Long-haul Truck </v>
      </c>
      <c r="D109" t="str">
        <f>_xlfn.XLOOKUP(B109,Trans_Demand!A:A,Trans_Demand!B:B)</f>
        <v>M Vkm</v>
      </c>
      <c r="E109" t="s">
        <v>214</v>
      </c>
      <c r="F109">
        <f>Trans_Demand!C105</f>
        <v>2080</v>
      </c>
      <c r="G109" s="11">
        <f>SUMIFS(Trans_Demand!D:D,Trans_Demand!A:A,DMD_TRA!B109,Trans_Demand!C:C,DMD_TRA!F109)</f>
        <v>0</v>
      </c>
    </row>
    <row r="110" spans="2:7">
      <c r="B110" t="str">
        <f>Trans_Demand!A700</f>
        <v>TRAFRESLHDMD</v>
      </c>
      <c r="C110" t="str">
        <f>"DEMAND - "&amp;_xlfn.XLOOKUP(B110,Demand!E:E,Demand!A:A)&amp;" "&amp;_xlfn.XLOOKUP(B110,Demand!E:E,Demand!B:B)&amp;" "&amp;_xlfn.XLOOKUP(B110,Demand!E:E,Demand!C:C)&amp;" "&amp;_xlfn.XLOOKUP(B110,Demand!E:E,Demand!D:D)</f>
        <v xml:space="preserve">DEMAND - Transportation Freight Single Unit Long-haul Truck </v>
      </c>
      <c r="D110" t="str">
        <f>_xlfn.XLOOKUP(B110,Trans_Demand!A:A,Trans_Demand!B:B)</f>
        <v>M Vkm</v>
      </c>
      <c r="E110" t="s">
        <v>214</v>
      </c>
      <c r="F110">
        <f>Trans_Demand!C106</f>
        <v>2085</v>
      </c>
      <c r="G110" s="11">
        <f>SUMIFS(Trans_Demand!D:D,Trans_Demand!A:A,DMD_TRA!B110,Trans_Demand!C:C,DMD_TRA!F110)</f>
        <v>0</v>
      </c>
    </row>
    <row r="111" spans="2:7">
      <c r="B111" t="str">
        <f>Trans_Demand!A701</f>
        <v>TRAFRESLHDMD</v>
      </c>
      <c r="C111" t="str">
        <f>"DEMAND - "&amp;_xlfn.XLOOKUP(B111,Demand!E:E,Demand!A:A)&amp;" "&amp;_xlfn.XLOOKUP(B111,Demand!E:E,Demand!B:B)&amp;" "&amp;_xlfn.XLOOKUP(B111,Demand!E:E,Demand!C:C)&amp;" "&amp;_xlfn.XLOOKUP(B111,Demand!E:E,Demand!D:D)</f>
        <v xml:space="preserve">DEMAND - Transportation Freight Single Unit Long-haul Truck </v>
      </c>
      <c r="D111" t="str">
        <f>_xlfn.XLOOKUP(B111,Trans_Demand!A:A,Trans_Demand!B:B)</f>
        <v>M Vkm</v>
      </c>
      <c r="E111" t="s">
        <v>214</v>
      </c>
      <c r="F111">
        <f>Trans_Demand!C107</f>
        <v>2090</v>
      </c>
      <c r="G111" s="11">
        <f>SUMIFS(Trans_Demand!D:D,Trans_Demand!A:A,DMD_TRA!B111,Trans_Demand!C:C,DMD_TRA!F111)</f>
        <v>0</v>
      </c>
    </row>
    <row r="112" spans="2:7">
      <c r="B112" t="str">
        <f>Trans_Demand!A702</f>
        <v>TRAFRESLHDMD</v>
      </c>
      <c r="C112" t="str">
        <f>"DEMAND - "&amp;_xlfn.XLOOKUP(B112,Demand!E:E,Demand!A:A)&amp;" "&amp;_xlfn.XLOOKUP(B112,Demand!E:E,Demand!B:B)&amp;" "&amp;_xlfn.XLOOKUP(B112,Demand!E:E,Demand!C:C)&amp;" "&amp;_xlfn.XLOOKUP(B112,Demand!E:E,Demand!D:D)</f>
        <v xml:space="preserve">DEMAND - Transportation Freight Single Unit Long-haul Truck </v>
      </c>
      <c r="D112" t="str">
        <f>_xlfn.XLOOKUP(B112,Trans_Demand!A:A,Trans_Demand!B:B)</f>
        <v>M Vkm</v>
      </c>
      <c r="E112" t="s">
        <v>214</v>
      </c>
      <c r="F112">
        <f>Trans_Demand!C108</f>
        <v>2095</v>
      </c>
      <c r="G112" s="11">
        <f>SUMIFS(Trans_Demand!D:D,Trans_Demand!A:A,DMD_TRA!B112,Trans_Demand!C:C,DMD_TRA!F112)</f>
        <v>0</v>
      </c>
    </row>
    <row r="113" spans="2:7">
      <c r="B113" t="str">
        <f>Trans_Demand!A703</f>
        <v>TRAFRESLHDMD</v>
      </c>
      <c r="C113" t="str">
        <f>"DEMAND - "&amp;_xlfn.XLOOKUP(B113,Demand!E:E,Demand!A:A)&amp;" "&amp;_xlfn.XLOOKUP(B113,Demand!E:E,Demand!B:B)&amp;" "&amp;_xlfn.XLOOKUP(B113,Demand!E:E,Demand!C:C)&amp;" "&amp;_xlfn.XLOOKUP(B113,Demand!E:E,Demand!D:D)</f>
        <v xml:space="preserve">DEMAND - Transportation Freight Single Unit Long-haul Truck </v>
      </c>
      <c r="D113" t="str">
        <f>_xlfn.XLOOKUP(B113,Trans_Demand!A:A,Trans_Demand!B:B)</f>
        <v>M Vkm</v>
      </c>
      <c r="E113" t="s">
        <v>214</v>
      </c>
      <c r="F113">
        <f>Trans_Demand!C109</f>
        <v>2100</v>
      </c>
      <c r="G113" s="11">
        <f>SUMIFS(Trans_Demand!D:D,Trans_Demand!A:A,DMD_TRA!B113,Trans_Demand!C:C,DMD_TRA!F113)</f>
        <v>0</v>
      </c>
    </row>
    <row r="114" spans="2:7">
      <c r="B114" t="str">
        <f>Trans_Demand!A704</f>
        <v>TRAFRESSHDMD</v>
      </c>
      <c r="C114" t="str">
        <f>"DEMAND - "&amp;_xlfn.XLOOKUP(B114,Demand!E:E,Demand!A:A)&amp;" "&amp;_xlfn.XLOOKUP(B114,Demand!E:E,Demand!B:B)&amp;" "&amp;_xlfn.XLOOKUP(B114,Demand!E:E,Demand!C:C)&amp;" "&amp;_xlfn.XLOOKUP(B114,Demand!E:E,Demand!D:D)</f>
        <v xml:space="preserve">DEMAND - Transportation Freight Single Unit Short-haul Truck </v>
      </c>
      <c r="D114" t="str">
        <f>_xlfn.XLOOKUP(B114,Trans_Demand!A:A,Trans_Demand!B:B)</f>
        <v>M Vkm</v>
      </c>
      <c r="E114" t="s">
        <v>214</v>
      </c>
      <c r="F114">
        <f>Trans_Demand!C110</f>
        <v>2019</v>
      </c>
      <c r="G114" s="11">
        <f>SUMIFS(Trans_Demand!D:D,Trans_Demand!A:A,DMD_TRA!B114,Trans_Demand!C:C,DMD_TRA!F114)</f>
        <v>0</v>
      </c>
    </row>
    <row r="115" spans="2:7">
      <c r="B115" t="str">
        <f>Trans_Demand!A705</f>
        <v>TRAFRESSHDMD</v>
      </c>
      <c r="C115" t="str">
        <f>"DEMAND - "&amp;_xlfn.XLOOKUP(B115,Demand!E:E,Demand!A:A)&amp;" "&amp;_xlfn.XLOOKUP(B115,Demand!E:E,Demand!B:B)&amp;" "&amp;_xlfn.XLOOKUP(B115,Demand!E:E,Demand!C:C)&amp;" "&amp;_xlfn.XLOOKUP(B115,Demand!E:E,Demand!D:D)</f>
        <v xml:space="preserve">DEMAND - Transportation Freight Single Unit Short-haul Truck </v>
      </c>
      <c r="D115" t="str">
        <f>_xlfn.XLOOKUP(B115,Trans_Demand!A:A,Trans_Demand!B:B)</f>
        <v>M Vkm</v>
      </c>
      <c r="E115" t="s">
        <v>214</v>
      </c>
      <c r="F115">
        <f>Trans_Demand!C111</f>
        <v>2020</v>
      </c>
      <c r="G115" s="11">
        <f>SUMIFS(Trans_Demand!D:D,Trans_Demand!A:A,DMD_TRA!B115,Trans_Demand!C:C,DMD_TRA!F115)</f>
        <v>0</v>
      </c>
    </row>
    <row r="116" spans="2:7">
      <c r="B116" t="str">
        <f>Trans_Demand!A706</f>
        <v>TRAFRESSHDMD</v>
      </c>
      <c r="C116" t="str">
        <f>"DEMAND - "&amp;_xlfn.XLOOKUP(B116,Demand!E:E,Demand!A:A)&amp;" "&amp;_xlfn.XLOOKUP(B116,Demand!E:E,Demand!B:B)&amp;" "&amp;_xlfn.XLOOKUP(B116,Demand!E:E,Demand!C:C)&amp;" "&amp;_xlfn.XLOOKUP(B116,Demand!E:E,Demand!D:D)</f>
        <v xml:space="preserve">DEMAND - Transportation Freight Single Unit Short-haul Truck </v>
      </c>
      <c r="D116" t="str">
        <f>_xlfn.XLOOKUP(B116,Trans_Demand!A:A,Trans_Demand!B:B)</f>
        <v>M Vkm</v>
      </c>
      <c r="E116" t="s">
        <v>214</v>
      </c>
      <c r="F116">
        <f>Trans_Demand!C112</f>
        <v>2025</v>
      </c>
      <c r="G116" s="11">
        <f>SUMIFS(Trans_Demand!D:D,Trans_Demand!A:A,DMD_TRA!B116,Trans_Demand!C:C,DMD_TRA!F116)</f>
        <v>0</v>
      </c>
    </row>
    <row r="117" spans="2:7">
      <c r="B117" t="str">
        <f>Trans_Demand!A707</f>
        <v>TRAFRESSHDMD</v>
      </c>
      <c r="C117" t="str">
        <f>"DEMAND - "&amp;_xlfn.XLOOKUP(B117,Demand!E:E,Demand!A:A)&amp;" "&amp;_xlfn.XLOOKUP(B117,Demand!E:E,Demand!B:B)&amp;" "&amp;_xlfn.XLOOKUP(B117,Demand!E:E,Demand!C:C)&amp;" "&amp;_xlfn.XLOOKUP(B117,Demand!E:E,Demand!D:D)</f>
        <v xml:space="preserve">DEMAND - Transportation Freight Single Unit Short-haul Truck </v>
      </c>
      <c r="D117" t="str">
        <f>_xlfn.XLOOKUP(B117,Trans_Demand!A:A,Trans_Demand!B:B)</f>
        <v>M Vkm</v>
      </c>
      <c r="E117" t="s">
        <v>214</v>
      </c>
      <c r="F117">
        <f>Trans_Demand!C113</f>
        <v>2030</v>
      </c>
      <c r="G117" s="11">
        <f>SUMIFS(Trans_Demand!D:D,Trans_Demand!A:A,DMD_TRA!B117,Trans_Demand!C:C,DMD_TRA!F117)</f>
        <v>0</v>
      </c>
    </row>
    <row r="118" spans="2:7">
      <c r="B118" t="str">
        <f>Trans_Demand!A708</f>
        <v>TRAFRESSHDMD</v>
      </c>
      <c r="C118" t="str">
        <f>"DEMAND - "&amp;_xlfn.XLOOKUP(B118,Demand!E:E,Demand!A:A)&amp;" "&amp;_xlfn.XLOOKUP(B118,Demand!E:E,Demand!B:B)&amp;" "&amp;_xlfn.XLOOKUP(B118,Demand!E:E,Demand!C:C)&amp;" "&amp;_xlfn.XLOOKUP(B118,Demand!E:E,Demand!D:D)</f>
        <v xml:space="preserve">DEMAND - Transportation Freight Single Unit Short-haul Truck </v>
      </c>
      <c r="D118" t="str">
        <f>_xlfn.XLOOKUP(B118,Trans_Demand!A:A,Trans_Demand!B:B)</f>
        <v>M Vkm</v>
      </c>
      <c r="E118" t="s">
        <v>214</v>
      </c>
      <c r="F118">
        <f>Trans_Demand!C114</f>
        <v>2035</v>
      </c>
      <c r="G118" s="11">
        <f>SUMIFS(Trans_Demand!D:D,Trans_Demand!A:A,DMD_TRA!B118,Trans_Demand!C:C,DMD_TRA!F118)</f>
        <v>0</v>
      </c>
    </row>
    <row r="119" spans="2:7">
      <c r="B119" t="str">
        <f>Trans_Demand!A709</f>
        <v>TRAFRESSHDMD</v>
      </c>
      <c r="C119" t="str">
        <f>"DEMAND - "&amp;_xlfn.XLOOKUP(B119,Demand!E:E,Demand!A:A)&amp;" "&amp;_xlfn.XLOOKUP(B119,Demand!E:E,Demand!B:B)&amp;" "&amp;_xlfn.XLOOKUP(B119,Demand!E:E,Demand!C:C)&amp;" "&amp;_xlfn.XLOOKUP(B119,Demand!E:E,Demand!D:D)</f>
        <v xml:space="preserve">DEMAND - Transportation Freight Single Unit Short-haul Truck </v>
      </c>
      <c r="D119" t="str">
        <f>_xlfn.XLOOKUP(B119,Trans_Demand!A:A,Trans_Demand!B:B)</f>
        <v>M Vkm</v>
      </c>
      <c r="E119" t="s">
        <v>214</v>
      </c>
      <c r="F119">
        <f>Trans_Demand!C115</f>
        <v>2040</v>
      </c>
      <c r="G119" s="11">
        <f>SUMIFS(Trans_Demand!D:D,Trans_Demand!A:A,DMD_TRA!B119,Trans_Demand!C:C,DMD_TRA!F119)</f>
        <v>0</v>
      </c>
    </row>
    <row r="120" spans="2:7">
      <c r="B120" t="str">
        <f>Trans_Demand!A710</f>
        <v>TRAFRESSHDMD</v>
      </c>
      <c r="C120" t="str">
        <f>"DEMAND - "&amp;_xlfn.XLOOKUP(B120,Demand!E:E,Demand!A:A)&amp;" "&amp;_xlfn.XLOOKUP(B120,Demand!E:E,Demand!B:B)&amp;" "&amp;_xlfn.XLOOKUP(B120,Demand!E:E,Demand!C:C)&amp;" "&amp;_xlfn.XLOOKUP(B120,Demand!E:E,Demand!D:D)</f>
        <v xml:space="preserve">DEMAND - Transportation Freight Single Unit Short-haul Truck </v>
      </c>
      <c r="D120" t="str">
        <f>_xlfn.XLOOKUP(B120,Trans_Demand!A:A,Trans_Demand!B:B)</f>
        <v>M Vkm</v>
      </c>
      <c r="E120" t="s">
        <v>214</v>
      </c>
      <c r="F120">
        <f>Trans_Demand!C116</f>
        <v>2045</v>
      </c>
      <c r="G120" s="11">
        <f>SUMIFS(Trans_Demand!D:D,Trans_Demand!A:A,DMD_TRA!B120,Trans_Demand!C:C,DMD_TRA!F120)</f>
        <v>0</v>
      </c>
    </row>
    <row r="121" spans="2:7">
      <c r="B121" t="str">
        <f>Trans_Demand!A711</f>
        <v>TRAFRESSHDMD</v>
      </c>
      <c r="C121" t="str">
        <f>"DEMAND - "&amp;_xlfn.XLOOKUP(B121,Demand!E:E,Demand!A:A)&amp;" "&amp;_xlfn.XLOOKUP(B121,Demand!E:E,Demand!B:B)&amp;" "&amp;_xlfn.XLOOKUP(B121,Demand!E:E,Demand!C:C)&amp;" "&amp;_xlfn.XLOOKUP(B121,Demand!E:E,Demand!D:D)</f>
        <v xml:space="preserve">DEMAND - Transportation Freight Single Unit Short-haul Truck </v>
      </c>
      <c r="D121" t="str">
        <f>_xlfn.XLOOKUP(B121,Trans_Demand!A:A,Trans_Demand!B:B)</f>
        <v>M Vkm</v>
      </c>
      <c r="E121" t="s">
        <v>214</v>
      </c>
      <c r="F121">
        <f>Trans_Demand!C117</f>
        <v>2050</v>
      </c>
      <c r="G121" s="11">
        <f>SUMIFS(Trans_Demand!D:D,Trans_Demand!A:A,DMD_TRA!B121,Trans_Demand!C:C,DMD_TRA!F121)</f>
        <v>0</v>
      </c>
    </row>
    <row r="122" spans="2:7">
      <c r="B122" t="str">
        <f>Trans_Demand!A712</f>
        <v>TRAFRESSHDMD</v>
      </c>
      <c r="C122" t="str">
        <f>"DEMAND - "&amp;_xlfn.XLOOKUP(B122,Demand!E:E,Demand!A:A)&amp;" "&amp;_xlfn.XLOOKUP(B122,Demand!E:E,Demand!B:B)&amp;" "&amp;_xlfn.XLOOKUP(B122,Demand!E:E,Demand!C:C)&amp;" "&amp;_xlfn.XLOOKUP(B122,Demand!E:E,Demand!D:D)</f>
        <v xml:space="preserve">DEMAND - Transportation Freight Single Unit Short-haul Truck </v>
      </c>
      <c r="D122" t="str">
        <f>_xlfn.XLOOKUP(B122,Trans_Demand!A:A,Trans_Demand!B:B)</f>
        <v>M Vkm</v>
      </c>
      <c r="E122" t="s">
        <v>214</v>
      </c>
      <c r="F122">
        <f>Trans_Demand!C118</f>
        <v>2055</v>
      </c>
      <c r="G122" s="11">
        <f>SUMIFS(Trans_Demand!D:D,Trans_Demand!A:A,DMD_TRA!B122,Trans_Demand!C:C,DMD_TRA!F122)</f>
        <v>0</v>
      </c>
    </row>
    <row r="123" spans="2:7">
      <c r="B123" t="str">
        <f>Trans_Demand!A713</f>
        <v>TRAFRESSHDMD</v>
      </c>
      <c r="C123" t="str">
        <f>"DEMAND - "&amp;_xlfn.XLOOKUP(B123,Demand!E:E,Demand!A:A)&amp;" "&amp;_xlfn.XLOOKUP(B123,Demand!E:E,Demand!B:B)&amp;" "&amp;_xlfn.XLOOKUP(B123,Demand!E:E,Demand!C:C)&amp;" "&amp;_xlfn.XLOOKUP(B123,Demand!E:E,Demand!D:D)</f>
        <v xml:space="preserve">DEMAND - Transportation Freight Single Unit Short-haul Truck </v>
      </c>
      <c r="D123" t="str">
        <f>_xlfn.XLOOKUP(B123,Trans_Demand!A:A,Trans_Demand!B:B)</f>
        <v>M Vkm</v>
      </c>
      <c r="E123" t="s">
        <v>214</v>
      </c>
      <c r="F123">
        <f>Trans_Demand!C119</f>
        <v>2060</v>
      </c>
      <c r="G123" s="11">
        <f>SUMIFS(Trans_Demand!D:D,Trans_Demand!A:A,DMD_TRA!B123,Trans_Demand!C:C,DMD_TRA!F123)</f>
        <v>0</v>
      </c>
    </row>
    <row r="124" spans="2:7">
      <c r="B124" t="str">
        <f>Trans_Demand!A714</f>
        <v>TRAFRESSHDMD</v>
      </c>
      <c r="C124" t="str">
        <f>"DEMAND - "&amp;_xlfn.XLOOKUP(B124,Demand!E:E,Demand!A:A)&amp;" "&amp;_xlfn.XLOOKUP(B124,Demand!E:E,Demand!B:B)&amp;" "&amp;_xlfn.XLOOKUP(B124,Demand!E:E,Demand!C:C)&amp;" "&amp;_xlfn.XLOOKUP(B124,Demand!E:E,Demand!D:D)</f>
        <v xml:space="preserve">DEMAND - Transportation Freight Single Unit Short-haul Truck </v>
      </c>
      <c r="D124" t="str">
        <f>_xlfn.XLOOKUP(B124,Trans_Demand!A:A,Trans_Demand!B:B)</f>
        <v>M Vkm</v>
      </c>
      <c r="E124" t="s">
        <v>214</v>
      </c>
      <c r="F124">
        <f>Trans_Demand!C120</f>
        <v>2065</v>
      </c>
      <c r="G124" s="11">
        <f>SUMIFS(Trans_Demand!D:D,Trans_Demand!A:A,DMD_TRA!B124,Trans_Demand!C:C,DMD_TRA!F124)</f>
        <v>0</v>
      </c>
    </row>
    <row r="125" spans="2:7">
      <c r="B125" t="str">
        <f>Trans_Demand!A715</f>
        <v>TRAFRESSHDMD</v>
      </c>
      <c r="C125" t="str">
        <f>"DEMAND - "&amp;_xlfn.XLOOKUP(B125,Demand!E:E,Demand!A:A)&amp;" "&amp;_xlfn.XLOOKUP(B125,Demand!E:E,Demand!B:B)&amp;" "&amp;_xlfn.XLOOKUP(B125,Demand!E:E,Demand!C:C)&amp;" "&amp;_xlfn.XLOOKUP(B125,Demand!E:E,Demand!D:D)</f>
        <v xml:space="preserve">DEMAND - Transportation Freight Single Unit Short-haul Truck </v>
      </c>
      <c r="D125" t="str">
        <f>_xlfn.XLOOKUP(B125,Trans_Demand!A:A,Trans_Demand!B:B)</f>
        <v>M Vkm</v>
      </c>
      <c r="E125" t="s">
        <v>214</v>
      </c>
      <c r="F125">
        <f>Trans_Demand!C121</f>
        <v>2070</v>
      </c>
      <c r="G125" s="11">
        <f>SUMIFS(Trans_Demand!D:D,Trans_Demand!A:A,DMD_TRA!B125,Trans_Demand!C:C,DMD_TRA!F125)</f>
        <v>0</v>
      </c>
    </row>
    <row r="126" spans="2:7">
      <c r="B126" t="str">
        <f>Trans_Demand!A716</f>
        <v>TRAFRESSHDMD</v>
      </c>
      <c r="C126" t="str">
        <f>"DEMAND - "&amp;_xlfn.XLOOKUP(B126,Demand!E:E,Demand!A:A)&amp;" "&amp;_xlfn.XLOOKUP(B126,Demand!E:E,Demand!B:B)&amp;" "&amp;_xlfn.XLOOKUP(B126,Demand!E:E,Demand!C:C)&amp;" "&amp;_xlfn.XLOOKUP(B126,Demand!E:E,Demand!D:D)</f>
        <v xml:space="preserve">DEMAND - Transportation Freight Single Unit Short-haul Truck </v>
      </c>
      <c r="D126" t="str">
        <f>_xlfn.XLOOKUP(B126,Trans_Demand!A:A,Trans_Demand!B:B)</f>
        <v>M Vkm</v>
      </c>
      <c r="E126" t="s">
        <v>214</v>
      </c>
      <c r="F126">
        <f>Trans_Demand!C122</f>
        <v>2075</v>
      </c>
      <c r="G126" s="11">
        <f>SUMIFS(Trans_Demand!D:D,Trans_Demand!A:A,DMD_TRA!B126,Trans_Demand!C:C,DMD_TRA!F126)</f>
        <v>0</v>
      </c>
    </row>
    <row r="127" spans="2:7">
      <c r="B127" t="str">
        <f>Trans_Demand!A717</f>
        <v>TRAFRESSHDMD</v>
      </c>
      <c r="C127" t="str">
        <f>"DEMAND - "&amp;_xlfn.XLOOKUP(B127,Demand!E:E,Demand!A:A)&amp;" "&amp;_xlfn.XLOOKUP(B127,Demand!E:E,Demand!B:B)&amp;" "&amp;_xlfn.XLOOKUP(B127,Demand!E:E,Demand!C:C)&amp;" "&amp;_xlfn.XLOOKUP(B127,Demand!E:E,Demand!D:D)</f>
        <v xml:space="preserve">DEMAND - Transportation Freight Single Unit Short-haul Truck </v>
      </c>
      <c r="D127" t="str">
        <f>_xlfn.XLOOKUP(B127,Trans_Demand!A:A,Trans_Demand!B:B)</f>
        <v>M Vkm</v>
      </c>
      <c r="E127" t="s">
        <v>214</v>
      </c>
      <c r="F127">
        <f>Trans_Demand!C123</f>
        <v>2080</v>
      </c>
      <c r="G127" s="11">
        <f>SUMIFS(Trans_Demand!D:D,Trans_Demand!A:A,DMD_TRA!B127,Trans_Demand!C:C,DMD_TRA!F127)</f>
        <v>0</v>
      </c>
    </row>
    <row r="128" spans="2:7">
      <c r="B128" t="str">
        <f>Trans_Demand!A718</f>
        <v>TRAFRESSHDMD</v>
      </c>
      <c r="C128" t="str">
        <f>"DEMAND - "&amp;_xlfn.XLOOKUP(B128,Demand!E:E,Demand!A:A)&amp;" "&amp;_xlfn.XLOOKUP(B128,Demand!E:E,Demand!B:B)&amp;" "&amp;_xlfn.XLOOKUP(B128,Demand!E:E,Demand!C:C)&amp;" "&amp;_xlfn.XLOOKUP(B128,Demand!E:E,Demand!D:D)</f>
        <v xml:space="preserve">DEMAND - Transportation Freight Single Unit Short-haul Truck </v>
      </c>
      <c r="D128" t="str">
        <f>_xlfn.XLOOKUP(B128,Trans_Demand!A:A,Trans_Demand!B:B)</f>
        <v>M Vkm</v>
      </c>
      <c r="E128" t="s">
        <v>214</v>
      </c>
      <c r="F128">
        <f>Trans_Demand!C124</f>
        <v>2085</v>
      </c>
      <c r="G128" s="11">
        <f>SUMIFS(Trans_Demand!D:D,Trans_Demand!A:A,DMD_TRA!B128,Trans_Demand!C:C,DMD_TRA!F128)</f>
        <v>0</v>
      </c>
    </row>
    <row r="129" spans="2:7">
      <c r="B129" t="str">
        <f>Trans_Demand!A719</f>
        <v>TRAFRESSHDMD</v>
      </c>
      <c r="C129" t="str">
        <f>"DEMAND - "&amp;_xlfn.XLOOKUP(B129,Demand!E:E,Demand!A:A)&amp;" "&amp;_xlfn.XLOOKUP(B129,Demand!E:E,Demand!B:B)&amp;" "&amp;_xlfn.XLOOKUP(B129,Demand!E:E,Demand!C:C)&amp;" "&amp;_xlfn.XLOOKUP(B129,Demand!E:E,Demand!D:D)</f>
        <v xml:space="preserve">DEMAND - Transportation Freight Single Unit Short-haul Truck </v>
      </c>
      <c r="D129" t="str">
        <f>_xlfn.XLOOKUP(B129,Trans_Demand!A:A,Trans_Demand!B:B)</f>
        <v>M Vkm</v>
      </c>
      <c r="E129" t="s">
        <v>214</v>
      </c>
      <c r="F129">
        <f>Trans_Demand!C125</f>
        <v>2090</v>
      </c>
      <c r="G129" s="11">
        <f>SUMIFS(Trans_Demand!D:D,Trans_Demand!A:A,DMD_TRA!B129,Trans_Demand!C:C,DMD_TRA!F129)</f>
        <v>0</v>
      </c>
    </row>
    <row r="130" spans="2:7">
      <c r="B130" t="str">
        <f>Trans_Demand!A720</f>
        <v>TRAFRESSHDMD</v>
      </c>
      <c r="C130" t="str">
        <f>"DEMAND - "&amp;_xlfn.XLOOKUP(B130,Demand!E:E,Demand!A:A)&amp;" "&amp;_xlfn.XLOOKUP(B130,Demand!E:E,Demand!B:B)&amp;" "&amp;_xlfn.XLOOKUP(B130,Demand!E:E,Demand!C:C)&amp;" "&amp;_xlfn.XLOOKUP(B130,Demand!E:E,Demand!D:D)</f>
        <v xml:space="preserve">DEMAND - Transportation Freight Single Unit Short-haul Truck </v>
      </c>
      <c r="D130" t="str">
        <f>_xlfn.XLOOKUP(B130,Trans_Demand!A:A,Trans_Demand!B:B)</f>
        <v>M Vkm</v>
      </c>
      <c r="E130" t="s">
        <v>214</v>
      </c>
      <c r="F130">
        <f>Trans_Demand!C126</f>
        <v>2095</v>
      </c>
      <c r="G130" s="11">
        <f>SUMIFS(Trans_Demand!D:D,Trans_Demand!A:A,DMD_TRA!B130,Trans_Demand!C:C,DMD_TRA!F130)</f>
        <v>0</v>
      </c>
    </row>
    <row r="131" spans="2:7">
      <c r="B131" t="str">
        <f>Trans_Demand!A721</f>
        <v>TRAFRESSHDMD</v>
      </c>
      <c r="C131" t="str">
        <f>"DEMAND - "&amp;_xlfn.XLOOKUP(B131,Demand!E:E,Demand!A:A)&amp;" "&amp;_xlfn.XLOOKUP(B131,Demand!E:E,Demand!B:B)&amp;" "&amp;_xlfn.XLOOKUP(B131,Demand!E:E,Demand!C:C)&amp;" "&amp;_xlfn.XLOOKUP(B131,Demand!E:E,Demand!D:D)</f>
        <v xml:space="preserve">DEMAND - Transportation Freight Single Unit Short-haul Truck </v>
      </c>
      <c r="D131" t="str">
        <f>_xlfn.XLOOKUP(B131,Trans_Demand!A:A,Trans_Demand!B:B)</f>
        <v>M Vkm</v>
      </c>
      <c r="E131" t="s">
        <v>214</v>
      </c>
      <c r="F131">
        <f>Trans_Demand!C127</f>
        <v>2100</v>
      </c>
      <c r="G131" s="11">
        <f>SUMIFS(Trans_Demand!D:D,Trans_Demand!A:A,DMD_TRA!B131,Trans_Demand!C:C,DMD_TRA!F131)</f>
        <v>0</v>
      </c>
    </row>
    <row r="132" spans="2:7">
      <c r="B132" t="str">
        <f>Trans_Demand!A722</f>
        <v>TRAFRECLHDMD</v>
      </c>
      <c r="C132" t="str">
        <f>"DEMAND - "&amp;_xlfn.XLOOKUP(B132,Demand!E:E,Demand!A:A)&amp;" "&amp;_xlfn.XLOOKUP(B132,Demand!E:E,Demand!B:B)&amp;" "&amp;_xlfn.XLOOKUP(B132,Demand!E:E,Demand!C:C)&amp;" "&amp;_xlfn.XLOOKUP(B132,Demand!E:E,Demand!D:D)</f>
        <v xml:space="preserve">DEMAND - Transportation Freight Combination Long-haul Truck </v>
      </c>
      <c r="D132" t="str">
        <f>_xlfn.XLOOKUP(B132,Trans_Demand!A:A,Trans_Demand!B:B)</f>
        <v>M Vkm</v>
      </c>
      <c r="E132" t="s">
        <v>214</v>
      </c>
      <c r="F132">
        <f>Trans_Demand!C128</f>
        <v>2019</v>
      </c>
      <c r="G132" s="11">
        <f>SUMIFS(Trans_Demand!D:D,Trans_Demand!A:A,DMD_TRA!B132,Trans_Demand!C:C,DMD_TRA!F132)</f>
        <v>1367.6201505846741</v>
      </c>
    </row>
    <row r="133" spans="2:7">
      <c r="B133" t="str">
        <f>Trans_Demand!A723</f>
        <v>TRAFRECLHDMD</v>
      </c>
      <c r="C133" t="str">
        <f>"DEMAND - "&amp;_xlfn.XLOOKUP(B133,Demand!E:E,Demand!A:A)&amp;" "&amp;_xlfn.XLOOKUP(B133,Demand!E:E,Demand!B:B)&amp;" "&amp;_xlfn.XLOOKUP(B133,Demand!E:E,Demand!C:C)&amp;" "&amp;_xlfn.XLOOKUP(B133,Demand!E:E,Demand!D:D)</f>
        <v xml:space="preserve">DEMAND - Transportation Freight Combination Long-haul Truck </v>
      </c>
      <c r="D133" t="str">
        <f>_xlfn.XLOOKUP(B133,Trans_Demand!A:A,Trans_Demand!B:B)</f>
        <v>M Vkm</v>
      </c>
      <c r="E133" t="s">
        <v>214</v>
      </c>
      <c r="F133">
        <f>Trans_Demand!C129</f>
        <v>2020</v>
      </c>
      <c r="G133" s="11">
        <f>SUMIFS(Trans_Demand!D:D,Trans_Demand!A:A,DMD_TRA!B133,Trans_Demand!C:C,DMD_TRA!F133)</f>
        <v>1374.4582513375981</v>
      </c>
    </row>
    <row r="134" spans="2:7">
      <c r="B134" t="str">
        <f>Trans_Demand!A724</f>
        <v>TRAFRECLHDMD</v>
      </c>
      <c r="C134" t="str">
        <f>"DEMAND - "&amp;_xlfn.XLOOKUP(B134,Demand!E:E,Demand!A:A)&amp;" "&amp;_xlfn.XLOOKUP(B134,Demand!E:E,Demand!B:B)&amp;" "&amp;_xlfn.XLOOKUP(B134,Demand!E:E,Demand!C:C)&amp;" "&amp;_xlfn.XLOOKUP(B134,Demand!E:E,Demand!D:D)</f>
        <v xml:space="preserve">DEMAND - Transportation Freight Combination Long-haul Truck </v>
      </c>
      <c r="D134" t="str">
        <f>_xlfn.XLOOKUP(B134,Trans_Demand!A:A,Trans_Demand!B:B)</f>
        <v>M Vkm</v>
      </c>
      <c r="E134" t="s">
        <v>214</v>
      </c>
      <c r="F134">
        <f>Trans_Demand!C130</f>
        <v>2025</v>
      </c>
      <c r="G134" s="11">
        <f>SUMIFS(Trans_Demand!D:D,Trans_Demand!A:A,DMD_TRA!B134,Trans_Demand!C:C,DMD_TRA!F134)</f>
        <v>1408.819707621037</v>
      </c>
    </row>
    <row r="135" spans="2:7">
      <c r="B135" t="str">
        <f>Trans_Demand!A725</f>
        <v>TRAFRECLHDMD</v>
      </c>
      <c r="C135" t="str">
        <f>"DEMAND - "&amp;_xlfn.XLOOKUP(B135,Demand!E:E,Demand!A:A)&amp;" "&amp;_xlfn.XLOOKUP(B135,Demand!E:E,Demand!B:B)&amp;" "&amp;_xlfn.XLOOKUP(B135,Demand!E:E,Demand!C:C)&amp;" "&amp;_xlfn.XLOOKUP(B135,Demand!E:E,Demand!D:D)</f>
        <v xml:space="preserve">DEMAND - Transportation Freight Combination Long-haul Truck </v>
      </c>
      <c r="D135" t="str">
        <f>_xlfn.XLOOKUP(B135,Trans_Demand!A:A,Trans_Demand!B:B)</f>
        <v>M Vkm</v>
      </c>
      <c r="E135" t="s">
        <v>214</v>
      </c>
      <c r="F135">
        <f>Trans_Demand!C131</f>
        <v>2030</v>
      </c>
      <c r="G135" s="11">
        <f>SUMIFS(Trans_Demand!D:D,Trans_Demand!A:A,DMD_TRA!B135,Trans_Demand!C:C,DMD_TRA!F135)</f>
        <v>1444.040200311563</v>
      </c>
    </row>
    <row r="136" spans="2:7">
      <c r="B136" t="str">
        <f>Trans_Demand!A726</f>
        <v>TRAFRECLHDMD</v>
      </c>
      <c r="C136" t="str">
        <f>"DEMAND - "&amp;_xlfn.XLOOKUP(B136,Demand!E:E,Demand!A:A)&amp;" "&amp;_xlfn.XLOOKUP(B136,Demand!E:E,Demand!B:B)&amp;" "&amp;_xlfn.XLOOKUP(B136,Demand!E:E,Demand!C:C)&amp;" "&amp;_xlfn.XLOOKUP(B136,Demand!E:E,Demand!D:D)</f>
        <v xml:space="preserve">DEMAND - Transportation Freight Combination Long-haul Truck </v>
      </c>
      <c r="D136" t="str">
        <f>_xlfn.XLOOKUP(B136,Trans_Demand!A:A,Trans_Demand!B:B)</f>
        <v>M Vkm</v>
      </c>
      <c r="E136" t="s">
        <v>214</v>
      </c>
      <c r="F136">
        <f>Trans_Demand!C132</f>
        <v>2035</v>
      </c>
      <c r="G136" s="11">
        <f>SUMIFS(Trans_Demand!D:D,Trans_Demand!A:A,DMD_TRA!B136,Trans_Demand!C:C,DMD_TRA!F136)</f>
        <v>1480.1412053193519</v>
      </c>
    </row>
    <row r="137" spans="2:7">
      <c r="B137" t="str">
        <f>Trans_Demand!A727</f>
        <v>TRAFRECLHDMD</v>
      </c>
      <c r="C137" t="str">
        <f>"DEMAND - "&amp;_xlfn.XLOOKUP(B137,Demand!E:E,Demand!A:A)&amp;" "&amp;_xlfn.XLOOKUP(B137,Demand!E:E,Demand!B:B)&amp;" "&amp;_xlfn.XLOOKUP(B137,Demand!E:E,Demand!C:C)&amp;" "&amp;_xlfn.XLOOKUP(B137,Demand!E:E,Demand!D:D)</f>
        <v xml:space="preserve">DEMAND - Transportation Freight Combination Long-haul Truck </v>
      </c>
      <c r="D137" t="str">
        <f>_xlfn.XLOOKUP(B137,Trans_Demand!A:A,Trans_Demand!B:B)</f>
        <v>M Vkm</v>
      </c>
      <c r="E137" t="s">
        <v>214</v>
      </c>
      <c r="F137">
        <f>Trans_Demand!C133</f>
        <v>2040</v>
      </c>
      <c r="G137" s="11">
        <f>SUMIFS(Trans_Demand!D:D,Trans_Demand!A:A,DMD_TRA!B137,Trans_Demand!C:C,DMD_TRA!F137)</f>
        <v>1517.1447354523359</v>
      </c>
    </row>
    <row r="138" spans="2:7">
      <c r="B138" t="str">
        <f>Trans_Demand!A728</f>
        <v>TRAFRECLHDMD</v>
      </c>
      <c r="C138" t="str">
        <f>"DEMAND - "&amp;_xlfn.XLOOKUP(B138,Demand!E:E,Demand!A:A)&amp;" "&amp;_xlfn.XLOOKUP(B138,Demand!E:E,Demand!B:B)&amp;" "&amp;_xlfn.XLOOKUP(B138,Demand!E:E,Demand!C:C)&amp;" "&amp;_xlfn.XLOOKUP(B138,Demand!E:E,Demand!D:D)</f>
        <v xml:space="preserve">DEMAND - Transportation Freight Combination Long-haul Truck </v>
      </c>
      <c r="D138" t="str">
        <f>_xlfn.XLOOKUP(B138,Trans_Demand!A:A,Trans_Demand!B:B)</f>
        <v>M Vkm</v>
      </c>
      <c r="E138" t="s">
        <v>214</v>
      </c>
      <c r="F138">
        <f>Trans_Demand!C134</f>
        <v>2045</v>
      </c>
      <c r="G138" s="11">
        <f>SUMIFS(Trans_Demand!D:D,Trans_Demand!A:A,DMD_TRA!B138,Trans_Demand!C:C,DMD_TRA!F138)</f>
        <v>1555.0733538386439</v>
      </c>
    </row>
    <row r="139" spans="2:7">
      <c r="B139" t="str">
        <f>Trans_Demand!A729</f>
        <v>TRAFRECLHDMD</v>
      </c>
      <c r="C139" t="str">
        <f>"DEMAND - "&amp;_xlfn.XLOOKUP(B139,Demand!E:E,Demand!A:A)&amp;" "&amp;_xlfn.XLOOKUP(B139,Demand!E:E,Demand!B:B)&amp;" "&amp;_xlfn.XLOOKUP(B139,Demand!E:E,Demand!C:C)&amp;" "&amp;_xlfn.XLOOKUP(B139,Demand!E:E,Demand!D:D)</f>
        <v xml:space="preserve">DEMAND - Transportation Freight Combination Long-haul Truck </v>
      </c>
      <c r="D139" t="str">
        <f>_xlfn.XLOOKUP(B139,Trans_Demand!A:A,Trans_Demand!B:B)</f>
        <v>M Vkm</v>
      </c>
      <c r="E139" t="s">
        <v>214</v>
      </c>
      <c r="F139">
        <f>Trans_Demand!C135</f>
        <v>2050</v>
      </c>
      <c r="G139" s="11">
        <f>SUMIFS(Trans_Demand!D:D,Trans_Demand!A:A,DMD_TRA!B139,Trans_Demand!C:C,DMD_TRA!F139)</f>
        <v>1593.95018768461</v>
      </c>
    </row>
    <row r="140" spans="2:7">
      <c r="B140" t="str">
        <f>Trans_Demand!A730</f>
        <v>TRAFRECLHDMD</v>
      </c>
      <c r="C140" t="str">
        <f>"DEMAND - "&amp;_xlfn.XLOOKUP(B140,Demand!E:E,Demand!A:A)&amp;" "&amp;_xlfn.XLOOKUP(B140,Demand!E:E,Demand!B:B)&amp;" "&amp;_xlfn.XLOOKUP(B140,Demand!E:E,Demand!C:C)&amp;" "&amp;_xlfn.XLOOKUP(B140,Demand!E:E,Demand!D:D)</f>
        <v xml:space="preserve">DEMAND - Transportation Freight Combination Long-haul Truck </v>
      </c>
      <c r="D140" t="str">
        <f>_xlfn.XLOOKUP(B140,Trans_Demand!A:A,Trans_Demand!B:B)</f>
        <v>M Vkm</v>
      </c>
      <c r="E140" t="s">
        <v>214</v>
      </c>
      <c r="F140">
        <f>Trans_Demand!C136</f>
        <v>2055</v>
      </c>
      <c r="G140" s="11">
        <f>SUMIFS(Trans_Demand!D:D,Trans_Demand!A:A,DMD_TRA!B140,Trans_Demand!C:C,DMD_TRA!F140)</f>
        <v>1633.7989423767251</v>
      </c>
    </row>
    <row r="141" spans="2:7">
      <c r="B141" t="str">
        <f>Trans_Demand!A731</f>
        <v>TRAFRECLHDMD</v>
      </c>
      <c r="C141" t="str">
        <f>"DEMAND - "&amp;_xlfn.XLOOKUP(B141,Demand!E:E,Demand!A:A)&amp;" "&amp;_xlfn.XLOOKUP(B141,Demand!E:E,Demand!B:B)&amp;" "&amp;_xlfn.XLOOKUP(B141,Demand!E:E,Demand!C:C)&amp;" "&amp;_xlfn.XLOOKUP(B141,Demand!E:E,Demand!D:D)</f>
        <v xml:space="preserve">DEMAND - Transportation Freight Combination Long-haul Truck </v>
      </c>
      <c r="D141" t="str">
        <f>_xlfn.XLOOKUP(B141,Trans_Demand!A:A,Trans_Demand!B:B)</f>
        <v>M Vkm</v>
      </c>
      <c r="E141" t="s">
        <v>214</v>
      </c>
      <c r="F141">
        <f>Trans_Demand!C137</f>
        <v>2060</v>
      </c>
      <c r="G141" s="11">
        <f>SUMIFS(Trans_Demand!D:D,Trans_Demand!A:A,DMD_TRA!B141,Trans_Demand!C:C,DMD_TRA!F141)</f>
        <v>1674.643915936143</v>
      </c>
    </row>
    <row r="142" spans="2:7">
      <c r="B142" t="str">
        <f>Trans_Demand!A732</f>
        <v>TRAFRECLHDMD</v>
      </c>
      <c r="C142" t="str">
        <f>"DEMAND - "&amp;_xlfn.XLOOKUP(B142,Demand!E:E,Demand!A:A)&amp;" "&amp;_xlfn.XLOOKUP(B142,Demand!E:E,Demand!B:B)&amp;" "&amp;_xlfn.XLOOKUP(B142,Demand!E:E,Demand!C:C)&amp;" "&amp;_xlfn.XLOOKUP(B142,Demand!E:E,Demand!D:D)</f>
        <v xml:space="preserve">DEMAND - Transportation Freight Combination Long-haul Truck </v>
      </c>
      <c r="D142" t="str">
        <f>_xlfn.XLOOKUP(B142,Trans_Demand!A:A,Trans_Demand!B:B)</f>
        <v>M Vkm</v>
      </c>
      <c r="E142" t="s">
        <v>214</v>
      </c>
      <c r="F142">
        <f>Trans_Demand!C138</f>
        <v>2065</v>
      </c>
      <c r="G142" s="11">
        <f>SUMIFS(Trans_Demand!D:D,Trans_Demand!A:A,DMD_TRA!B142,Trans_Demand!C:C,DMD_TRA!F142)</f>
        <v>1716.510013834547</v>
      </c>
    </row>
    <row r="143" spans="2:7">
      <c r="B143" t="str">
        <f>Trans_Demand!A733</f>
        <v>TRAFRECLHDMD</v>
      </c>
      <c r="C143" t="str">
        <f>"DEMAND - "&amp;_xlfn.XLOOKUP(B143,Demand!E:E,Demand!A:A)&amp;" "&amp;_xlfn.XLOOKUP(B143,Demand!E:E,Demand!B:B)&amp;" "&amp;_xlfn.XLOOKUP(B143,Demand!E:E,Demand!C:C)&amp;" "&amp;_xlfn.XLOOKUP(B143,Demand!E:E,Demand!D:D)</f>
        <v xml:space="preserve">DEMAND - Transportation Freight Combination Long-haul Truck </v>
      </c>
      <c r="D143" t="str">
        <f>_xlfn.XLOOKUP(B143,Trans_Demand!A:A,Trans_Demand!B:B)</f>
        <v>M Vkm</v>
      </c>
      <c r="E143" t="s">
        <v>214</v>
      </c>
      <c r="F143">
        <f>Trans_Demand!C139</f>
        <v>2070</v>
      </c>
      <c r="G143" s="11">
        <f>SUMIFS(Trans_Demand!D:D,Trans_Demand!A:A,DMD_TRA!B143,Trans_Demand!C:C,DMD_TRA!F143)</f>
        <v>1759.42276418041</v>
      </c>
    </row>
    <row r="144" spans="2:7">
      <c r="B144" t="str">
        <f>Trans_Demand!A734</f>
        <v>TRAFRECLHDMD</v>
      </c>
      <c r="C144" t="str">
        <f>"DEMAND - "&amp;_xlfn.XLOOKUP(B144,Demand!E:E,Demand!A:A)&amp;" "&amp;_xlfn.XLOOKUP(B144,Demand!E:E,Demand!B:B)&amp;" "&amp;_xlfn.XLOOKUP(B144,Demand!E:E,Demand!C:C)&amp;" "&amp;_xlfn.XLOOKUP(B144,Demand!E:E,Demand!D:D)</f>
        <v xml:space="preserve">DEMAND - Transportation Freight Combination Long-haul Truck </v>
      </c>
      <c r="D144" t="str">
        <f>_xlfn.XLOOKUP(B144,Trans_Demand!A:A,Trans_Demand!B:B)</f>
        <v>M Vkm</v>
      </c>
      <c r="E144" t="s">
        <v>214</v>
      </c>
      <c r="F144">
        <f>Trans_Demand!C140</f>
        <v>2075</v>
      </c>
      <c r="G144" s="11">
        <f>SUMIFS(Trans_Demand!D:D,Trans_Demand!A:A,DMD_TRA!B144,Trans_Demand!C:C,DMD_TRA!F144)</f>
        <v>1803.40833328492</v>
      </c>
    </row>
    <row r="145" spans="2:7">
      <c r="B145" t="str">
        <f>Trans_Demand!A735</f>
        <v>TRAFRECLHDMD</v>
      </c>
      <c r="C145" t="str">
        <f>"DEMAND - "&amp;_xlfn.XLOOKUP(B145,Demand!E:E,Demand!A:A)&amp;" "&amp;_xlfn.XLOOKUP(B145,Demand!E:E,Demand!B:B)&amp;" "&amp;_xlfn.XLOOKUP(B145,Demand!E:E,Demand!C:C)&amp;" "&amp;_xlfn.XLOOKUP(B145,Demand!E:E,Demand!D:D)</f>
        <v xml:space="preserve">DEMAND - Transportation Freight Combination Long-haul Truck </v>
      </c>
      <c r="D145" t="str">
        <f>_xlfn.XLOOKUP(B145,Trans_Demand!A:A,Trans_Demand!B:B)</f>
        <v>M Vkm</v>
      </c>
      <c r="E145" t="s">
        <v>214</v>
      </c>
      <c r="F145">
        <f>Trans_Demand!C141</f>
        <v>2080</v>
      </c>
      <c r="G145" s="11">
        <f>SUMIFS(Trans_Demand!D:D,Trans_Demand!A:A,DMD_TRA!B145,Trans_Demand!C:C,DMD_TRA!F145)</f>
        <v>1848.4935416170431</v>
      </c>
    </row>
    <row r="146" spans="2:7">
      <c r="B146" t="str">
        <f>Trans_Demand!A736</f>
        <v>TRAFRECLHDMD</v>
      </c>
      <c r="C146" t="str">
        <f>"DEMAND - "&amp;_xlfn.XLOOKUP(B146,Demand!E:E,Demand!A:A)&amp;" "&amp;_xlfn.XLOOKUP(B146,Demand!E:E,Demand!B:B)&amp;" "&amp;_xlfn.XLOOKUP(B146,Demand!E:E,Demand!C:C)&amp;" "&amp;_xlfn.XLOOKUP(B146,Demand!E:E,Demand!D:D)</f>
        <v xml:space="preserve">DEMAND - Transportation Freight Combination Long-haul Truck </v>
      </c>
      <c r="D146" t="str">
        <f>_xlfn.XLOOKUP(B146,Trans_Demand!A:A,Trans_Demand!B:B)</f>
        <v>M Vkm</v>
      </c>
      <c r="E146" t="s">
        <v>214</v>
      </c>
      <c r="F146">
        <f>Trans_Demand!C142</f>
        <v>2085</v>
      </c>
      <c r="G146" s="11">
        <f>SUMIFS(Trans_Demand!D:D,Trans_Demand!A:A,DMD_TRA!B146,Trans_Demand!C:C,DMD_TRA!F146)</f>
        <v>1894.705880157469</v>
      </c>
    </row>
    <row r="147" spans="2:7">
      <c r="B147" t="str">
        <f>Trans_Demand!A737</f>
        <v>TRAFRECLHDMD</v>
      </c>
      <c r="C147" t="str">
        <f>"DEMAND - "&amp;_xlfn.XLOOKUP(B147,Demand!E:E,Demand!A:A)&amp;" "&amp;_xlfn.XLOOKUP(B147,Demand!E:E,Demand!B:B)&amp;" "&amp;_xlfn.XLOOKUP(B147,Demand!E:E,Demand!C:C)&amp;" "&amp;_xlfn.XLOOKUP(B147,Demand!E:E,Demand!D:D)</f>
        <v xml:space="preserve">DEMAND - Transportation Freight Combination Long-haul Truck </v>
      </c>
      <c r="D147" t="str">
        <f>_xlfn.XLOOKUP(B147,Trans_Demand!A:A,Trans_Demand!B:B)</f>
        <v>M Vkm</v>
      </c>
      <c r="E147" t="s">
        <v>214</v>
      </c>
      <c r="F147">
        <f>Trans_Demand!C143</f>
        <v>2090</v>
      </c>
      <c r="G147" s="11">
        <f>SUMIFS(Trans_Demand!D:D,Trans_Demand!A:A,DMD_TRA!B147,Trans_Demand!C:C,DMD_TRA!F147)</f>
        <v>1942.073527161406</v>
      </c>
    </row>
    <row r="148" spans="2:7">
      <c r="B148" t="str">
        <f>Trans_Demand!A738</f>
        <v>TRAFRECLHDMD</v>
      </c>
      <c r="C148" t="str">
        <f>"DEMAND - "&amp;_xlfn.XLOOKUP(B148,Demand!E:E,Demand!A:A)&amp;" "&amp;_xlfn.XLOOKUP(B148,Demand!E:E,Demand!B:B)&amp;" "&amp;_xlfn.XLOOKUP(B148,Demand!E:E,Demand!C:C)&amp;" "&amp;_xlfn.XLOOKUP(B148,Demand!E:E,Demand!D:D)</f>
        <v xml:space="preserve">DEMAND - Transportation Freight Combination Long-haul Truck </v>
      </c>
      <c r="D148" t="str">
        <f>_xlfn.XLOOKUP(B148,Trans_Demand!A:A,Trans_Demand!B:B)</f>
        <v>M Vkm</v>
      </c>
      <c r="E148" t="s">
        <v>214</v>
      </c>
      <c r="F148">
        <f>Trans_Demand!C144</f>
        <v>2095</v>
      </c>
      <c r="G148" s="11">
        <f>SUMIFS(Trans_Demand!D:D,Trans_Demand!A:A,DMD_TRA!B148,Trans_Demand!C:C,DMD_TRA!F148)</f>
        <v>1990.625365340441</v>
      </c>
    </row>
    <row r="149" spans="2:7">
      <c r="B149" t="str">
        <f>Trans_Demand!A739</f>
        <v>TRAFRECLHDMD</v>
      </c>
      <c r="C149" t="str">
        <f>"DEMAND - "&amp;_xlfn.XLOOKUP(B149,Demand!E:E,Demand!A:A)&amp;" "&amp;_xlfn.XLOOKUP(B149,Demand!E:E,Demand!B:B)&amp;" "&amp;_xlfn.XLOOKUP(B149,Demand!E:E,Demand!C:C)&amp;" "&amp;_xlfn.XLOOKUP(B149,Demand!E:E,Demand!D:D)</f>
        <v xml:space="preserve">DEMAND - Transportation Freight Combination Long-haul Truck </v>
      </c>
      <c r="D149" t="str">
        <f>_xlfn.XLOOKUP(B149,Trans_Demand!A:A,Trans_Demand!B:B)</f>
        <v>M Vkm</v>
      </c>
      <c r="E149" t="s">
        <v>214</v>
      </c>
      <c r="F149">
        <f>Trans_Demand!C145</f>
        <v>2100</v>
      </c>
      <c r="G149" s="11">
        <f>SUMIFS(Trans_Demand!D:D,Trans_Demand!A:A,DMD_TRA!B149,Trans_Demand!C:C,DMD_TRA!F149)</f>
        <v>2040.390999473952</v>
      </c>
    </row>
    <row r="150" spans="2:7">
      <c r="B150" t="str">
        <f>Trans_Demand!A740</f>
        <v>TRAFRECSHDMD</v>
      </c>
      <c r="C150" t="str">
        <f>"DEMAND - "&amp;_xlfn.XLOOKUP(B150,Demand!E:E,Demand!A:A)&amp;" "&amp;_xlfn.XLOOKUP(B150,Demand!E:E,Demand!B:B)&amp;" "&amp;_xlfn.XLOOKUP(B150,Demand!E:E,Demand!C:C)&amp;" "&amp;_xlfn.XLOOKUP(B150,Demand!E:E,Demand!D:D)</f>
        <v xml:space="preserve">DEMAND - Transportation Freight Combination Short-haul Truck </v>
      </c>
      <c r="D150" t="str">
        <f>_xlfn.XLOOKUP(B150,Trans_Demand!A:A,Trans_Demand!B:B)</f>
        <v>M Vkm</v>
      </c>
      <c r="E150" t="s">
        <v>214</v>
      </c>
      <c r="F150">
        <f>Trans_Demand!C146</f>
        <v>2019</v>
      </c>
      <c r="G150" s="11">
        <f>SUMIFS(Trans_Demand!D:D,Trans_Demand!A:A,DMD_TRA!B150,Trans_Demand!C:C,DMD_TRA!F150)</f>
        <v>0</v>
      </c>
    </row>
    <row r="151" spans="2:7">
      <c r="B151" t="str">
        <f>Trans_Demand!A741</f>
        <v>TRAFRECSHDMD</v>
      </c>
      <c r="C151" t="str">
        <f>"DEMAND - "&amp;_xlfn.XLOOKUP(B151,Demand!E:E,Demand!A:A)&amp;" "&amp;_xlfn.XLOOKUP(B151,Demand!E:E,Demand!B:B)&amp;" "&amp;_xlfn.XLOOKUP(B151,Demand!E:E,Demand!C:C)&amp;" "&amp;_xlfn.XLOOKUP(B151,Demand!E:E,Demand!D:D)</f>
        <v xml:space="preserve">DEMAND - Transportation Freight Combination Short-haul Truck </v>
      </c>
      <c r="D151" t="str">
        <f>_xlfn.XLOOKUP(B151,Trans_Demand!A:A,Trans_Demand!B:B)</f>
        <v>M Vkm</v>
      </c>
      <c r="E151" t="s">
        <v>214</v>
      </c>
      <c r="F151">
        <f>Trans_Demand!C147</f>
        <v>2020</v>
      </c>
      <c r="G151" s="11">
        <f>SUMIFS(Trans_Demand!D:D,Trans_Demand!A:A,DMD_TRA!B151,Trans_Demand!C:C,DMD_TRA!F151)</f>
        <v>0</v>
      </c>
    </row>
    <row r="152" spans="2:7">
      <c r="B152" t="str">
        <f>Trans_Demand!A742</f>
        <v>TRAFRECSHDMD</v>
      </c>
      <c r="C152" t="str">
        <f>"DEMAND - "&amp;_xlfn.XLOOKUP(B152,Demand!E:E,Demand!A:A)&amp;" "&amp;_xlfn.XLOOKUP(B152,Demand!E:E,Demand!B:B)&amp;" "&amp;_xlfn.XLOOKUP(B152,Demand!E:E,Demand!C:C)&amp;" "&amp;_xlfn.XLOOKUP(B152,Demand!E:E,Demand!D:D)</f>
        <v xml:space="preserve">DEMAND - Transportation Freight Combination Short-haul Truck </v>
      </c>
      <c r="D152" t="str">
        <f>_xlfn.XLOOKUP(B152,Trans_Demand!A:A,Trans_Demand!B:B)</f>
        <v>M Vkm</v>
      </c>
      <c r="E152" t="s">
        <v>214</v>
      </c>
      <c r="F152">
        <f>Trans_Demand!C148</f>
        <v>2025</v>
      </c>
      <c r="G152" s="11">
        <f>SUMIFS(Trans_Demand!D:D,Trans_Demand!A:A,DMD_TRA!B152,Trans_Demand!C:C,DMD_TRA!F152)</f>
        <v>0</v>
      </c>
    </row>
    <row r="153" spans="2:7">
      <c r="B153" t="str">
        <f>Trans_Demand!A743</f>
        <v>TRAFRECSHDMD</v>
      </c>
      <c r="C153" t="str">
        <f>"DEMAND - "&amp;_xlfn.XLOOKUP(B153,Demand!E:E,Demand!A:A)&amp;" "&amp;_xlfn.XLOOKUP(B153,Demand!E:E,Demand!B:B)&amp;" "&amp;_xlfn.XLOOKUP(B153,Demand!E:E,Demand!C:C)&amp;" "&amp;_xlfn.XLOOKUP(B153,Demand!E:E,Demand!D:D)</f>
        <v xml:space="preserve">DEMAND - Transportation Freight Combination Short-haul Truck </v>
      </c>
      <c r="D153" t="str">
        <f>_xlfn.XLOOKUP(B153,Trans_Demand!A:A,Trans_Demand!B:B)</f>
        <v>M Vkm</v>
      </c>
      <c r="E153" t="s">
        <v>214</v>
      </c>
      <c r="F153">
        <f>Trans_Demand!C149</f>
        <v>2030</v>
      </c>
      <c r="G153" s="11">
        <f>SUMIFS(Trans_Demand!D:D,Trans_Demand!A:A,DMD_TRA!B153,Trans_Demand!C:C,DMD_TRA!F153)</f>
        <v>0</v>
      </c>
    </row>
    <row r="154" spans="2:7">
      <c r="B154" t="str">
        <f>Trans_Demand!A744</f>
        <v>TRAFRECSHDMD</v>
      </c>
      <c r="C154" t="str">
        <f>"DEMAND - "&amp;_xlfn.XLOOKUP(B154,Demand!E:E,Demand!A:A)&amp;" "&amp;_xlfn.XLOOKUP(B154,Demand!E:E,Demand!B:B)&amp;" "&amp;_xlfn.XLOOKUP(B154,Demand!E:E,Demand!C:C)&amp;" "&amp;_xlfn.XLOOKUP(B154,Demand!E:E,Demand!D:D)</f>
        <v xml:space="preserve">DEMAND - Transportation Freight Combination Short-haul Truck </v>
      </c>
      <c r="D154" t="str">
        <f>_xlfn.XLOOKUP(B154,Trans_Demand!A:A,Trans_Demand!B:B)</f>
        <v>M Vkm</v>
      </c>
      <c r="E154" t="s">
        <v>214</v>
      </c>
      <c r="F154">
        <f>Trans_Demand!C150</f>
        <v>2035</v>
      </c>
      <c r="G154" s="11">
        <f>SUMIFS(Trans_Demand!D:D,Trans_Demand!A:A,DMD_TRA!B154,Trans_Demand!C:C,DMD_TRA!F154)</f>
        <v>0</v>
      </c>
    </row>
    <row r="155" spans="2:7">
      <c r="B155" t="str">
        <f>Trans_Demand!A745</f>
        <v>TRAFRECSHDMD</v>
      </c>
      <c r="C155" t="str">
        <f>"DEMAND - "&amp;_xlfn.XLOOKUP(B155,Demand!E:E,Demand!A:A)&amp;" "&amp;_xlfn.XLOOKUP(B155,Demand!E:E,Demand!B:B)&amp;" "&amp;_xlfn.XLOOKUP(B155,Demand!E:E,Demand!C:C)&amp;" "&amp;_xlfn.XLOOKUP(B155,Demand!E:E,Demand!D:D)</f>
        <v xml:space="preserve">DEMAND - Transportation Freight Combination Short-haul Truck </v>
      </c>
      <c r="D155" t="str">
        <f>_xlfn.XLOOKUP(B155,Trans_Demand!A:A,Trans_Demand!B:B)</f>
        <v>M Vkm</v>
      </c>
      <c r="E155" t="s">
        <v>214</v>
      </c>
      <c r="F155">
        <f>Trans_Demand!C151</f>
        <v>2040</v>
      </c>
      <c r="G155" s="11">
        <f>SUMIFS(Trans_Demand!D:D,Trans_Demand!A:A,DMD_TRA!B155,Trans_Demand!C:C,DMD_TRA!F155)</f>
        <v>0</v>
      </c>
    </row>
    <row r="156" spans="2:7">
      <c r="B156" t="str">
        <f>Trans_Demand!A746</f>
        <v>TRAFRECSHDMD</v>
      </c>
      <c r="C156" t="str">
        <f>"DEMAND - "&amp;_xlfn.XLOOKUP(B156,Demand!E:E,Demand!A:A)&amp;" "&amp;_xlfn.XLOOKUP(B156,Demand!E:E,Demand!B:B)&amp;" "&amp;_xlfn.XLOOKUP(B156,Demand!E:E,Demand!C:C)&amp;" "&amp;_xlfn.XLOOKUP(B156,Demand!E:E,Demand!D:D)</f>
        <v xml:space="preserve">DEMAND - Transportation Freight Combination Short-haul Truck </v>
      </c>
      <c r="D156" t="str">
        <f>_xlfn.XLOOKUP(B156,Trans_Demand!A:A,Trans_Demand!B:B)</f>
        <v>M Vkm</v>
      </c>
      <c r="E156" t="s">
        <v>214</v>
      </c>
      <c r="F156">
        <f>Trans_Demand!C152</f>
        <v>2045</v>
      </c>
      <c r="G156" s="11">
        <f>SUMIFS(Trans_Demand!D:D,Trans_Demand!A:A,DMD_TRA!B156,Trans_Demand!C:C,DMD_TRA!F156)</f>
        <v>0</v>
      </c>
    </row>
    <row r="157" spans="2:7">
      <c r="B157" t="str">
        <f>Trans_Demand!A747</f>
        <v>TRAFRECSHDMD</v>
      </c>
      <c r="C157" t="str">
        <f>"DEMAND - "&amp;_xlfn.XLOOKUP(B157,Demand!E:E,Demand!A:A)&amp;" "&amp;_xlfn.XLOOKUP(B157,Demand!E:E,Demand!B:B)&amp;" "&amp;_xlfn.XLOOKUP(B157,Demand!E:E,Demand!C:C)&amp;" "&amp;_xlfn.XLOOKUP(B157,Demand!E:E,Demand!D:D)</f>
        <v xml:space="preserve">DEMAND - Transportation Freight Combination Short-haul Truck </v>
      </c>
      <c r="D157" t="str">
        <f>_xlfn.XLOOKUP(B157,Trans_Demand!A:A,Trans_Demand!B:B)</f>
        <v>M Vkm</v>
      </c>
      <c r="E157" t="s">
        <v>214</v>
      </c>
      <c r="F157">
        <f>Trans_Demand!C153</f>
        <v>2050</v>
      </c>
      <c r="G157" s="11">
        <f>SUMIFS(Trans_Demand!D:D,Trans_Demand!A:A,DMD_TRA!B157,Trans_Demand!C:C,DMD_TRA!F157)</f>
        <v>0</v>
      </c>
    </row>
    <row r="158" spans="2:7">
      <c r="B158" t="str">
        <f>Trans_Demand!A748</f>
        <v>TRAFRECSHDMD</v>
      </c>
      <c r="C158" t="str">
        <f>"DEMAND - "&amp;_xlfn.XLOOKUP(B158,Demand!E:E,Demand!A:A)&amp;" "&amp;_xlfn.XLOOKUP(B158,Demand!E:E,Demand!B:B)&amp;" "&amp;_xlfn.XLOOKUP(B158,Demand!E:E,Demand!C:C)&amp;" "&amp;_xlfn.XLOOKUP(B158,Demand!E:E,Demand!D:D)</f>
        <v xml:space="preserve">DEMAND - Transportation Freight Combination Short-haul Truck </v>
      </c>
      <c r="D158" t="str">
        <f>_xlfn.XLOOKUP(B158,Trans_Demand!A:A,Trans_Demand!B:B)</f>
        <v>M Vkm</v>
      </c>
      <c r="E158" t="s">
        <v>214</v>
      </c>
      <c r="F158">
        <f>Trans_Demand!C154</f>
        <v>2055</v>
      </c>
      <c r="G158" s="11">
        <f>SUMIFS(Trans_Demand!D:D,Trans_Demand!A:A,DMD_TRA!B158,Trans_Demand!C:C,DMD_TRA!F158)</f>
        <v>0</v>
      </c>
    </row>
    <row r="159" spans="2:7">
      <c r="B159" t="str">
        <f>Trans_Demand!A749</f>
        <v>TRAFRECSHDMD</v>
      </c>
      <c r="C159" t="str">
        <f>"DEMAND - "&amp;_xlfn.XLOOKUP(B159,Demand!E:E,Demand!A:A)&amp;" "&amp;_xlfn.XLOOKUP(B159,Demand!E:E,Demand!B:B)&amp;" "&amp;_xlfn.XLOOKUP(B159,Demand!E:E,Demand!C:C)&amp;" "&amp;_xlfn.XLOOKUP(B159,Demand!E:E,Demand!D:D)</f>
        <v xml:space="preserve">DEMAND - Transportation Freight Combination Short-haul Truck </v>
      </c>
      <c r="D159" t="str">
        <f>_xlfn.XLOOKUP(B159,Trans_Demand!A:A,Trans_Demand!B:B)</f>
        <v>M Vkm</v>
      </c>
      <c r="E159" t="s">
        <v>214</v>
      </c>
      <c r="F159">
        <f>Trans_Demand!C155</f>
        <v>2060</v>
      </c>
      <c r="G159" s="11">
        <f>SUMIFS(Trans_Demand!D:D,Trans_Demand!A:A,DMD_TRA!B159,Trans_Demand!C:C,DMD_TRA!F159)</f>
        <v>0</v>
      </c>
    </row>
    <row r="160" spans="2:7">
      <c r="B160" t="str">
        <f>Trans_Demand!A750</f>
        <v>TRAFRECSHDMD</v>
      </c>
      <c r="C160" t="str">
        <f>"DEMAND - "&amp;_xlfn.XLOOKUP(B160,Demand!E:E,Demand!A:A)&amp;" "&amp;_xlfn.XLOOKUP(B160,Demand!E:E,Demand!B:B)&amp;" "&amp;_xlfn.XLOOKUP(B160,Demand!E:E,Demand!C:C)&amp;" "&amp;_xlfn.XLOOKUP(B160,Demand!E:E,Demand!D:D)</f>
        <v xml:space="preserve">DEMAND - Transportation Freight Combination Short-haul Truck </v>
      </c>
      <c r="D160" t="str">
        <f>_xlfn.XLOOKUP(B160,Trans_Demand!A:A,Trans_Demand!B:B)</f>
        <v>M Vkm</v>
      </c>
      <c r="E160" t="s">
        <v>214</v>
      </c>
      <c r="F160">
        <f>Trans_Demand!C156</f>
        <v>2065</v>
      </c>
      <c r="G160" s="11">
        <f>SUMIFS(Trans_Demand!D:D,Trans_Demand!A:A,DMD_TRA!B160,Trans_Demand!C:C,DMD_TRA!F160)</f>
        <v>0</v>
      </c>
    </row>
    <row r="161" spans="2:7">
      <c r="B161" t="str">
        <f>Trans_Demand!A751</f>
        <v>TRAFRECSHDMD</v>
      </c>
      <c r="C161" t="str">
        <f>"DEMAND - "&amp;_xlfn.XLOOKUP(B161,Demand!E:E,Demand!A:A)&amp;" "&amp;_xlfn.XLOOKUP(B161,Demand!E:E,Demand!B:B)&amp;" "&amp;_xlfn.XLOOKUP(B161,Demand!E:E,Demand!C:C)&amp;" "&amp;_xlfn.XLOOKUP(B161,Demand!E:E,Demand!D:D)</f>
        <v xml:space="preserve">DEMAND - Transportation Freight Combination Short-haul Truck </v>
      </c>
      <c r="D161" t="str">
        <f>_xlfn.XLOOKUP(B161,Trans_Demand!A:A,Trans_Demand!B:B)</f>
        <v>M Vkm</v>
      </c>
      <c r="E161" t="s">
        <v>214</v>
      </c>
      <c r="F161">
        <f>Trans_Demand!C157</f>
        <v>2070</v>
      </c>
      <c r="G161" s="11">
        <f>SUMIFS(Trans_Demand!D:D,Trans_Demand!A:A,DMD_TRA!B161,Trans_Demand!C:C,DMD_TRA!F161)</f>
        <v>0</v>
      </c>
    </row>
    <row r="162" spans="2:7">
      <c r="B162" t="str">
        <f>Trans_Demand!A752</f>
        <v>TRAFRECSHDMD</v>
      </c>
      <c r="C162" t="str">
        <f>"DEMAND - "&amp;_xlfn.XLOOKUP(B162,Demand!E:E,Demand!A:A)&amp;" "&amp;_xlfn.XLOOKUP(B162,Demand!E:E,Demand!B:B)&amp;" "&amp;_xlfn.XLOOKUP(B162,Demand!E:E,Demand!C:C)&amp;" "&amp;_xlfn.XLOOKUP(B162,Demand!E:E,Demand!D:D)</f>
        <v xml:space="preserve">DEMAND - Transportation Freight Combination Short-haul Truck </v>
      </c>
      <c r="D162" t="str">
        <f>_xlfn.XLOOKUP(B162,Trans_Demand!A:A,Trans_Demand!B:B)</f>
        <v>M Vkm</v>
      </c>
      <c r="E162" t="s">
        <v>214</v>
      </c>
      <c r="F162">
        <f>Trans_Demand!C158</f>
        <v>2075</v>
      </c>
      <c r="G162" s="11">
        <f>SUMIFS(Trans_Demand!D:D,Trans_Demand!A:A,DMD_TRA!B162,Trans_Demand!C:C,DMD_TRA!F162)</f>
        <v>0</v>
      </c>
    </row>
    <row r="163" spans="2:7">
      <c r="B163" t="str">
        <f>Trans_Demand!A753</f>
        <v>TRAFRECSHDMD</v>
      </c>
      <c r="C163" t="str">
        <f>"DEMAND - "&amp;_xlfn.XLOOKUP(B163,Demand!E:E,Demand!A:A)&amp;" "&amp;_xlfn.XLOOKUP(B163,Demand!E:E,Demand!B:B)&amp;" "&amp;_xlfn.XLOOKUP(B163,Demand!E:E,Demand!C:C)&amp;" "&amp;_xlfn.XLOOKUP(B163,Demand!E:E,Demand!D:D)</f>
        <v xml:space="preserve">DEMAND - Transportation Freight Combination Short-haul Truck </v>
      </c>
      <c r="D163" t="str">
        <f>_xlfn.XLOOKUP(B163,Trans_Demand!A:A,Trans_Demand!B:B)</f>
        <v>M Vkm</v>
      </c>
      <c r="E163" t="s">
        <v>214</v>
      </c>
      <c r="F163">
        <f>Trans_Demand!C159</f>
        <v>2080</v>
      </c>
      <c r="G163" s="11">
        <f>SUMIFS(Trans_Demand!D:D,Trans_Demand!A:A,DMD_TRA!B163,Trans_Demand!C:C,DMD_TRA!F163)</f>
        <v>0</v>
      </c>
    </row>
    <row r="164" spans="2:7">
      <c r="B164" t="str">
        <f>Trans_Demand!A754</f>
        <v>TRAFRECSHDMD</v>
      </c>
      <c r="C164" t="str">
        <f>"DEMAND - "&amp;_xlfn.XLOOKUP(B164,Demand!E:E,Demand!A:A)&amp;" "&amp;_xlfn.XLOOKUP(B164,Demand!E:E,Demand!B:B)&amp;" "&amp;_xlfn.XLOOKUP(B164,Demand!E:E,Demand!C:C)&amp;" "&amp;_xlfn.XLOOKUP(B164,Demand!E:E,Demand!D:D)</f>
        <v xml:space="preserve">DEMAND - Transportation Freight Combination Short-haul Truck </v>
      </c>
      <c r="D164" t="str">
        <f>_xlfn.XLOOKUP(B164,Trans_Demand!A:A,Trans_Demand!B:B)</f>
        <v>M Vkm</v>
      </c>
      <c r="E164" t="s">
        <v>214</v>
      </c>
      <c r="F164">
        <f>Trans_Demand!C160</f>
        <v>2085</v>
      </c>
      <c r="G164" s="11">
        <f>SUMIFS(Trans_Demand!D:D,Trans_Demand!A:A,DMD_TRA!B164,Trans_Demand!C:C,DMD_TRA!F164)</f>
        <v>0</v>
      </c>
    </row>
    <row r="165" spans="2:7">
      <c r="B165" t="str">
        <f>Trans_Demand!A755</f>
        <v>TRAFRECSHDMD</v>
      </c>
      <c r="C165" t="str">
        <f>"DEMAND - "&amp;_xlfn.XLOOKUP(B165,Demand!E:E,Demand!A:A)&amp;" "&amp;_xlfn.XLOOKUP(B165,Demand!E:E,Demand!B:B)&amp;" "&amp;_xlfn.XLOOKUP(B165,Demand!E:E,Demand!C:C)&amp;" "&amp;_xlfn.XLOOKUP(B165,Demand!E:E,Demand!D:D)</f>
        <v xml:space="preserve">DEMAND - Transportation Freight Combination Short-haul Truck </v>
      </c>
      <c r="D165" t="str">
        <f>_xlfn.XLOOKUP(B165,Trans_Demand!A:A,Trans_Demand!B:B)</f>
        <v>M Vkm</v>
      </c>
      <c r="E165" t="s">
        <v>214</v>
      </c>
      <c r="F165">
        <f>Trans_Demand!C161</f>
        <v>2090</v>
      </c>
      <c r="G165" s="11">
        <f>SUMIFS(Trans_Demand!D:D,Trans_Demand!A:A,DMD_TRA!B165,Trans_Demand!C:C,DMD_TRA!F165)</f>
        <v>0</v>
      </c>
    </row>
    <row r="166" spans="2:7">
      <c r="B166" t="str">
        <f>Trans_Demand!A756</f>
        <v>TRAFRECSHDMD</v>
      </c>
      <c r="C166" t="str">
        <f>"DEMAND - "&amp;_xlfn.XLOOKUP(B166,Demand!E:E,Demand!A:A)&amp;" "&amp;_xlfn.XLOOKUP(B166,Demand!E:E,Demand!B:B)&amp;" "&amp;_xlfn.XLOOKUP(B166,Demand!E:E,Demand!C:C)&amp;" "&amp;_xlfn.XLOOKUP(B166,Demand!E:E,Demand!D:D)</f>
        <v xml:space="preserve">DEMAND - Transportation Freight Combination Short-haul Truck </v>
      </c>
      <c r="D166" t="str">
        <f>_xlfn.XLOOKUP(B166,Trans_Demand!A:A,Trans_Demand!B:B)</f>
        <v>M Vkm</v>
      </c>
      <c r="E166" t="s">
        <v>214</v>
      </c>
      <c r="F166">
        <f>Trans_Demand!C162</f>
        <v>2095</v>
      </c>
      <c r="G166" s="11">
        <f>SUMIFS(Trans_Demand!D:D,Trans_Demand!A:A,DMD_TRA!B166,Trans_Demand!C:C,DMD_TRA!F166)</f>
        <v>0</v>
      </c>
    </row>
    <row r="167" spans="2:7">
      <c r="B167" t="str">
        <f>Trans_Demand!A757</f>
        <v>TRAFRECSHDMD</v>
      </c>
      <c r="C167" t="str">
        <f>"DEMAND - "&amp;_xlfn.XLOOKUP(B167,Demand!E:E,Demand!A:A)&amp;" "&amp;_xlfn.XLOOKUP(B167,Demand!E:E,Demand!B:B)&amp;" "&amp;_xlfn.XLOOKUP(B167,Demand!E:E,Demand!C:C)&amp;" "&amp;_xlfn.XLOOKUP(B167,Demand!E:E,Demand!D:D)</f>
        <v xml:space="preserve">DEMAND - Transportation Freight Combination Short-haul Truck </v>
      </c>
      <c r="D167" t="str">
        <f>_xlfn.XLOOKUP(B167,Trans_Demand!A:A,Trans_Demand!B:B)</f>
        <v>M Vkm</v>
      </c>
      <c r="E167" t="s">
        <v>214</v>
      </c>
      <c r="F167">
        <f>Trans_Demand!C163</f>
        <v>2100</v>
      </c>
      <c r="G167" s="11">
        <f>SUMIFS(Trans_Demand!D:D,Trans_Demand!A:A,DMD_TRA!B167,Trans_Demand!C:C,DMD_TRA!F167)</f>
        <v>0</v>
      </c>
    </row>
    <row r="168" spans="2:7">
      <c r="B168" t="str">
        <f>Trans_Demand!A758</f>
        <v>TRAPASTBUDMD</v>
      </c>
      <c r="C168" t="str">
        <f>"DEMAND - "&amp;_xlfn.XLOOKUP(B168,Demand!E:E,Demand!A:A)&amp;" "&amp;_xlfn.XLOOKUP(B168,Demand!E:E,Demand!B:B)&amp;" "&amp;_xlfn.XLOOKUP(B168,Demand!E:E,Demand!C:C)&amp;" "&amp;_xlfn.XLOOKUP(B168,Demand!E:E,Demand!D:D)</f>
        <v xml:space="preserve">DEMAND - Transportation Passenger Transit Bus </v>
      </c>
      <c r="D168" t="str">
        <f>_xlfn.XLOOKUP(B168,Trans_Demand!A:A,Trans_Demand!B:B)</f>
        <v>M Vkm</v>
      </c>
      <c r="E168" t="s">
        <v>214</v>
      </c>
      <c r="F168">
        <f>Trans_Demand!C164</f>
        <v>2019</v>
      </c>
      <c r="G168" s="11">
        <f>SUMIFS(Trans_Demand!D:D,Trans_Demand!A:A,DMD_TRA!B168,Trans_Demand!C:C,DMD_TRA!F168)</f>
        <v>498.20418535334039</v>
      </c>
    </row>
    <row r="169" spans="2:7">
      <c r="B169" t="str">
        <f>Trans_Demand!A759</f>
        <v>TRAPASTBUDMD</v>
      </c>
      <c r="C169" t="str">
        <f>"DEMAND - "&amp;_xlfn.XLOOKUP(B169,Demand!E:E,Demand!A:A)&amp;" "&amp;_xlfn.XLOOKUP(B169,Demand!E:E,Demand!B:B)&amp;" "&amp;_xlfn.XLOOKUP(B169,Demand!E:E,Demand!C:C)&amp;" "&amp;_xlfn.XLOOKUP(B169,Demand!E:E,Demand!D:D)</f>
        <v xml:space="preserve">DEMAND - Transportation Passenger Transit Bus </v>
      </c>
      <c r="D169" t="str">
        <f>_xlfn.XLOOKUP(B169,Trans_Demand!A:A,Trans_Demand!B:B)</f>
        <v>M Vkm</v>
      </c>
      <c r="E169" t="s">
        <v>214</v>
      </c>
      <c r="F169">
        <f>Trans_Demand!C165</f>
        <v>2020</v>
      </c>
      <c r="G169" s="11">
        <f>SUMIFS(Trans_Demand!D:D,Trans_Demand!A:A,DMD_TRA!B169,Trans_Demand!C:C,DMD_TRA!F169)</f>
        <v>500.69520628010702</v>
      </c>
    </row>
    <row r="170" spans="2:7">
      <c r="B170" t="str">
        <f>Trans_Demand!A760</f>
        <v>TRAPASTBUDMD</v>
      </c>
      <c r="C170" t="str">
        <f>"DEMAND - "&amp;_xlfn.XLOOKUP(B170,Demand!E:E,Demand!A:A)&amp;" "&amp;_xlfn.XLOOKUP(B170,Demand!E:E,Demand!B:B)&amp;" "&amp;_xlfn.XLOOKUP(B170,Demand!E:E,Demand!C:C)&amp;" "&amp;_xlfn.XLOOKUP(B170,Demand!E:E,Demand!D:D)</f>
        <v xml:space="preserve">DEMAND - Transportation Passenger Transit Bus </v>
      </c>
      <c r="D170" t="str">
        <f>_xlfn.XLOOKUP(B170,Trans_Demand!A:A,Trans_Demand!B:B)</f>
        <v>M Vkm</v>
      </c>
      <c r="E170" t="s">
        <v>214</v>
      </c>
      <c r="F170">
        <f>Trans_Demand!C166</f>
        <v>2025</v>
      </c>
      <c r="G170" s="11">
        <f>SUMIFS(Trans_Demand!D:D,Trans_Demand!A:A,DMD_TRA!B170,Trans_Demand!C:C,DMD_TRA!F170)</f>
        <v>513.21258643710962</v>
      </c>
    </row>
    <row r="171" spans="2:7">
      <c r="B171" t="str">
        <f>Trans_Demand!A761</f>
        <v>TRAPASTBUDMD</v>
      </c>
      <c r="C171" t="str">
        <f>"DEMAND - "&amp;_xlfn.XLOOKUP(B171,Demand!E:E,Demand!A:A)&amp;" "&amp;_xlfn.XLOOKUP(B171,Demand!E:E,Demand!B:B)&amp;" "&amp;_xlfn.XLOOKUP(B171,Demand!E:E,Demand!C:C)&amp;" "&amp;_xlfn.XLOOKUP(B171,Demand!E:E,Demand!D:D)</f>
        <v xml:space="preserve">DEMAND - Transportation Passenger Transit Bus </v>
      </c>
      <c r="D171" t="str">
        <f>_xlfn.XLOOKUP(B171,Trans_Demand!A:A,Trans_Demand!B:B)</f>
        <v>M Vkm</v>
      </c>
      <c r="E171" t="s">
        <v>214</v>
      </c>
      <c r="F171">
        <f>Trans_Demand!C167</f>
        <v>2030</v>
      </c>
      <c r="G171" s="11">
        <f>SUMIFS(Trans_Demand!D:D,Trans_Demand!A:A,DMD_TRA!B171,Trans_Demand!C:C,DMD_TRA!F171)</f>
        <v>526.04290109803731</v>
      </c>
    </row>
    <row r="172" spans="2:7">
      <c r="B172" t="str">
        <f>Trans_Demand!A762</f>
        <v>TRAPASTBUDMD</v>
      </c>
      <c r="C172" t="str">
        <f>"DEMAND - "&amp;_xlfn.XLOOKUP(B172,Demand!E:E,Demand!A:A)&amp;" "&amp;_xlfn.XLOOKUP(B172,Demand!E:E,Demand!B:B)&amp;" "&amp;_xlfn.XLOOKUP(B172,Demand!E:E,Demand!C:C)&amp;" "&amp;_xlfn.XLOOKUP(B172,Demand!E:E,Demand!D:D)</f>
        <v xml:space="preserve">DEMAND - Transportation Passenger Transit Bus </v>
      </c>
      <c r="D172" t="str">
        <f>_xlfn.XLOOKUP(B172,Trans_Demand!A:A,Trans_Demand!B:B)</f>
        <v>M Vkm</v>
      </c>
      <c r="E172" t="s">
        <v>214</v>
      </c>
      <c r="F172">
        <f>Trans_Demand!C168</f>
        <v>2035</v>
      </c>
      <c r="G172" s="11">
        <f>SUMIFS(Trans_Demand!D:D,Trans_Demand!A:A,DMD_TRA!B172,Trans_Demand!C:C,DMD_TRA!F172)</f>
        <v>539.19397362548818</v>
      </c>
    </row>
    <row r="173" spans="2:7">
      <c r="B173" t="str">
        <f>Trans_Demand!A763</f>
        <v>TRAPASTBUDMD</v>
      </c>
      <c r="C173" t="str">
        <f>"DEMAND - "&amp;_xlfn.XLOOKUP(B173,Demand!E:E,Demand!A:A)&amp;" "&amp;_xlfn.XLOOKUP(B173,Demand!E:E,Demand!B:B)&amp;" "&amp;_xlfn.XLOOKUP(B173,Demand!E:E,Demand!C:C)&amp;" "&amp;_xlfn.XLOOKUP(B173,Demand!E:E,Demand!D:D)</f>
        <v xml:space="preserve">DEMAND - Transportation Passenger Transit Bus </v>
      </c>
      <c r="D173" t="str">
        <f>_xlfn.XLOOKUP(B173,Trans_Demand!A:A,Trans_Demand!B:B)</f>
        <v>M Vkm</v>
      </c>
      <c r="E173" t="s">
        <v>214</v>
      </c>
      <c r="F173">
        <f>Trans_Demand!C169</f>
        <v>2040</v>
      </c>
      <c r="G173" s="11">
        <f>SUMIFS(Trans_Demand!D:D,Trans_Demand!A:A,DMD_TRA!B173,Trans_Demand!C:C,DMD_TRA!F173)</f>
        <v>552.67382296612539</v>
      </c>
    </row>
    <row r="174" spans="2:7">
      <c r="B174" t="str">
        <f>Trans_Demand!A764</f>
        <v>TRAPASTBUDMD</v>
      </c>
      <c r="C174" t="str">
        <f>"DEMAND - "&amp;_xlfn.XLOOKUP(B174,Demand!E:E,Demand!A:A)&amp;" "&amp;_xlfn.XLOOKUP(B174,Demand!E:E,Demand!B:B)&amp;" "&amp;_xlfn.XLOOKUP(B174,Demand!E:E,Demand!C:C)&amp;" "&amp;_xlfn.XLOOKUP(B174,Demand!E:E,Demand!D:D)</f>
        <v xml:space="preserve">DEMAND - Transportation Passenger Transit Bus </v>
      </c>
      <c r="D174" t="str">
        <f>_xlfn.XLOOKUP(B174,Trans_Demand!A:A,Trans_Demand!B:B)</f>
        <v>M Vkm</v>
      </c>
      <c r="E174" t="s">
        <v>214</v>
      </c>
      <c r="F174">
        <f>Trans_Demand!C170</f>
        <v>2045</v>
      </c>
      <c r="G174" s="11">
        <f>SUMIFS(Trans_Demand!D:D,Trans_Demand!A:A,DMD_TRA!B174,Trans_Demand!C:C,DMD_TRA!F174)</f>
        <v>566.49066854027842</v>
      </c>
    </row>
    <row r="175" spans="2:7">
      <c r="B175" t="str">
        <f>Trans_Demand!A765</f>
        <v>TRAPASTBUDMD</v>
      </c>
      <c r="C175" t="str">
        <f>"DEMAND - "&amp;_xlfn.XLOOKUP(B175,Demand!E:E,Demand!A:A)&amp;" "&amp;_xlfn.XLOOKUP(B175,Demand!E:E,Demand!B:B)&amp;" "&amp;_xlfn.XLOOKUP(B175,Demand!E:E,Demand!C:C)&amp;" "&amp;_xlfn.XLOOKUP(B175,Demand!E:E,Demand!D:D)</f>
        <v xml:space="preserve">DEMAND - Transportation Passenger Transit Bus </v>
      </c>
      <c r="D175" t="str">
        <f>_xlfn.XLOOKUP(B175,Trans_Demand!A:A,Trans_Demand!B:B)</f>
        <v>M Vkm</v>
      </c>
      <c r="E175" t="s">
        <v>214</v>
      </c>
      <c r="F175">
        <f>Trans_Demand!C171</f>
        <v>2050</v>
      </c>
      <c r="G175" s="11">
        <f>SUMIFS(Trans_Demand!D:D,Trans_Demand!A:A,DMD_TRA!B175,Trans_Demand!C:C,DMD_TRA!F175)</f>
        <v>580.65293525378536</v>
      </c>
    </row>
    <row r="176" spans="2:7">
      <c r="B176" t="str">
        <f>Trans_Demand!A766</f>
        <v>TRAPASTBUDMD</v>
      </c>
      <c r="C176" t="str">
        <f>"DEMAND - "&amp;_xlfn.XLOOKUP(B176,Demand!E:E,Demand!A:A)&amp;" "&amp;_xlfn.XLOOKUP(B176,Demand!E:E,Demand!B:B)&amp;" "&amp;_xlfn.XLOOKUP(B176,Demand!E:E,Demand!C:C)&amp;" "&amp;_xlfn.XLOOKUP(B176,Demand!E:E,Demand!D:D)</f>
        <v xml:space="preserve">DEMAND - Transportation Passenger Transit Bus </v>
      </c>
      <c r="D176" t="str">
        <f>_xlfn.XLOOKUP(B176,Trans_Demand!A:A,Trans_Demand!B:B)</f>
        <v>M Vkm</v>
      </c>
      <c r="E176" t="s">
        <v>214</v>
      </c>
      <c r="F176">
        <f>Trans_Demand!C172</f>
        <v>2055</v>
      </c>
      <c r="G176" s="11">
        <f>SUMIFS(Trans_Demand!D:D,Trans_Demand!A:A,DMD_TRA!B176,Trans_Demand!C:C,DMD_TRA!F176)</f>
        <v>595.16925863512995</v>
      </c>
    </row>
    <row r="177" spans="2:7">
      <c r="B177" t="str">
        <f>Trans_Demand!A767</f>
        <v>TRAPASTBUDMD</v>
      </c>
      <c r="C177" t="str">
        <f>"DEMAND - "&amp;_xlfn.XLOOKUP(B177,Demand!E:E,Demand!A:A)&amp;" "&amp;_xlfn.XLOOKUP(B177,Demand!E:E,Demand!B:B)&amp;" "&amp;_xlfn.XLOOKUP(B177,Demand!E:E,Demand!C:C)&amp;" "&amp;_xlfn.XLOOKUP(B177,Demand!E:E,Demand!D:D)</f>
        <v xml:space="preserve">DEMAND - Transportation Passenger Transit Bus </v>
      </c>
      <c r="D177" t="str">
        <f>_xlfn.XLOOKUP(B177,Trans_Demand!A:A,Trans_Demand!B:B)</f>
        <v>M Vkm</v>
      </c>
      <c r="E177" t="s">
        <v>214</v>
      </c>
      <c r="F177">
        <f>Trans_Demand!C173</f>
        <v>2060</v>
      </c>
      <c r="G177" s="11">
        <f>SUMIFS(Trans_Demand!D:D,Trans_Demand!A:A,DMD_TRA!B177,Trans_Demand!C:C,DMD_TRA!F177)</f>
        <v>610.04849010100816</v>
      </c>
    </row>
    <row r="178" spans="2:7">
      <c r="B178" t="str">
        <f>Trans_Demand!A768</f>
        <v>TRAPASTBUDMD</v>
      </c>
      <c r="C178" t="str">
        <f>"DEMAND - "&amp;_xlfn.XLOOKUP(B178,Demand!E:E,Demand!A:A)&amp;" "&amp;_xlfn.XLOOKUP(B178,Demand!E:E,Demand!B:B)&amp;" "&amp;_xlfn.XLOOKUP(B178,Demand!E:E,Demand!C:C)&amp;" "&amp;_xlfn.XLOOKUP(B178,Demand!E:E,Demand!D:D)</f>
        <v xml:space="preserve">DEMAND - Transportation Passenger Transit Bus </v>
      </c>
      <c r="D178" t="str">
        <f>_xlfn.XLOOKUP(B178,Trans_Demand!A:A,Trans_Demand!B:B)</f>
        <v>M Vkm</v>
      </c>
      <c r="E178" t="s">
        <v>214</v>
      </c>
      <c r="F178">
        <f>Trans_Demand!C174</f>
        <v>2065</v>
      </c>
      <c r="G178" s="11">
        <f>SUMIFS(Trans_Demand!D:D,Trans_Demand!A:A,DMD_TRA!B178,Trans_Demand!C:C,DMD_TRA!F178)</f>
        <v>625.29970235353335</v>
      </c>
    </row>
    <row r="179" spans="2:7">
      <c r="B179" t="str">
        <f>Trans_Demand!A769</f>
        <v>TRAPASTBUDMD</v>
      </c>
      <c r="C179" t="str">
        <f>"DEMAND - "&amp;_xlfn.XLOOKUP(B179,Demand!E:E,Demand!A:A)&amp;" "&amp;_xlfn.XLOOKUP(B179,Demand!E:E,Demand!B:B)&amp;" "&amp;_xlfn.XLOOKUP(B179,Demand!E:E,Demand!C:C)&amp;" "&amp;_xlfn.XLOOKUP(B179,Demand!E:E,Demand!D:D)</f>
        <v xml:space="preserve">DEMAND - Transportation Passenger Transit Bus </v>
      </c>
      <c r="D179" t="str">
        <f>_xlfn.XLOOKUP(B179,Trans_Demand!A:A,Trans_Demand!B:B)</f>
        <v>M Vkm</v>
      </c>
      <c r="E179" t="s">
        <v>214</v>
      </c>
      <c r="F179">
        <f>Trans_Demand!C175</f>
        <v>2070</v>
      </c>
      <c r="G179" s="11">
        <f>SUMIFS(Trans_Demand!D:D,Trans_Demand!A:A,DMD_TRA!B179,Trans_Demand!C:C,DMD_TRA!F179)</f>
        <v>640.93219491237164</v>
      </c>
    </row>
    <row r="180" spans="2:7">
      <c r="B180" t="str">
        <f>Trans_Demand!A770</f>
        <v>TRAPASTBUDMD</v>
      </c>
      <c r="C180" t="str">
        <f>"DEMAND - "&amp;_xlfn.XLOOKUP(B180,Demand!E:E,Demand!A:A)&amp;" "&amp;_xlfn.XLOOKUP(B180,Demand!E:E,Demand!B:B)&amp;" "&amp;_xlfn.XLOOKUP(B180,Demand!E:E,Demand!C:C)&amp;" "&amp;_xlfn.XLOOKUP(B180,Demand!E:E,Demand!D:D)</f>
        <v xml:space="preserve">DEMAND - Transportation Passenger Transit Bus </v>
      </c>
      <c r="D180" t="str">
        <f>_xlfn.XLOOKUP(B180,Trans_Demand!A:A,Trans_Demand!B:B)</f>
        <v>M Vkm</v>
      </c>
      <c r="E180" t="s">
        <v>214</v>
      </c>
      <c r="F180">
        <f>Trans_Demand!C176</f>
        <v>2075</v>
      </c>
      <c r="G180" s="11">
        <f>SUMIFS(Trans_Demand!D:D,Trans_Demand!A:A,DMD_TRA!B180,Trans_Demand!C:C,DMD_TRA!F180)</f>
        <v>656.9554997851809</v>
      </c>
    </row>
    <row r="181" spans="2:7">
      <c r="B181" t="str">
        <f>Trans_Demand!A771</f>
        <v>TRAPASTBUDMD</v>
      </c>
      <c r="C181" t="str">
        <f>"DEMAND - "&amp;_xlfn.XLOOKUP(B181,Demand!E:E,Demand!A:A)&amp;" "&amp;_xlfn.XLOOKUP(B181,Demand!E:E,Demand!B:B)&amp;" "&amp;_xlfn.XLOOKUP(B181,Demand!E:E,Demand!C:C)&amp;" "&amp;_xlfn.XLOOKUP(B181,Demand!E:E,Demand!D:D)</f>
        <v xml:space="preserve">DEMAND - Transportation Passenger Transit Bus </v>
      </c>
      <c r="D181" t="str">
        <f>_xlfn.XLOOKUP(B181,Trans_Demand!A:A,Trans_Demand!B:B)</f>
        <v>M Vkm</v>
      </c>
      <c r="E181" t="s">
        <v>214</v>
      </c>
      <c r="F181">
        <f>Trans_Demand!C177</f>
        <v>2080</v>
      </c>
      <c r="G181" s="11">
        <f>SUMIFS(Trans_Demand!D:D,Trans_Demand!A:A,DMD_TRA!B181,Trans_Demand!C:C,DMD_TRA!F181)</f>
        <v>673.37938727981032</v>
      </c>
    </row>
    <row r="182" spans="2:7">
      <c r="B182" t="str">
        <f>Trans_Demand!A772</f>
        <v>TRAPASTBUDMD</v>
      </c>
      <c r="C182" t="str">
        <f>"DEMAND - "&amp;_xlfn.XLOOKUP(B182,Demand!E:E,Demand!A:A)&amp;" "&amp;_xlfn.XLOOKUP(B182,Demand!E:E,Demand!B:B)&amp;" "&amp;_xlfn.XLOOKUP(B182,Demand!E:E,Demand!C:C)&amp;" "&amp;_xlfn.XLOOKUP(B182,Demand!E:E,Demand!D:D)</f>
        <v xml:space="preserve">DEMAND - Transportation Passenger Transit Bus </v>
      </c>
      <c r="D182" t="str">
        <f>_xlfn.XLOOKUP(B182,Trans_Demand!A:A,Trans_Demand!B:B)</f>
        <v>M Vkm</v>
      </c>
      <c r="E182" t="s">
        <v>214</v>
      </c>
      <c r="F182">
        <f>Trans_Demand!C178</f>
        <v>2085</v>
      </c>
      <c r="G182" s="11">
        <f>SUMIFS(Trans_Demand!D:D,Trans_Demand!A:A,DMD_TRA!B182,Trans_Demand!C:C,DMD_TRA!F182)</f>
        <v>690.21387196180547</v>
      </c>
    </row>
    <row r="183" spans="2:7">
      <c r="B183" t="str">
        <f>Trans_Demand!A773</f>
        <v>TRAPASTBUDMD</v>
      </c>
      <c r="C183" t="str">
        <f>"DEMAND - "&amp;_xlfn.XLOOKUP(B183,Demand!E:E,Demand!A:A)&amp;" "&amp;_xlfn.XLOOKUP(B183,Demand!E:E,Demand!B:B)&amp;" "&amp;_xlfn.XLOOKUP(B183,Demand!E:E,Demand!C:C)&amp;" "&amp;_xlfn.XLOOKUP(B183,Demand!E:E,Demand!D:D)</f>
        <v xml:space="preserve">DEMAND - Transportation Passenger Transit Bus </v>
      </c>
      <c r="D183" t="str">
        <f>_xlfn.XLOOKUP(B183,Trans_Demand!A:A,Trans_Demand!B:B)</f>
        <v>M Vkm</v>
      </c>
      <c r="E183" t="s">
        <v>214</v>
      </c>
      <c r="F183">
        <f>Trans_Demand!C179</f>
        <v>2090</v>
      </c>
      <c r="G183" s="11">
        <f>SUMIFS(Trans_Demand!D:D,Trans_Demand!A:A,DMD_TRA!B183,Trans_Demand!C:C,DMD_TRA!F183)</f>
        <v>707.46921876085059</v>
      </c>
    </row>
    <row r="184" spans="2:7">
      <c r="B184" t="str">
        <f>Trans_Demand!A774</f>
        <v>TRAPASTBUDMD</v>
      </c>
      <c r="C184" t="str">
        <f>"DEMAND - "&amp;_xlfn.XLOOKUP(B184,Demand!E:E,Demand!A:A)&amp;" "&amp;_xlfn.XLOOKUP(B184,Demand!E:E,Demand!B:B)&amp;" "&amp;_xlfn.XLOOKUP(B184,Demand!E:E,Demand!C:C)&amp;" "&amp;_xlfn.XLOOKUP(B184,Demand!E:E,Demand!D:D)</f>
        <v xml:space="preserve">DEMAND - Transportation Passenger Transit Bus </v>
      </c>
      <c r="D184" t="str">
        <f>_xlfn.XLOOKUP(B184,Trans_Demand!A:A,Trans_Demand!B:B)</f>
        <v>M Vkm</v>
      </c>
      <c r="E184" t="s">
        <v>214</v>
      </c>
      <c r="F184">
        <f>Trans_Demand!C180</f>
        <v>2095</v>
      </c>
      <c r="G184" s="11">
        <f>SUMIFS(Trans_Demand!D:D,Trans_Demand!A:A,DMD_TRA!B184,Trans_Demand!C:C,DMD_TRA!F184)</f>
        <v>725.15594922987179</v>
      </c>
    </row>
    <row r="185" spans="2:7">
      <c r="B185" t="str">
        <f>Trans_Demand!A775</f>
        <v>TRAPASTBUDMD</v>
      </c>
      <c r="C185" t="str">
        <f>"DEMAND - "&amp;_xlfn.XLOOKUP(B185,Demand!E:E,Demand!A:A)&amp;" "&amp;_xlfn.XLOOKUP(B185,Demand!E:E,Demand!B:B)&amp;" "&amp;_xlfn.XLOOKUP(B185,Demand!E:E,Demand!C:C)&amp;" "&amp;_xlfn.XLOOKUP(B185,Demand!E:E,Demand!D:D)</f>
        <v xml:space="preserve">DEMAND - Transportation Passenger Transit Bus </v>
      </c>
      <c r="D185" t="str">
        <f>_xlfn.XLOOKUP(B185,Trans_Demand!A:A,Trans_Demand!B:B)</f>
        <v>M Vkm</v>
      </c>
      <c r="E185" t="s">
        <v>214</v>
      </c>
      <c r="F185">
        <f>Trans_Demand!C181</f>
        <v>2100</v>
      </c>
      <c r="G185" s="11">
        <f>SUMIFS(Trans_Demand!D:D,Trans_Demand!A:A,DMD_TRA!B185,Trans_Demand!C:C,DMD_TRA!F185)</f>
        <v>743.28484796061855</v>
      </c>
    </row>
    <row r="186" spans="2:7">
      <c r="B186" t="str">
        <f>Trans_Demand!A776</f>
        <v>TRAPASSBUDMD</v>
      </c>
      <c r="C186" t="str">
        <f>"DEMAND - "&amp;_xlfn.XLOOKUP(B186,Demand!E:E,Demand!A:A)&amp;" "&amp;_xlfn.XLOOKUP(B186,Demand!E:E,Demand!B:B)&amp;" "&amp;_xlfn.XLOOKUP(B186,Demand!E:E,Demand!C:C)&amp;" "&amp;_xlfn.XLOOKUP(B186,Demand!E:E,Demand!D:D)</f>
        <v xml:space="preserve">DEMAND - Transportation Passenger School Bus </v>
      </c>
      <c r="D186" t="str">
        <f>_xlfn.XLOOKUP(B186,Trans_Demand!A:A,Trans_Demand!B:B)</f>
        <v>M Vkm</v>
      </c>
      <c r="E186" t="s">
        <v>214</v>
      </c>
      <c r="F186">
        <f>Trans_Demand!C182</f>
        <v>2019</v>
      </c>
      <c r="G186" s="11">
        <f>SUMIFS(Trans_Demand!D:D,Trans_Demand!A:A,DMD_TRA!B186,Trans_Demand!C:C,DMD_TRA!F186)</f>
        <v>86.053217342719677</v>
      </c>
    </row>
    <row r="187" spans="2:7">
      <c r="B187" t="str">
        <f>Trans_Demand!A777</f>
        <v>TRAPASSBUDMD</v>
      </c>
      <c r="C187" t="str">
        <f>"DEMAND - "&amp;_xlfn.XLOOKUP(B187,Demand!E:E,Demand!A:A)&amp;" "&amp;_xlfn.XLOOKUP(B187,Demand!E:E,Demand!B:B)&amp;" "&amp;_xlfn.XLOOKUP(B187,Demand!E:E,Demand!C:C)&amp;" "&amp;_xlfn.XLOOKUP(B187,Demand!E:E,Demand!D:D)</f>
        <v xml:space="preserve">DEMAND - Transportation Passenger School Bus </v>
      </c>
      <c r="D187" t="str">
        <f>_xlfn.XLOOKUP(B187,Trans_Demand!A:A,Trans_Demand!B:B)</f>
        <v>M Vkm</v>
      </c>
      <c r="E187" t="s">
        <v>214</v>
      </c>
      <c r="F187">
        <f>Trans_Demand!C183</f>
        <v>2020</v>
      </c>
      <c r="G187" s="11">
        <f>SUMIFS(Trans_Demand!D:D,Trans_Demand!A:A,DMD_TRA!B187,Trans_Demand!C:C,DMD_TRA!F187)</f>
        <v>86.483483429433264</v>
      </c>
    </row>
    <row r="188" spans="2:7">
      <c r="B188" t="str">
        <f>Trans_Demand!A778</f>
        <v>TRAPASSBUDMD</v>
      </c>
      <c r="C188" t="str">
        <f>"DEMAND - "&amp;_xlfn.XLOOKUP(B188,Demand!E:E,Demand!A:A)&amp;" "&amp;_xlfn.XLOOKUP(B188,Demand!E:E,Demand!B:B)&amp;" "&amp;_xlfn.XLOOKUP(B188,Demand!E:E,Demand!C:C)&amp;" "&amp;_xlfn.XLOOKUP(B188,Demand!E:E,Demand!D:D)</f>
        <v xml:space="preserve">DEMAND - Transportation Passenger School Bus </v>
      </c>
      <c r="D188" t="str">
        <f>_xlfn.XLOOKUP(B188,Trans_Demand!A:A,Trans_Demand!B:B)</f>
        <v>M Vkm</v>
      </c>
      <c r="E188" t="s">
        <v>214</v>
      </c>
      <c r="F188">
        <f>Trans_Demand!C184</f>
        <v>2025</v>
      </c>
      <c r="G188" s="11">
        <f>SUMIFS(Trans_Demand!D:D,Trans_Demand!A:A,DMD_TRA!B188,Trans_Demand!C:C,DMD_TRA!F188)</f>
        <v>88.645570515169084</v>
      </c>
    </row>
    <row r="189" spans="2:7">
      <c r="B189" t="str">
        <f>Trans_Demand!A779</f>
        <v>TRAPASSBUDMD</v>
      </c>
      <c r="C189" t="str">
        <f>"DEMAND - "&amp;_xlfn.XLOOKUP(B189,Demand!E:E,Demand!A:A)&amp;" "&amp;_xlfn.XLOOKUP(B189,Demand!E:E,Demand!B:B)&amp;" "&amp;_xlfn.XLOOKUP(B189,Demand!E:E,Demand!C:C)&amp;" "&amp;_xlfn.XLOOKUP(B189,Demand!E:E,Demand!D:D)</f>
        <v xml:space="preserve">DEMAND - Transportation Passenger School Bus </v>
      </c>
      <c r="D189" t="str">
        <f>_xlfn.XLOOKUP(B189,Trans_Demand!A:A,Trans_Demand!B:B)</f>
        <v>M Vkm</v>
      </c>
      <c r="E189" t="s">
        <v>214</v>
      </c>
      <c r="F189">
        <f>Trans_Demand!C185</f>
        <v>2030</v>
      </c>
      <c r="G189" s="11">
        <f>SUMIFS(Trans_Demand!D:D,Trans_Demand!A:A,DMD_TRA!B189,Trans_Demand!C:C,DMD_TRA!F189)</f>
        <v>90.861709778048308</v>
      </c>
    </row>
    <row r="190" spans="2:7">
      <c r="B190" t="str">
        <f>Trans_Demand!A780</f>
        <v>TRAPASSBUDMD</v>
      </c>
      <c r="C190" t="str">
        <f>"DEMAND - "&amp;_xlfn.XLOOKUP(B190,Demand!E:E,Demand!A:A)&amp;" "&amp;_xlfn.XLOOKUP(B190,Demand!E:E,Demand!B:B)&amp;" "&amp;_xlfn.XLOOKUP(B190,Demand!E:E,Demand!C:C)&amp;" "&amp;_xlfn.XLOOKUP(B190,Demand!E:E,Demand!D:D)</f>
        <v xml:space="preserve">DEMAND - Transportation Passenger School Bus </v>
      </c>
      <c r="D190" t="str">
        <f>_xlfn.XLOOKUP(B190,Trans_Demand!A:A,Trans_Demand!B:B)</f>
        <v>M Vkm</v>
      </c>
      <c r="E190" t="s">
        <v>214</v>
      </c>
      <c r="F190">
        <f>Trans_Demand!C186</f>
        <v>2035</v>
      </c>
      <c r="G190" s="11">
        <f>SUMIFS(Trans_Demand!D:D,Trans_Demand!A:A,DMD_TRA!B190,Trans_Demand!C:C,DMD_TRA!F190)</f>
        <v>93.133252522499504</v>
      </c>
    </row>
    <row r="191" spans="2:7">
      <c r="B191" t="str">
        <f>Trans_Demand!A781</f>
        <v>TRAPASSBUDMD</v>
      </c>
      <c r="C191" t="str">
        <f>"DEMAND - "&amp;_xlfn.XLOOKUP(B191,Demand!E:E,Demand!A:A)&amp;" "&amp;_xlfn.XLOOKUP(B191,Demand!E:E,Demand!B:B)&amp;" "&amp;_xlfn.XLOOKUP(B191,Demand!E:E,Demand!C:C)&amp;" "&amp;_xlfn.XLOOKUP(B191,Demand!E:E,Demand!D:D)</f>
        <v xml:space="preserve">DEMAND - Transportation Passenger School Bus </v>
      </c>
      <c r="D191" t="str">
        <f>_xlfn.XLOOKUP(B191,Trans_Demand!A:A,Trans_Demand!B:B)</f>
        <v>M Vkm</v>
      </c>
      <c r="E191" t="s">
        <v>214</v>
      </c>
      <c r="F191">
        <f>Trans_Demand!C187</f>
        <v>2040</v>
      </c>
      <c r="G191" s="11">
        <f>SUMIFS(Trans_Demand!D:D,Trans_Demand!A:A,DMD_TRA!B191,Trans_Demand!C:C,DMD_TRA!F191)</f>
        <v>95.461583835561981</v>
      </c>
    </row>
    <row r="192" spans="2:7">
      <c r="B192" t="str">
        <f>Trans_Demand!A782</f>
        <v>TRAPASSBUDMD</v>
      </c>
      <c r="C192" t="str">
        <f>"DEMAND - "&amp;_xlfn.XLOOKUP(B192,Demand!E:E,Demand!A:A)&amp;" "&amp;_xlfn.XLOOKUP(B192,Demand!E:E,Demand!B:B)&amp;" "&amp;_xlfn.XLOOKUP(B192,Demand!E:E,Demand!C:C)&amp;" "&amp;_xlfn.XLOOKUP(B192,Demand!E:E,Demand!D:D)</f>
        <v xml:space="preserve">DEMAND - Transportation Passenger School Bus </v>
      </c>
      <c r="D192" t="str">
        <f>_xlfn.XLOOKUP(B192,Trans_Demand!A:A,Trans_Demand!B:B)</f>
        <v>M Vkm</v>
      </c>
      <c r="E192" t="s">
        <v>214</v>
      </c>
      <c r="F192">
        <f>Trans_Demand!C188</f>
        <v>2045</v>
      </c>
      <c r="G192" s="11">
        <f>SUMIFS(Trans_Demand!D:D,Trans_Demand!A:A,DMD_TRA!B192,Trans_Demand!C:C,DMD_TRA!F192)</f>
        <v>97.848123431451029</v>
      </c>
    </row>
    <row r="193" spans="2:7">
      <c r="B193" t="str">
        <f>Trans_Demand!A783</f>
        <v>TRAPASSBUDMD</v>
      </c>
      <c r="C193" t="str">
        <f>"DEMAND - "&amp;_xlfn.XLOOKUP(B193,Demand!E:E,Demand!A:A)&amp;" "&amp;_xlfn.XLOOKUP(B193,Demand!E:E,Demand!B:B)&amp;" "&amp;_xlfn.XLOOKUP(B193,Demand!E:E,Demand!C:C)&amp;" "&amp;_xlfn.XLOOKUP(B193,Demand!E:E,Demand!D:D)</f>
        <v xml:space="preserve">DEMAND - Transportation Passenger School Bus </v>
      </c>
      <c r="D193" t="str">
        <f>_xlfn.XLOOKUP(B193,Trans_Demand!A:A,Trans_Demand!B:B)</f>
        <v>M Vkm</v>
      </c>
      <c r="E193" t="s">
        <v>214</v>
      </c>
      <c r="F193">
        <f>Trans_Demand!C189</f>
        <v>2050</v>
      </c>
      <c r="G193" s="11">
        <f>SUMIFS(Trans_Demand!D:D,Trans_Demand!A:A,DMD_TRA!B193,Trans_Demand!C:C,DMD_TRA!F193)</f>
        <v>100.29432651723729</v>
      </c>
    </row>
    <row r="194" spans="2:7">
      <c r="B194" t="str">
        <f>Trans_Demand!A784</f>
        <v>TRAPASSBUDMD</v>
      </c>
      <c r="C194" t="str">
        <f>"DEMAND - "&amp;_xlfn.XLOOKUP(B194,Demand!E:E,Demand!A:A)&amp;" "&amp;_xlfn.XLOOKUP(B194,Demand!E:E,Demand!B:B)&amp;" "&amp;_xlfn.XLOOKUP(B194,Demand!E:E,Demand!C:C)&amp;" "&amp;_xlfn.XLOOKUP(B194,Demand!E:E,Demand!D:D)</f>
        <v xml:space="preserve">DEMAND - Transportation Passenger School Bus </v>
      </c>
      <c r="D194" t="str">
        <f>_xlfn.XLOOKUP(B194,Trans_Demand!A:A,Trans_Demand!B:B)</f>
        <v>M Vkm</v>
      </c>
      <c r="E194" t="s">
        <v>214</v>
      </c>
      <c r="F194">
        <f>Trans_Demand!C190</f>
        <v>2055</v>
      </c>
      <c r="G194" s="11">
        <f>SUMIFS(Trans_Demand!D:D,Trans_Demand!A:A,DMD_TRA!B194,Trans_Demand!C:C,DMD_TRA!F194)</f>
        <v>102.80168468016819</v>
      </c>
    </row>
    <row r="195" spans="2:7">
      <c r="B195" t="str">
        <f>Trans_Demand!A785</f>
        <v>TRAPASSBUDMD</v>
      </c>
      <c r="C195" t="str">
        <f>"DEMAND - "&amp;_xlfn.XLOOKUP(B195,Demand!E:E,Demand!A:A)&amp;" "&amp;_xlfn.XLOOKUP(B195,Demand!E:E,Demand!B:B)&amp;" "&amp;_xlfn.XLOOKUP(B195,Demand!E:E,Demand!C:C)&amp;" "&amp;_xlfn.XLOOKUP(B195,Demand!E:E,Demand!D:D)</f>
        <v xml:space="preserve">DEMAND - Transportation Passenger School Bus </v>
      </c>
      <c r="D195" t="str">
        <f>_xlfn.XLOOKUP(B195,Trans_Demand!A:A,Trans_Demand!B:B)</f>
        <v>M Vkm</v>
      </c>
      <c r="E195" t="s">
        <v>214</v>
      </c>
      <c r="F195">
        <f>Trans_Demand!C191</f>
        <v>2060</v>
      </c>
      <c r="G195" s="11">
        <f>SUMIFS(Trans_Demand!D:D,Trans_Demand!A:A,DMD_TRA!B195,Trans_Demand!C:C,DMD_TRA!F195)</f>
        <v>105.3717267971724</v>
      </c>
    </row>
    <row r="196" spans="2:7">
      <c r="B196" t="str">
        <f>Trans_Demand!A786</f>
        <v>TRAPASSBUDMD</v>
      </c>
      <c r="C196" t="str">
        <f>"DEMAND - "&amp;_xlfn.XLOOKUP(B196,Demand!E:E,Demand!A:A)&amp;" "&amp;_xlfn.XLOOKUP(B196,Demand!E:E,Demand!B:B)&amp;" "&amp;_xlfn.XLOOKUP(B196,Demand!E:E,Demand!C:C)&amp;" "&amp;_xlfn.XLOOKUP(B196,Demand!E:E,Demand!D:D)</f>
        <v xml:space="preserve">DEMAND - Transportation Passenger School Bus </v>
      </c>
      <c r="D196" t="str">
        <f>_xlfn.XLOOKUP(B196,Trans_Demand!A:A,Trans_Demand!B:B)</f>
        <v>M Vkm</v>
      </c>
      <c r="E196" t="s">
        <v>214</v>
      </c>
      <c r="F196">
        <f>Trans_Demand!C192</f>
        <v>2065</v>
      </c>
      <c r="G196" s="11">
        <f>SUMIFS(Trans_Demand!D:D,Trans_Demand!A:A,DMD_TRA!B196,Trans_Demand!C:C,DMD_TRA!F196)</f>
        <v>108.00601996710169</v>
      </c>
    </row>
    <row r="197" spans="2:7">
      <c r="B197" t="str">
        <f>Trans_Demand!A787</f>
        <v>TRAPASSBUDMD</v>
      </c>
      <c r="C197" t="str">
        <f>"DEMAND - "&amp;_xlfn.XLOOKUP(B197,Demand!E:E,Demand!A:A)&amp;" "&amp;_xlfn.XLOOKUP(B197,Demand!E:E,Demand!B:B)&amp;" "&amp;_xlfn.XLOOKUP(B197,Demand!E:E,Demand!C:C)&amp;" "&amp;_xlfn.XLOOKUP(B197,Demand!E:E,Demand!D:D)</f>
        <v xml:space="preserve">DEMAND - Transportation Passenger School Bus </v>
      </c>
      <c r="D197" t="str">
        <f>_xlfn.XLOOKUP(B197,Trans_Demand!A:A,Trans_Demand!B:B)</f>
        <v>M Vkm</v>
      </c>
      <c r="E197" t="s">
        <v>214</v>
      </c>
      <c r="F197">
        <f>Trans_Demand!C193</f>
        <v>2070</v>
      </c>
      <c r="G197" s="11">
        <f>SUMIFS(Trans_Demand!D:D,Trans_Demand!A:A,DMD_TRA!B197,Trans_Demand!C:C,DMD_TRA!F197)</f>
        <v>110.7061704662793</v>
      </c>
    </row>
    <row r="198" spans="2:7">
      <c r="B198" t="str">
        <f>Trans_Demand!A788</f>
        <v>TRAPASSBUDMD</v>
      </c>
      <c r="C198" t="str">
        <f>"DEMAND - "&amp;_xlfn.XLOOKUP(B198,Demand!E:E,Demand!A:A)&amp;" "&amp;_xlfn.XLOOKUP(B198,Demand!E:E,Demand!B:B)&amp;" "&amp;_xlfn.XLOOKUP(B198,Demand!E:E,Demand!C:C)&amp;" "&amp;_xlfn.XLOOKUP(B198,Demand!E:E,Demand!D:D)</f>
        <v xml:space="preserve">DEMAND - Transportation Passenger School Bus </v>
      </c>
      <c r="D198" t="str">
        <f>_xlfn.XLOOKUP(B198,Trans_Demand!A:A,Trans_Demand!B:B)</f>
        <v>M Vkm</v>
      </c>
      <c r="E198" t="s">
        <v>214</v>
      </c>
      <c r="F198">
        <f>Trans_Demand!C194</f>
        <v>2075</v>
      </c>
      <c r="G198" s="11">
        <f>SUMIFS(Trans_Demand!D:D,Trans_Demand!A:A,DMD_TRA!B198,Trans_Demand!C:C,DMD_TRA!F198)</f>
        <v>113.4738247279362</v>
      </c>
    </row>
    <row r="199" spans="2:7">
      <c r="B199" t="str">
        <f>Trans_Demand!A789</f>
        <v>TRAPASSBUDMD</v>
      </c>
      <c r="C199" t="str">
        <f>"DEMAND - "&amp;_xlfn.XLOOKUP(B199,Demand!E:E,Demand!A:A)&amp;" "&amp;_xlfn.XLOOKUP(B199,Demand!E:E,Demand!B:B)&amp;" "&amp;_xlfn.XLOOKUP(B199,Demand!E:E,Demand!C:C)&amp;" "&amp;_xlfn.XLOOKUP(B199,Demand!E:E,Demand!D:D)</f>
        <v xml:space="preserve">DEMAND - Transportation Passenger School Bus </v>
      </c>
      <c r="D199" t="str">
        <f>_xlfn.XLOOKUP(B199,Trans_Demand!A:A,Trans_Demand!B:B)</f>
        <v>M Vkm</v>
      </c>
      <c r="E199" t="s">
        <v>214</v>
      </c>
      <c r="F199">
        <f>Trans_Demand!C195</f>
        <v>2080</v>
      </c>
      <c r="G199" s="11">
        <f>SUMIFS(Trans_Demand!D:D,Trans_Demand!A:A,DMD_TRA!B199,Trans_Demand!C:C,DMD_TRA!F199)</f>
        <v>116.3106703461346</v>
      </c>
    </row>
    <row r="200" spans="2:7">
      <c r="B200" t="str">
        <f>Trans_Demand!A790</f>
        <v>TRAPASSBUDMD</v>
      </c>
      <c r="C200" t="str">
        <f>"DEMAND - "&amp;_xlfn.XLOOKUP(B200,Demand!E:E,Demand!A:A)&amp;" "&amp;_xlfn.XLOOKUP(B200,Demand!E:E,Demand!B:B)&amp;" "&amp;_xlfn.XLOOKUP(B200,Demand!E:E,Demand!C:C)&amp;" "&amp;_xlfn.XLOOKUP(B200,Demand!E:E,Demand!D:D)</f>
        <v xml:space="preserve">DEMAND - Transportation Passenger School Bus </v>
      </c>
      <c r="D200" t="str">
        <f>_xlfn.XLOOKUP(B200,Trans_Demand!A:A,Trans_Demand!B:B)</f>
        <v>M Vkm</v>
      </c>
      <c r="E200" t="s">
        <v>214</v>
      </c>
      <c r="F200">
        <f>Trans_Demand!C196</f>
        <v>2085</v>
      </c>
      <c r="G200" s="11">
        <f>SUMIFS(Trans_Demand!D:D,Trans_Demand!A:A,DMD_TRA!B200,Trans_Demand!C:C,DMD_TRA!F200)</f>
        <v>119.21843710478799</v>
      </c>
    </row>
    <row r="201" spans="2:7">
      <c r="B201" t="str">
        <f>Trans_Demand!A791</f>
        <v>TRAPASSBUDMD</v>
      </c>
      <c r="C201" t="str">
        <f>"DEMAND - "&amp;_xlfn.XLOOKUP(B201,Demand!E:E,Demand!A:A)&amp;" "&amp;_xlfn.XLOOKUP(B201,Demand!E:E,Demand!B:B)&amp;" "&amp;_xlfn.XLOOKUP(B201,Demand!E:E,Demand!C:C)&amp;" "&amp;_xlfn.XLOOKUP(B201,Demand!E:E,Demand!D:D)</f>
        <v xml:space="preserve">DEMAND - Transportation Passenger School Bus </v>
      </c>
      <c r="D201" t="str">
        <f>_xlfn.XLOOKUP(B201,Trans_Demand!A:A,Trans_Demand!B:B)</f>
        <v>M Vkm</v>
      </c>
      <c r="E201" t="s">
        <v>214</v>
      </c>
      <c r="F201">
        <f>Trans_Demand!C197</f>
        <v>2090</v>
      </c>
      <c r="G201" s="11">
        <f>SUMIFS(Trans_Demand!D:D,Trans_Demand!A:A,DMD_TRA!B201,Trans_Demand!C:C,DMD_TRA!F201)</f>
        <v>122.1988980324077</v>
      </c>
    </row>
    <row r="202" spans="2:7">
      <c r="B202" t="str">
        <f>Trans_Demand!A792</f>
        <v>TRAPASSBUDMD</v>
      </c>
      <c r="C202" t="str">
        <f>"DEMAND - "&amp;_xlfn.XLOOKUP(B202,Demand!E:E,Demand!A:A)&amp;" "&amp;_xlfn.XLOOKUP(B202,Demand!E:E,Demand!B:B)&amp;" "&amp;_xlfn.XLOOKUP(B202,Demand!E:E,Demand!C:C)&amp;" "&amp;_xlfn.XLOOKUP(B202,Demand!E:E,Demand!D:D)</f>
        <v xml:space="preserve">DEMAND - Transportation Passenger School Bus </v>
      </c>
      <c r="D202" t="str">
        <f>_xlfn.XLOOKUP(B202,Trans_Demand!A:A,Trans_Demand!B:B)</f>
        <v>M Vkm</v>
      </c>
      <c r="E202" t="s">
        <v>214</v>
      </c>
      <c r="F202">
        <f>Trans_Demand!C198</f>
        <v>2095</v>
      </c>
      <c r="G202" s="11">
        <f>SUMIFS(Trans_Demand!D:D,Trans_Demand!A:A,DMD_TRA!B202,Trans_Demand!C:C,DMD_TRA!F202)</f>
        <v>125.2538704832179</v>
      </c>
    </row>
    <row r="203" spans="2:7">
      <c r="B203" t="str">
        <f>Trans_Demand!A793</f>
        <v>TRAPASSBUDMD</v>
      </c>
      <c r="C203" t="str">
        <f>"DEMAND - "&amp;_xlfn.XLOOKUP(B203,Demand!E:E,Demand!A:A)&amp;" "&amp;_xlfn.XLOOKUP(B203,Demand!E:E,Demand!B:B)&amp;" "&amp;_xlfn.XLOOKUP(B203,Demand!E:E,Demand!C:C)&amp;" "&amp;_xlfn.XLOOKUP(B203,Demand!E:E,Demand!D:D)</f>
        <v xml:space="preserve">DEMAND - Transportation Passenger School Bus </v>
      </c>
      <c r="D203" t="str">
        <f>_xlfn.XLOOKUP(B203,Trans_Demand!A:A,Trans_Demand!B:B)</f>
        <v>M Vkm</v>
      </c>
      <c r="E203" t="s">
        <v>214</v>
      </c>
      <c r="F203">
        <f>Trans_Demand!C199</f>
        <v>2100</v>
      </c>
      <c r="G203" s="11">
        <f>SUMIFS(Trans_Demand!D:D,Trans_Demand!A:A,DMD_TRA!B203,Trans_Demand!C:C,DMD_TRA!F203)</f>
        <v>128.38521724529829</v>
      </c>
    </row>
    <row r="204" spans="2:7">
      <c r="B204" t="str">
        <f>Trans_Demand!A794</f>
        <v>TRAPASOBUDMD</v>
      </c>
      <c r="C204" t="str">
        <f>"DEMAND - "&amp;_xlfn.XLOOKUP(B204,Demand!E:E,Demand!A:A)&amp;" "&amp;_xlfn.XLOOKUP(B204,Demand!E:E,Demand!B:B)&amp;" "&amp;_xlfn.XLOOKUP(B204,Demand!E:E,Demand!C:C)&amp;" "&amp;_xlfn.XLOOKUP(B204,Demand!E:E,Demand!D:D)</f>
        <v xml:space="preserve">DEMAND - Transportation Passenger Other Buses </v>
      </c>
      <c r="D204" t="str">
        <f>_xlfn.XLOOKUP(B204,Trans_Demand!A:A,Trans_Demand!B:B)</f>
        <v>M Vkm</v>
      </c>
      <c r="E204" t="s">
        <v>214</v>
      </c>
      <c r="F204">
        <f>Trans_Demand!C200</f>
        <v>2019</v>
      </c>
      <c r="G204" s="11">
        <f>SUMIFS(Trans_Demand!D:D,Trans_Demand!A:A,DMD_TRA!B204,Trans_Demand!C:C,DMD_TRA!F204)</f>
        <v>0</v>
      </c>
    </row>
    <row r="205" spans="2:7">
      <c r="B205" t="str">
        <f>Trans_Demand!A795</f>
        <v>TRAPASOBUDMD</v>
      </c>
      <c r="C205" t="str">
        <f>"DEMAND - "&amp;_xlfn.XLOOKUP(B205,Demand!E:E,Demand!A:A)&amp;" "&amp;_xlfn.XLOOKUP(B205,Demand!E:E,Demand!B:B)&amp;" "&amp;_xlfn.XLOOKUP(B205,Demand!E:E,Demand!C:C)&amp;" "&amp;_xlfn.XLOOKUP(B205,Demand!E:E,Demand!D:D)</f>
        <v xml:space="preserve">DEMAND - Transportation Passenger Other Buses </v>
      </c>
      <c r="D205" t="str">
        <f>_xlfn.XLOOKUP(B205,Trans_Demand!A:A,Trans_Demand!B:B)</f>
        <v>M Vkm</v>
      </c>
      <c r="E205" t="s">
        <v>214</v>
      </c>
      <c r="F205">
        <f>Trans_Demand!C201</f>
        <v>2020</v>
      </c>
      <c r="G205" s="11">
        <f>SUMIFS(Trans_Demand!D:D,Trans_Demand!A:A,DMD_TRA!B205,Trans_Demand!C:C,DMD_TRA!F205)</f>
        <v>0</v>
      </c>
    </row>
    <row r="206" spans="2:7">
      <c r="B206" t="str">
        <f>Trans_Demand!A796</f>
        <v>TRAPASOBUDMD</v>
      </c>
      <c r="C206" t="str">
        <f>"DEMAND - "&amp;_xlfn.XLOOKUP(B206,Demand!E:E,Demand!A:A)&amp;" "&amp;_xlfn.XLOOKUP(B206,Demand!E:E,Demand!B:B)&amp;" "&amp;_xlfn.XLOOKUP(B206,Demand!E:E,Demand!C:C)&amp;" "&amp;_xlfn.XLOOKUP(B206,Demand!E:E,Demand!D:D)</f>
        <v xml:space="preserve">DEMAND - Transportation Passenger Other Buses </v>
      </c>
      <c r="D206" t="str">
        <f>_xlfn.XLOOKUP(B206,Trans_Demand!A:A,Trans_Demand!B:B)</f>
        <v>M Vkm</v>
      </c>
      <c r="E206" t="s">
        <v>214</v>
      </c>
      <c r="F206">
        <f>Trans_Demand!C202</f>
        <v>2025</v>
      </c>
      <c r="G206" s="11">
        <f>SUMIFS(Trans_Demand!D:D,Trans_Demand!A:A,DMD_TRA!B206,Trans_Demand!C:C,DMD_TRA!F206)</f>
        <v>0</v>
      </c>
    </row>
    <row r="207" spans="2:7">
      <c r="B207" t="str">
        <f>Trans_Demand!A797</f>
        <v>TRAPASOBUDMD</v>
      </c>
      <c r="C207" t="str">
        <f>"DEMAND - "&amp;_xlfn.XLOOKUP(B207,Demand!E:E,Demand!A:A)&amp;" "&amp;_xlfn.XLOOKUP(B207,Demand!E:E,Demand!B:B)&amp;" "&amp;_xlfn.XLOOKUP(B207,Demand!E:E,Demand!C:C)&amp;" "&amp;_xlfn.XLOOKUP(B207,Demand!E:E,Demand!D:D)</f>
        <v xml:space="preserve">DEMAND - Transportation Passenger Other Buses </v>
      </c>
      <c r="D207" t="str">
        <f>_xlfn.XLOOKUP(B207,Trans_Demand!A:A,Trans_Demand!B:B)</f>
        <v>M Vkm</v>
      </c>
      <c r="E207" t="s">
        <v>214</v>
      </c>
      <c r="F207">
        <f>Trans_Demand!C203</f>
        <v>2030</v>
      </c>
      <c r="G207" s="11">
        <f>SUMIFS(Trans_Demand!D:D,Trans_Demand!A:A,DMD_TRA!B207,Trans_Demand!C:C,DMD_TRA!F207)</f>
        <v>0</v>
      </c>
    </row>
    <row r="208" spans="2:7">
      <c r="B208" t="str">
        <f>Trans_Demand!A798</f>
        <v>TRAPASOBUDMD</v>
      </c>
      <c r="C208" t="str">
        <f>"DEMAND - "&amp;_xlfn.XLOOKUP(B208,Demand!E:E,Demand!A:A)&amp;" "&amp;_xlfn.XLOOKUP(B208,Demand!E:E,Demand!B:B)&amp;" "&amp;_xlfn.XLOOKUP(B208,Demand!E:E,Demand!C:C)&amp;" "&amp;_xlfn.XLOOKUP(B208,Demand!E:E,Demand!D:D)</f>
        <v xml:space="preserve">DEMAND - Transportation Passenger Other Buses </v>
      </c>
      <c r="D208" t="str">
        <f>_xlfn.XLOOKUP(B208,Trans_Demand!A:A,Trans_Demand!B:B)</f>
        <v>M Vkm</v>
      </c>
      <c r="E208" t="s">
        <v>214</v>
      </c>
      <c r="F208">
        <f>Trans_Demand!C204</f>
        <v>2035</v>
      </c>
      <c r="G208" s="11">
        <f>SUMIFS(Trans_Demand!D:D,Trans_Demand!A:A,DMD_TRA!B208,Trans_Demand!C:C,DMD_TRA!F208)</f>
        <v>0</v>
      </c>
    </row>
    <row r="209" spans="2:7">
      <c r="B209" t="str">
        <f>Trans_Demand!A799</f>
        <v>TRAPASOBUDMD</v>
      </c>
      <c r="C209" t="str">
        <f>"DEMAND - "&amp;_xlfn.XLOOKUP(B209,Demand!E:E,Demand!A:A)&amp;" "&amp;_xlfn.XLOOKUP(B209,Demand!E:E,Demand!B:B)&amp;" "&amp;_xlfn.XLOOKUP(B209,Demand!E:E,Demand!C:C)&amp;" "&amp;_xlfn.XLOOKUP(B209,Demand!E:E,Demand!D:D)</f>
        <v xml:space="preserve">DEMAND - Transportation Passenger Other Buses </v>
      </c>
      <c r="D209" t="str">
        <f>_xlfn.XLOOKUP(B209,Trans_Demand!A:A,Trans_Demand!B:B)</f>
        <v>M Vkm</v>
      </c>
      <c r="E209" t="s">
        <v>214</v>
      </c>
      <c r="F209">
        <f>Trans_Demand!C205</f>
        <v>2040</v>
      </c>
      <c r="G209" s="11">
        <f>SUMIFS(Trans_Demand!D:D,Trans_Demand!A:A,DMD_TRA!B209,Trans_Demand!C:C,DMD_TRA!F209)</f>
        <v>0</v>
      </c>
    </row>
    <row r="210" spans="2:7">
      <c r="B210" t="str">
        <f>Trans_Demand!A800</f>
        <v>TRAPASOBUDMD</v>
      </c>
      <c r="C210" t="str">
        <f>"DEMAND - "&amp;_xlfn.XLOOKUP(B210,Demand!E:E,Demand!A:A)&amp;" "&amp;_xlfn.XLOOKUP(B210,Demand!E:E,Demand!B:B)&amp;" "&amp;_xlfn.XLOOKUP(B210,Demand!E:E,Demand!C:C)&amp;" "&amp;_xlfn.XLOOKUP(B210,Demand!E:E,Demand!D:D)</f>
        <v xml:space="preserve">DEMAND - Transportation Passenger Other Buses </v>
      </c>
      <c r="D210" t="str">
        <f>_xlfn.XLOOKUP(B210,Trans_Demand!A:A,Trans_Demand!B:B)</f>
        <v>M Vkm</v>
      </c>
      <c r="E210" t="s">
        <v>214</v>
      </c>
      <c r="F210">
        <f>Trans_Demand!C206</f>
        <v>2045</v>
      </c>
      <c r="G210" s="11">
        <f>SUMIFS(Trans_Demand!D:D,Trans_Demand!A:A,DMD_TRA!B210,Trans_Demand!C:C,DMD_TRA!F210)</f>
        <v>0</v>
      </c>
    </row>
    <row r="211" spans="2:7">
      <c r="B211" t="str">
        <f>Trans_Demand!A801</f>
        <v>TRAPASOBUDMD</v>
      </c>
      <c r="C211" t="str">
        <f>"DEMAND - "&amp;_xlfn.XLOOKUP(B211,Demand!E:E,Demand!A:A)&amp;" "&amp;_xlfn.XLOOKUP(B211,Demand!E:E,Demand!B:B)&amp;" "&amp;_xlfn.XLOOKUP(B211,Demand!E:E,Demand!C:C)&amp;" "&amp;_xlfn.XLOOKUP(B211,Demand!E:E,Demand!D:D)</f>
        <v xml:space="preserve">DEMAND - Transportation Passenger Other Buses </v>
      </c>
      <c r="D211" t="str">
        <f>_xlfn.XLOOKUP(B211,Trans_Demand!A:A,Trans_Demand!B:B)</f>
        <v>M Vkm</v>
      </c>
      <c r="E211" t="s">
        <v>214</v>
      </c>
      <c r="F211">
        <f>Trans_Demand!C207</f>
        <v>2050</v>
      </c>
      <c r="G211" s="11">
        <f>SUMIFS(Trans_Demand!D:D,Trans_Demand!A:A,DMD_TRA!B211,Trans_Demand!C:C,DMD_TRA!F211)</f>
        <v>0</v>
      </c>
    </row>
    <row r="212" spans="2:7">
      <c r="B212" t="str">
        <f>Trans_Demand!A802</f>
        <v>TRAPASOBUDMD</v>
      </c>
      <c r="C212" t="str">
        <f>"DEMAND - "&amp;_xlfn.XLOOKUP(B212,Demand!E:E,Demand!A:A)&amp;" "&amp;_xlfn.XLOOKUP(B212,Demand!E:E,Demand!B:B)&amp;" "&amp;_xlfn.XLOOKUP(B212,Demand!E:E,Demand!C:C)&amp;" "&amp;_xlfn.XLOOKUP(B212,Demand!E:E,Demand!D:D)</f>
        <v xml:space="preserve">DEMAND - Transportation Passenger Other Buses </v>
      </c>
      <c r="D212" t="str">
        <f>_xlfn.XLOOKUP(B212,Trans_Demand!A:A,Trans_Demand!B:B)</f>
        <v>M Vkm</v>
      </c>
      <c r="E212" t="s">
        <v>214</v>
      </c>
      <c r="F212">
        <f>Trans_Demand!C208</f>
        <v>2055</v>
      </c>
      <c r="G212" s="11">
        <f>SUMIFS(Trans_Demand!D:D,Trans_Demand!A:A,DMD_TRA!B212,Trans_Demand!C:C,DMD_TRA!F212)</f>
        <v>0</v>
      </c>
    </row>
    <row r="213" spans="2:7">
      <c r="B213" t="str">
        <f>Trans_Demand!A803</f>
        <v>TRAPASOBUDMD</v>
      </c>
      <c r="C213" t="str">
        <f>"DEMAND - "&amp;_xlfn.XLOOKUP(B213,Demand!E:E,Demand!A:A)&amp;" "&amp;_xlfn.XLOOKUP(B213,Demand!E:E,Demand!B:B)&amp;" "&amp;_xlfn.XLOOKUP(B213,Demand!E:E,Demand!C:C)&amp;" "&amp;_xlfn.XLOOKUP(B213,Demand!E:E,Demand!D:D)</f>
        <v xml:space="preserve">DEMAND - Transportation Passenger Other Buses </v>
      </c>
      <c r="D213" t="str">
        <f>_xlfn.XLOOKUP(B213,Trans_Demand!A:A,Trans_Demand!B:B)</f>
        <v>M Vkm</v>
      </c>
      <c r="E213" t="s">
        <v>214</v>
      </c>
      <c r="F213">
        <f>Trans_Demand!C209</f>
        <v>2060</v>
      </c>
      <c r="G213" s="11">
        <f>SUMIFS(Trans_Demand!D:D,Trans_Demand!A:A,DMD_TRA!B213,Trans_Demand!C:C,DMD_TRA!F213)</f>
        <v>0</v>
      </c>
    </row>
    <row r="214" spans="2:7">
      <c r="B214" t="str">
        <f>Trans_Demand!A804</f>
        <v>TRAPASOBUDMD</v>
      </c>
      <c r="C214" t="str">
        <f>"DEMAND - "&amp;_xlfn.XLOOKUP(B214,Demand!E:E,Demand!A:A)&amp;" "&amp;_xlfn.XLOOKUP(B214,Demand!E:E,Demand!B:B)&amp;" "&amp;_xlfn.XLOOKUP(B214,Demand!E:E,Demand!C:C)&amp;" "&amp;_xlfn.XLOOKUP(B214,Demand!E:E,Demand!D:D)</f>
        <v xml:space="preserve">DEMAND - Transportation Passenger Other Buses </v>
      </c>
      <c r="D214" t="str">
        <f>_xlfn.XLOOKUP(B214,Trans_Demand!A:A,Trans_Demand!B:B)</f>
        <v>M Vkm</v>
      </c>
      <c r="E214" t="s">
        <v>214</v>
      </c>
      <c r="F214">
        <f>Trans_Demand!C210</f>
        <v>2065</v>
      </c>
      <c r="G214" s="11">
        <f>SUMIFS(Trans_Demand!D:D,Trans_Demand!A:A,DMD_TRA!B214,Trans_Demand!C:C,DMD_TRA!F214)</f>
        <v>0</v>
      </c>
    </row>
    <row r="215" spans="2:7">
      <c r="B215" t="str">
        <f>Trans_Demand!A805</f>
        <v>TRAPASOBUDMD</v>
      </c>
      <c r="C215" t="str">
        <f>"DEMAND - "&amp;_xlfn.XLOOKUP(B215,Demand!E:E,Demand!A:A)&amp;" "&amp;_xlfn.XLOOKUP(B215,Demand!E:E,Demand!B:B)&amp;" "&amp;_xlfn.XLOOKUP(B215,Demand!E:E,Demand!C:C)&amp;" "&amp;_xlfn.XLOOKUP(B215,Demand!E:E,Demand!D:D)</f>
        <v xml:space="preserve">DEMAND - Transportation Passenger Other Buses </v>
      </c>
      <c r="D215" t="str">
        <f>_xlfn.XLOOKUP(B215,Trans_Demand!A:A,Trans_Demand!B:B)</f>
        <v>M Vkm</v>
      </c>
      <c r="E215" t="s">
        <v>214</v>
      </c>
      <c r="F215">
        <f>Trans_Demand!C211</f>
        <v>2070</v>
      </c>
      <c r="G215" s="11">
        <f>SUMIFS(Trans_Demand!D:D,Trans_Demand!A:A,DMD_TRA!B215,Trans_Demand!C:C,DMD_TRA!F215)</f>
        <v>0</v>
      </c>
    </row>
    <row r="216" spans="2:7">
      <c r="B216" t="str">
        <f>Trans_Demand!A806</f>
        <v>TRAPASOBUDMD</v>
      </c>
      <c r="C216" t="str">
        <f>"DEMAND - "&amp;_xlfn.XLOOKUP(B216,Demand!E:E,Demand!A:A)&amp;" "&amp;_xlfn.XLOOKUP(B216,Demand!E:E,Demand!B:B)&amp;" "&amp;_xlfn.XLOOKUP(B216,Demand!E:E,Demand!C:C)&amp;" "&amp;_xlfn.XLOOKUP(B216,Demand!E:E,Demand!D:D)</f>
        <v xml:space="preserve">DEMAND - Transportation Passenger Other Buses </v>
      </c>
      <c r="D216" t="str">
        <f>_xlfn.XLOOKUP(B216,Trans_Demand!A:A,Trans_Demand!B:B)</f>
        <v>M Vkm</v>
      </c>
      <c r="E216" t="s">
        <v>214</v>
      </c>
      <c r="F216">
        <f>Trans_Demand!C212</f>
        <v>2075</v>
      </c>
      <c r="G216" s="11">
        <f>SUMIFS(Trans_Demand!D:D,Trans_Demand!A:A,DMD_TRA!B216,Trans_Demand!C:C,DMD_TRA!F216)</f>
        <v>0</v>
      </c>
    </row>
    <row r="217" spans="2:7">
      <c r="B217" t="str">
        <f>Trans_Demand!A807</f>
        <v>TRAPASOBUDMD</v>
      </c>
      <c r="C217" t="str">
        <f>"DEMAND - "&amp;_xlfn.XLOOKUP(B217,Demand!E:E,Demand!A:A)&amp;" "&amp;_xlfn.XLOOKUP(B217,Demand!E:E,Demand!B:B)&amp;" "&amp;_xlfn.XLOOKUP(B217,Demand!E:E,Demand!C:C)&amp;" "&amp;_xlfn.XLOOKUP(B217,Demand!E:E,Demand!D:D)</f>
        <v xml:space="preserve">DEMAND - Transportation Passenger Other Buses </v>
      </c>
      <c r="D217" t="str">
        <f>_xlfn.XLOOKUP(B217,Trans_Demand!A:A,Trans_Demand!B:B)</f>
        <v>M Vkm</v>
      </c>
      <c r="E217" t="s">
        <v>214</v>
      </c>
      <c r="F217">
        <f>Trans_Demand!C213</f>
        <v>2080</v>
      </c>
      <c r="G217" s="11">
        <f>SUMIFS(Trans_Demand!D:D,Trans_Demand!A:A,DMD_TRA!B217,Trans_Demand!C:C,DMD_TRA!F217)</f>
        <v>0</v>
      </c>
    </row>
    <row r="218" spans="2:7">
      <c r="B218" t="str">
        <f>Trans_Demand!A808</f>
        <v>TRAPASOBUDMD</v>
      </c>
      <c r="C218" t="str">
        <f>"DEMAND - "&amp;_xlfn.XLOOKUP(B218,Demand!E:E,Demand!A:A)&amp;" "&amp;_xlfn.XLOOKUP(B218,Demand!E:E,Demand!B:B)&amp;" "&amp;_xlfn.XLOOKUP(B218,Demand!E:E,Demand!C:C)&amp;" "&amp;_xlfn.XLOOKUP(B218,Demand!E:E,Demand!D:D)</f>
        <v xml:space="preserve">DEMAND - Transportation Passenger Other Buses </v>
      </c>
      <c r="D218" t="str">
        <f>_xlfn.XLOOKUP(B218,Trans_Demand!A:A,Trans_Demand!B:B)</f>
        <v>M Vkm</v>
      </c>
      <c r="E218" t="s">
        <v>214</v>
      </c>
      <c r="F218">
        <f>Trans_Demand!C214</f>
        <v>2085</v>
      </c>
      <c r="G218" s="11">
        <f>SUMIFS(Trans_Demand!D:D,Trans_Demand!A:A,DMD_TRA!B218,Trans_Demand!C:C,DMD_TRA!F218)</f>
        <v>0</v>
      </c>
    </row>
    <row r="219" spans="2:7">
      <c r="B219" t="str">
        <f>Trans_Demand!A809</f>
        <v>TRAPASOBUDMD</v>
      </c>
      <c r="C219" t="str">
        <f>"DEMAND - "&amp;_xlfn.XLOOKUP(B219,Demand!E:E,Demand!A:A)&amp;" "&amp;_xlfn.XLOOKUP(B219,Demand!E:E,Demand!B:B)&amp;" "&amp;_xlfn.XLOOKUP(B219,Demand!E:E,Demand!C:C)&amp;" "&amp;_xlfn.XLOOKUP(B219,Demand!E:E,Demand!D:D)</f>
        <v xml:space="preserve">DEMAND - Transportation Passenger Other Buses </v>
      </c>
      <c r="D219" t="str">
        <f>_xlfn.XLOOKUP(B219,Trans_Demand!A:A,Trans_Demand!B:B)</f>
        <v>M Vkm</v>
      </c>
      <c r="E219" t="s">
        <v>214</v>
      </c>
      <c r="F219">
        <f>Trans_Demand!C215</f>
        <v>2090</v>
      </c>
      <c r="G219" s="11">
        <f>SUMIFS(Trans_Demand!D:D,Trans_Demand!A:A,DMD_TRA!B219,Trans_Demand!C:C,DMD_TRA!F219)</f>
        <v>0</v>
      </c>
    </row>
    <row r="220" spans="2:7">
      <c r="B220" t="str">
        <f>Trans_Demand!A810</f>
        <v>TRAPASOBUDMD</v>
      </c>
      <c r="C220" t="str">
        <f>"DEMAND - "&amp;_xlfn.XLOOKUP(B220,Demand!E:E,Demand!A:A)&amp;" "&amp;_xlfn.XLOOKUP(B220,Demand!E:E,Demand!B:B)&amp;" "&amp;_xlfn.XLOOKUP(B220,Demand!E:E,Demand!C:C)&amp;" "&amp;_xlfn.XLOOKUP(B220,Demand!E:E,Demand!D:D)</f>
        <v xml:space="preserve">DEMAND - Transportation Passenger Other Buses </v>
      </c>
      <c r="D220" t="str">
        <f>_xlfn.XLOOKUP(B220,Trans_Demand!A:A,Trans_Demand!B:B)</f>
        <v>M Vkm</v>
      </c>
      <c r="E220" t="s">
        <v>214</v>
      </c>
      <c r="F220">
        <f>Trans_Demand!C216</f>
        <v>2095</v>
      </c>
      <c r="G220" s="11">
        <f>SUMIFS(Trans_Demand!D:D,Trans_Demand!A:A,DMD_TRA!B220,Trans_Demand!C:C,DMD_TRA!F220)</f>
        <v>0</v>
      </c>
    </row>
    <row r="221" spans="2:7">
      <c r="B221" t="str">
        <f>Trans_Demand!A811</f>
        <v>TRAPASOBUDMD</v>
      </c>
      <c r="C221" t="str">
        <f>"DEMAND - "&amp;_xlfn.XLOOKUP(B221,Demand!E:E,Demand!A:A)&amp;" "&amp;_xlfn.XLOOKUP(B221,Demand!E:E,Demand!B:B)&amp;" "&amp;_xlfn.XLOOKUP(B221,Demand!E:E,Demand!C:C)&amp;" "&amp;_xlfn.XLOOKUP(B221,Demand!E:E,Demand!D:D)</f>
        <v xml:space="preserve">DEMAND - Transportation Passenger Other Buses </v>
      </c>
      <c r="D221" t="str">
        <f>_xlfn.XLOOKUP(B221,Trans_Demand!A:A,Trans_Demand!B:B)</f>
        <v>M Vkm</v>
      </c>
      <c r="E221" t="s">
        <v>214</v>
      </c>
      <c r="F221">
        <f>Trans_Demand!C217</f>
        <v>2100</v>
      </c>
      <c r="G221" s="11">
        <f>SUMIFS(Trans_Demand!D:D,Trans_Demand!A:A,DMD_TRA!B221,Trans_Demand!C:C,DMD_TRA!F221)</f>
        <v>0</v>
      </c>
    </row>
    <row r="222" spans="2:7">
      <c r="B222" t="str">
        <f>Trans_Demand!A812</f>
        <v>TRAPASRAIDMD</v>
      </c>
      <c r="C222" t="str">
        <f>"DEMAND - "&amp;_xlfn.XLOOKUP(B222,Demand!E:E,Demand!A:A)&amp;" "&amp;_xlfn.XLOOKUP(B222,Demand!E:E,Demand!B:B)&amp;" "&amp;_xlfn.XLOOKUP(B222,Demand!E:E,Demand!C:C)&amp;" "&amp;_xlfn.XLOOKUP(B222,Demand!E:E,Demand!D:D)</f>
        <v xml:space="preserve">DEMAND - Transportation Passenger Rail </v>
      </c>
      <c r="D222" t="str">
        <f>_xlfn.XLOOKUP(B222,Trans_Demand!A:A,Trans_Demand!B:B)</f>
        <v>M Vkm</v>
      </c>
      <c r="E222" t="s">
        <v>214</v>
      </c>
      <c r="F222">
        <f>Trans_Demand!C218</f>
        <v>2019</v>
      </c>
      <c r="G222" s="11">
        <f>SUMIFS(Trans_Demand!D:D,Trans_Demand!A:A,DMD_TRA!B222,Trans_Demand!C:C,DMD_TRA!F222)</f>
        <v>364.1076787683694</v>
      </c>
    </row>
    <row r="223" spans="2:7">
      <c r="B223" t="str">
        <f>Trans_Demand!A813</f>
        <v>TRAPASRAIDMD</v>
      </c>
      <c r="C223" t="str">
        <f>"DEMAND - "&amp;_xlfn.XLOOKUP(B223,Demand!E:E,Demand!A:A)&amp;" "&amp;_xlfn.XLOOKUP(B223,Demand!E:E,Demand!B:B)&amp;" "&amp;_xlfn.XLOOKUP(B223,Demand!E:E,Demand!C:C)&amp;" "&amp;_xlfn.XLOOKUP(B223,Demand!E:E,Demand!D:D)</f>
        <v xml:space="preserve">DEMAND - Transportation Passenger Rail </v>
      </c>
      <c r="D223" t="str">
        <f>_xlfn.XLOOKUP(B223,Trans_Demand!A:A,Trans_Demand!B:B)</f>
        <v>M Vkm</v>
      </c>
      <c r="E223" t="s">
        <v>214</v>
      </c>
      <c r="F223">
        <f>Trans_Demand!C219</f>
        <v>2020</v>
      </c>
      <c r="G223" s="11">
        <f>SUMIFS(Trans_Demand!D:D,Trans_Demand!A:A,DMD_TRA!B223,Trans_Demand!C:C,DMD_TRA!F223)</f>
        <v>365.92821716221118</v>
      </c>
    </row>
    <row r="224" spans="2:7">
      <c r="B224" t="str">
        <f>Trans_Demand!A814</f>
        <v>TRAPASRAIDMD</v>
      </c>
      <c r="C224" t="str">
        <f>"DEMAND - "&amp;_xlfn.XLOOKUP(B224,Demand!E:E,Demand!A:A)&amp;" "&amp;_xlfn.XLOOKUP(B224,Demand!E:E,Demand!B:B)&amp;" "&amp;_xlfn.XLOOKUP(B224,Demand!E:E,Demand!C:C)&amp;" "&amp;_xlfn.XLOOKUP(B224,Demand!E:E,Demand!D:D)</f>
        <v xml:space="preserve">DEMAND - Transportation Passenger Rail </v>
      </c>
      <c r="D224" t="str">
        <f>_xlfn.XLOOKUP(B224,Trans_Demand!A:A,Trans_Demand!B:B)</f>
        <v>M Vkm</v>
      </c>
      <c r="E224" t="s">
        <v>214</v>
      </c>
      <c r="F224">
        <f>Trans_Demand!C220</f>
        <v>2025</v>
      </c>
      <c r="G224" s="11">
        <f>SUMIFS(Trans_Demand!D:D,Trans_Demand!A:A,DMD_TRA!B224,Trans_Demand!C:C,DMD_TRA!F224)</f>
        <v>375.07642259126641</v>
      </c>
    </row>
    <row r="225" spans="2:7">
      <c r="B225" t="str">
        <f>Trans_Demand!A815</f>
        <v>TRAPASRAIDMD</v>
      </c>
      <c r="C225" t="str">
        <f>"DEMAND - "&amp;_xlfn.XLOOKUP(B225,Demand!E:E,Demand!A:A)&amp;" "&amp;_xlfn.XLOOKUP(B225,Demand!E:E,Demand!B:B)&amp;" "&amp;_xlfn.XLOOKUP(B225,Demand!E:E,Demand!C:C)&amp;" "&amp;_xlfn.XLOOKUP(B225,Demand!E:E,Demand!D:D)</f>
        <v xml:space="preserve">DEMAND - Transportation Passenger Rail </v>
      </c>
      <c r="D225" t="str">
        <f>_xlfn.XLOOKUP(B225,Trans_Demand!A:A,Trans_Demand!B:B)</f>
        <v>M Vkm</v>
      </c>
      <c r="E225" t="s">
        <v>214</v>
      </c>
      <c r="F225">
        <f>Trans_Demand!C221</f>
        <v>2030</v>
      </c>
      <c r="G225" s="11">
        <f>SUMIFS(Trans_Demand!D:D,Trans_Demand!A:A,DMD_TRA!B225,Trans_Demand!C:C,DMD_TRA!F225)</f>
        <v>384.45333315604802</v>
      </c>
    </row>
    <row r="226" spans="2:7">
      <c r="B226" t="str">
        <f>Trans_Demand!A816</f>
        <v>TRAPASRAIDMD</v>
      </c>
      <c r="C226" t="str">
        <f>"DEMAND - "&amp;_xlfn.XLOOKUP(B226,Demand!E:E,Demand!A:A)&amp;" "&amp;_xlfn.XLOOKUP(B226,Demand!E:E,Demand!B:B)&amp;" "&amp;_xlfn.XLOOKUP(B226,Demand!E:E,Demand!C:C)&amp;" "&amp;_xlfn.XLOOKUP(B226,Demand!E:E,Demand!D:D)</f>
        <v xml:space="preserve">DEMAND - Transportation Passenger Rail </v>
      </c>
      <c r="D226" t="str">
        <f>_xlfn.XLOOKUP(B226,Trans_Demand!A:A,Trans_Demand!B:B)</f>
        <v>M Vkm</v>
      </c>
      <c r="E226" t="s">
        <v>214</v>
      </c>
      <c r="F226">
        <f>Trans_Demand!C222</f>
        <v>2035</v>
      </c>
      <c r="G226" s="11">
        <f>SUMIFS(Trans_Demand!D:D,Trans_Demand!A:A,DMD_TRA!B226,Trans_Demand!C:C,DMD_TRA!F226)</f>
        <v>394.06466648494921</v>
      </c>
    </row>
    <row r="227" spans="2:7">
      <c r="B227" t="str">
        <f>Trans_Demand!A817</f>
        <v>TRAPASRAIDMD</v>
      </c>
      <c r="C227" t="str">
        <f>"DEMAND - "&amp;_xlfn.XLOOKUP(B227,Demand!E:E,Demand!A:A)&amp;" "&amp;_xlfn.XLOOKUP(B227,Demand!E:E,Demand!B:B)&amp;" "&amp;_xlfn.XLOOKUP(B227,Demand!E:E,Demand!C:C)&amp;" "&amp;_xlfn.XLOOKUP(B227,Demand!E:E,Demand!D:D)</f>
        <v xml:space="preserve">DEMAND - Transportation Passenger Rail </v>
      </c>
      <c r="D227" t="str">
        <f>_xlfn.XLOOKUP(B227,Trans_Demand!A:A,Trans_Demand!B:B)</f>
        <v>M Vkm</v>
      </c>
      <c r="E227" t="s">
        <v>214</v>
      </c>
      <c r="F227">
        <f>Trans_Demand!C223</f>
        <v>2040</v>
      </c>
      <c r="G227" s="11">
        <f>SUMIFS(Trans_Demand!D:D,Trans_Demand!A:A,DMD_TRA!B227,Trans_Demand!C:C,DMD_TRA!F227)</f>
        <v>403.91628314707287</v>
      </c>
    </row>
    <row r="228" spans="2:7">
      <c r="B228" t="str">
        <f>Trans_Demand!A818</f>
        <v>TRAPASRAIDMD</v>
      </c>
      <c r="C228" t="str">
        <f>"DEMAND - "&amp;_xlfn.XLOOKUP(B228,Demand!E:E,Demand!A:A)&amp;" "&amp;_xlfn.XLOOKUP(B228,Demand!E:E,Demand!B:B)&amp;" "&amp;_xlfn.XLOOKUP(B228,Demand!E:E,Demand!C:C)&amp;" "&amp;_xlfn.XLOOKUP(B228,Demand!E:E,Demand!D:D)</f>
        <v xml:space="preserve">DEMAND - Transportation Passenger Rail </v>
      </c>
      <c r="D228" t="str">
        <f>_xlfn.XLOOKUP(B228,Trans_Demand!A:A,Trans_Demand!B:B)</f>
        <v>M Vkm</v>
      </c>
      <c r="E228" t="s">
        <v>214</v>
      </c>
      <c r="F228">
        <f>Trans_Demand!C224</f>
        <v>2045</v>
      </c>
      <c r="G228" s="11">
        <f>SUMIFS(Trans_Demand!D:D,Trans_Demand!A:A,DMD_TRA!B228,Trans_Demand!C:C,DMD_TRA!F228)</f>
        <v>414.01419022574959</v>
      </c>
    </row>
    <row r="229" spans="2:7">
      <c r="B229" t="str">
        <f>Trans_Demand!A819</f>
        <v>TRAPASRAIDMD</v>
      </c>
      <c r="C229" t="str">
        <f>"DEMAND - "&amp;_xlfn.XLOOKUP(B229,Demand!E:E,Demand!A:A)&amp;" "&amp;_xlfn.XLOOKUP(B229,Demand!E:E,Demand!B:B)&amp;" "&amp;_xlfn.XLOOKUP(B229,Demand!E:E,Demand!C:C)&amp;" "&amp;_xlfn.XLOOKUP(B229,Demand!E:E,Demand!D:D)</f>
        <v xml:space="preserve">DEMAND - Transportation Passenger Rail </v>
      </c>
      <c r="D229" t="str">
        <f>_xlfn.XLOOKUP(B229,Trans_Demand!A:A,Trans_Demand!B:B)</f>
        <v>M Vkm</v>
      </c>
      <c r="E229" t="s">
        <v>214</v>
      </c>
      <c r="F229">
        <f>Trans_Demand!C225</f>
        <v>2050</v>
      </c>
      <c r="G229" s="11">
        <f>SUMIFS(Trans_Demand!D:D,Trans_Demand!A:A,DMD_TRA!B229,Trans_Demand!C:C,DMD_TRA!F229)</f>
        <v>424.36454498139341</v>
      </c>
    </row>
    <row r="230" spans="2:7">
      <c r="B230" t="str">
        <f>Trans_Demand!A820</f>
        <v>TRAPASRAIDMD</v>
      </c>
      <c r="C230" t="str">
        <f>"DEMAND - "&amp;_xlfn.XLOOKUP(B230,Demand!E:E,Demand!A:A)&amp;" "&amp;_xlfn.XLOOKUP(B230,Demand!E:E,Demand!B:B)&amp;" "&amp;_xlfn.XLOOKUP(B230,Demand!E:E,Demand!C:C)&amp;" "&amp;_xlfn.XLOOKUP(B230,Demand!E:E,Demand!D:D)</f>
        <v xml:space="preserve">DEMAND - Transportation Passenger Rail </v>
      </c>
      <c r="D230" t="str">
        <f>_xlfn.XLOOKUP(B230,Trans_Demand!A:A,Trans_Demand!B:B)</f>
        <v>M Vkm</v>
      </c>
      <c r="E230" t="s">
        <v>214</v>
      </c>
      <c r="F230">
        <f>Trans_Demand!C226</f>
        <v>2055</v>
      </c>
      <c r="G230" s="11">
        <f>SUMIFS(Trans_Demand!D:D,Trans_Demand!A:A,DMD_TRA!B230,Trans_Demand!C:C,DMD_TRA!F230)</f>
        <v>434.97365860592822</v>
      </c>
    </row>
    <row r="231" spans="2:7">
      <c r="B231" t="str">
        <f>Trans_Demand!A821</f>
        <v>TRAPASRAIDMD</v>
      </c>
      <c r="C231" t="str">
        <f>"DEMAND - "&amp;_xlfn.XLOOKUP(B231,Demand!E:E,Demand!A:A)&amp;" "&amp;_xlfn.XLOOKUP(B231,Demand!E:E,Demand!B:B)&amp;" "&amp;_xlfn.XLOOKUP(B231,Demand!E:E,Demand!C:C)&amp;" "&amp;_xlfn.XLOOKUP(B231,Demand!E:E,Demand!D:D)</f>
        <v xml:space="preserve">DEMAND - Transportation Passenger Rail </v>
      </c>
      <c r="D231" t="str">
        <f>_xlfn.XLOOKUP(B231,Trans_Demand!A:A,Trans_Demand!B:B)</f>
        <v>M Vkm</v>
      </c>
      <c r="E231" t="s">
        <v>214</v>
      </c>
      <c r="F231">
        <f>Trans_Demand!C227</f>
        <v>2060</v>
      </c>
      <c r="G231" s="11">
        <f>SUMIFS(Trans_Demand!D:D,Trans_Demand!A:A,DMD_TRA!B231,Trans_Demand!C:C,DMD_TRA!F231)</f>
        <v>445.84800007107629</v>
      </c>
    </row>
    <row r="232" spans="2:7">
      <c r="B232" t="str">
        <f>Trans_Demand!A822</f>
        <v>TRAPASRAIDMD</v>
      </c>
      <c r="C232" t="str">
        <f>"DEMAND - "&amp;_xlfn.XLOOKUP(B232,Demand!E:E,Demand!A:A)&amp;" "&amp;_xlfn.XLOOKUP(B232,Demand!E:E,Demand!B:B)&amp;" "&amp;_xlfn.XLOOKUP(B232,Demand!E:E,Demand!C:C)&amp;" "&amp;_xlfn.XLOOKUP(B232,Demand!E:E,Demand!D:D)</f>
        <v xml:space="preserve">DEMAND - Transportation Passenger Rail </v>
      </c>
      <c r="D232" t="str">
        <f>_xlfn.XLOOKUP(B232,Trans_Demand!A:A,Trans_Demand!B:B)</f>
        <v>M Vkm</v>
      </c>
      <c r="E232" t="s">
        <v>214</v>
      </c>
      <c r="F232">
        <f>Trans_Demand!C228</f>
        <v>2065</v>
      </c>
      <c r="G232" s="11">
        <f>SUMIFS(Trans_Demand!D:D,Trans_Demand!A:A,DMD_TRA!B232,Trans_Demand!C:C,DMD_TRA!F232)</f>
        <v>456.99420007285318</v>
      </c>
    </row>
    <row r="233" spans="2:7">
      <c r="B233" t="str">
        <f>Trans_Demand!A823</f>
        <v>TRAPASRAIDMD</v>
      </c>
      <c r="C233" t="str">
        <f>"DEMAND - "&amp;_xlfn.XLOOKUP(B233,Demand!E:E,Demand!A:A)&amp;" "&amp;_xlfn.XLOOKUP(B233,Demand!E:E,Demand!B:B)&amp;" "&amp;_xlfn.XLOOKUP(B233,Demand!E:E,Demand!C:C)&amp;" "&amp;_xlfn.XLOOKUP(B233,Demand!E:E,Demand!D:D)</f>
        <v xml:space="preserve">DEMAND - Transportation Passenger Rail </v>
      </c>
      <c r="D233" t="str">
        <f>_xlfn.XLOOKUP(B233,Trans_Demand!A:A,Trans_Demand!B:B)</f>
        <v>M Vkm</v>
      </c>
      <c r="E233" t="s">
        <v>214</v>
      </c>
      <c r="F233">
        <f>Trans_Demand!C229</f>
        <v>2070</v>
      </c>
      <c r="G233" s="11">
        <f>SUMIFS(Trans_Demand!D:D,Trans_Demand!A:A,DMD_TRA!B233,Trans_Demand!C:C,DMD_TRA!F233)</f>
        <v>468.41905507467447</v>
      </c>
    </row>
    <row r="234" spans="2:7">
      <c r="B234" t="str">
        <f>Trans_Demand!A824</f>
        <v>TRAPASRAIDMD</v>
      </c>
      <c r="C234" t="str">
        <f>"DEMAND - "&amp;_xlfn.XLOOKUP(B234,Demand!E:E,Demand!A:A)&amp;" "&amp;_xlfn.XLOOKUP(B234,Demand!E:E,Demand!B:B)&amp;" "&amp;_xlfn.XLOOKUP(B234,Demand!E:E,Demand!C:C)&amp;" "&amp;_xlfn.XLOOKUP(B234,Demand!E:E,Demand!D:D)</f>
        <v xml:space="preserve">DEMAND - Transportation Passenger Rail </v>
      </c>
      <c r="D234" t="str">
        <f>_xlfn.XLOOKUP(B234,Trans_Demand!A:A,Trans_Demand!B:B)</f>
        <v>M Vkm</v>
      </c>
      <c r="E234" t="s">
        <v>214</v>
      </c>
      <c r="F234">
        <f>Trans_Demand!C230</f>
        <v>2075</v>
      </c>
      <c r="G234" s="11">
        <f>SUMIFS(Trans_Demand!D:D,Trans_Demand!A:A,DMD_TRA!B234,Trans_Demand!C:C,DMD_TRA!F234)</f>
        <v>480.12953145154142</v>
      </c>
    </row>
    <row r="235" spans="2:7">
      <c r="B235" t="str">
        <f>Trans_Demand!A825</f>
        <v>TRAPASRAIDMD</v>
      </c>
      <c r="C235" t="str">
        <f>"DEMAND - "&amp;_xlfn.XLOOKUP(B235,Demand!E:E,Demand!A:A)&amp;" "&amp;_xlfn.XLOOKUP(B235,Demand!E:E,Demand!B:B)&amp;" "&amp;_xlfn.XLOOKUP(B235,Demand!E:E,Demand!C:C)&amp;" "&amp;_xlfn.XLOOKUP(B235,Demand!E:E,Demand!D:D)</f>
        <v xml:space="preserve">DEMAND - Transportation Passenger Rail </v>
      </c>
      <c r="D235" t="str">
        <f>_xlfn.XLOOKUP(B235,Trans_Demand!A:A,Trans_Demand!B:B)</f>
        <v>M Vkm</v>
      </c>
      <c r="E235" t="s">
        <v>214</v>
      </c>
      <c r="F235">
        <f>Trans_Demand!C231</f>
        <v>2080</v>
      </c>
      <c r="G235" s="11">
        <f>SUMIFS(Trans_Demand!D:D,Trans_Demand!A:A,DMD_TRA!B235,Trans_Demand!C:C,DMD_TRA!F235)</f>
        <v>492.13276973782979</v>
      </c>
    </row>
    <row r="236" spans="2:7">
      <c r="B236" t="str">
        <f>Trans_Demand!A826</f>
        <v>TRAPASRAIDMD</v>
      </c>
      <c r="C236" t="str">
        <f>"DEMAND - "&amp;_xlfn.XLOOKUP(B236,Demand!E:E,Demand!A:A)&amp;" "&amp;_xlfn.XLOOKUP(B236,Demand!E:E,Demand!B:B)&amp;" "&amp;_xlfn.XLOOKUP(B236,Demand!E:E,Demand!C:C)&amp;" "&amp;_xlfn.XLOOKUP(B236,Demand!E:E,Demand!D:D)</f>
        <v xml:space="preserve">DEMAND - Transportation Passenger Rail </v>
      </c>
      <c r="D236" t="str">
        <f>_xlfn.XLOOKUP(B236,Trans_Demand!A:A,Trans_Demand!B:B)</f>
        <v>M Vkm</v>
      </c>
      <c r="E236" t="s">
        <v>214</v>
      </c>
      <c r="F236">
        <f>Trans_Demand!C232</f>
        <v>2085</v>
      </c>
      <c r="G236" s="11">
        <f>SUMIFS(Trans_Demand!D:D,Trans_Demand!A:A,DMD_TRA!B236,Trans_Demand!C:C,DMD_TRA!F236)</f>
        <v>504.43608898127547</v>
      </c>
    </row>
    <row r="237" spans="2:7">
      <c r="B237" t="str">
        <f>Trans_Demand!A827</f>
        <v>TRAPASRAIDMD</v>
      </c>
      <c r="C237" t="str">
        <f>"DEMAND - "&amp;_xlfn.XLOOKUP(B237,Demand!E:E,Demand!A:A)&amp;" "&amp;_xlfn.XLOOKUP(B237,Demand!E:E,Demand!B:B)&amp;" "&amp;_xlfn.XLOOKUP(B237,Demand!E:E,Demand!C:C)&amp;" "&amp;_xlfn.XLOOKUP(B237,Demand!E:E,Demand!D:D)</f>
        <v xml:space="preserve">DEMAND - Transportation Passenger Rail </v>
      </c>
      <c r="D237" t="str">
        <f>_xlfn.XLOOKUP(B237,Trans_Demand!A:A,Trans_Demand!B:B)</f>
        <v>M Vkm</v>
      </c>
      <c r="E237" t="s">
        <v>214</v>
      </c>
      <c r="F237">
        <f>Trans_Demand!C233</f>
        <v>2090</v>
      </c>
      <c r="G237" s="11">
        <f>SUMIFS(Trans_Demand!D:D,Trans_Demand!A:A,DMD_TRA!B237,Trans_Demand!C:C,DMD_TRA!F237)</f>
        <v>517.04699120580733</v>
      </c>
    </row>
    <row r="238" spans="2:7">
      <c r="B238" t="str">
        <f>Trans_Demand!A828</f>
        <v>TRAPASRAIDMD</v>
      </c>
      <c r="C238" t="str">
        <f>"DEMAND - "&amp;_xlfn.XLOOKUP(B238,Demand!E:E,Demand!A:A)&amp;" "&amp;_xlfn.XLOOKUP(B238,Demand!E:E,Demand!B:B)&amp;" "&amp;_xlfn.XLOOKUP(B238,Demand!E:E,Demand!C:C)&amp;" "&amp;_xlfn.XLOOKUP(B238,Demand!E:E,Demand!D:D)</f>
        <v xml:space="preserve">DEMAND - Transportation Passenger Rail </v>
      </c>
      <c r="D238" t="str">
        <f>_xlfn.XLOOKUP(B238,Trans_Demand!A:A,Trans_Demand!B:B)</f>
        <v>M Vkm</v>
      </c>
      <c r="E238" t="s">
        <v>214</v>
      </c>
      <c r="F238">
        <f>Trans_Demand!C234</f>
        <v>2095</v>
      </c>
      <c r="G238" s="11">
        <f>SUMIFS(Trans_Demand!D:D,Trans_Demand!A:A,DMD_TRA!B238,Trans_Demand!C:C,DMD_TRA!F238)</f>
        <v>529.97316598595251</v>
      </c>
    </row>
    <row r="239" spans="2:7">
      <c r="B239" t="str">
        <f>Trans_Demand!A829</f>
        <v>TRAPASRAIDMD</v>
      </c>
      <c r="C239" t="str">
        <f>"DEMAND - "&amp;_xlfn.XLOOKUP(B239,Demand!E:E,Demand!A:A)&amp;" "&amp;_xlfn.XLOOKUP(B239,Demand!E:E,Demand!B:B)&amp;" "&amp;_xlfn.XLOOKUP(B239,Demand!E:E,Demand!C:C)&amp;" "&amp;_xlfn.XLOOKUP(B239,Demand!E:E,Demand!D:D)</f>
        <v xml:space="preserve">DEMAND - Transportation Passenger Rail </v>
      </c>
      <c r="D239" t="str">
        <f>_xlfn.XLOOKUP(B239,Trans_Demand!A:A,Trans_Demand!B:B)</f>
        <v>M Vkm</v>
      </c>
      <c r="E239" t="s">
        <v>214</v>
      </c>
      <c r="F239">
        <f>Trans_Demand!C235</f>
        <v>2100</v>
      </c>
      <c r="G239" s="11">
        <f>SUMIFS(Trans_Demand!D:D,Trans_Demand!A:A,DMD_TRA!B239,Trans_Demand!C:C,DMD_TRA!F239)</f>
        <v>543.22249513560132</v>
      </c>
    </row>
    <row r="240" spans="2:7">
      <c r="B240" t="str">
        <f>Trans_Demand!A830</f>
        <v>TRAPASTRMDMD</v>
      </c>
      <c r="C240" t="str">
        <f>"DEMAND - "&amp;_xlfn.XLOOKUP(B240,Demand!E:E,Demand!A:A)&amp;" "&amp;_xlfn.XLOOKUP(B240,Demand!E:E,Demand!B:B)&amp;" "&amp;_xlfn.XLOOKUP(B240,Demand!E:E,Demand!C:C)&amp;" "&amp;_xlfn.XLOOKUP(B240,Demand!E:E,Demand!D:D)</f>
        <v xml:space="preserve">DEMAND - Transportation Passenger Tram </v>
      </c>
      <c r="D240" t="str">
        <f>_xlfn.XLOOKUP(B240,Trans_Demand!A:A,Trans_Demand!B:B)</f>
        <v>M Vkm</v>
      </c>
      <c r="E240" t="s">
        <v>214</v>
      </c>
      <c r="F240">
        <f>Trans_Demand!C236</f>
        <v>2019</v>
      </c>
      <c r="G240" s="11">
        <f>SUMIFS(Trans_Demand!D:D,Trans_Demand!A:A,DMD_TRA!B240,Trans_Demand!C:C,DMD_TRA!F240)</f>
        <v>0</v>
      </c>
    </row>
    <row r="241" spans="2:7">
      <c r="B241" t="str">
        <f>Trans_Demand!A831</f>
        <v>TRAPASTRMDMD</v>
      </c>
      <c r="C241" t="str">
        <f>"DEMAND - "&amp;_xlfn.XLOOKUP(B241,Demand!E:E,Demand!A:A)&amp;" "&amp;_xlfn.XLOOKUP(B241,Demand!E:E,Demand!B:B)&amp;" "&amp;_xlfn.XLOOKUP(B241,Demand!E:E,Demand!C:C)&amp;" "&amp;_xlfn.XLOOKUP(B241,Demand!E:E,Demand!D:D)</f>
        <v xml:space="preserve">DEMAND - Transportation Passenger Tram </v>
      </c>
      <c r="D241" t="str">
        <f>_xlfn.XLOOKUP(B241,Trans_Demand!A:A,Trans_Demand!B:B)</f>
        <v>M Vkm</v>
      </c>
      <c r="E241" t="s">
        <v>214</v>
      </c>
      <c r="F241">
        <f>Trans_Demand!C237</f>
        <v>2020</v>
      </c>
      <c r="G241" s="11">
        <f>SUMIFS(Trans_Demand!D:D,Trans_Demand!A:A,DMD_TRA!B241,Trans_Demand!C:C,DMD_TRA!F241)</f>
        <v>0</v>
      </c>
    </row>
    <row r="242" spans="2:7">
      <c r="B242" t="str">
        <f>Trans_Demand!A832</f>
        <v>TRAPASTRMDMD</v>
      </c>
      <c r="C242" t="str">
        <f>"DEMAND - "&amp;_xlfn.XLOOKUP(B242,Demand!E:E,Demand!A:A)&amp;" "&amp;_xlfn.XLOOKUP(B242,Demand!E:E,Demand!B:B)&amp;" "&amp;_xlfn.XLOOKUP(B242,Demand!E:E,Demand!C:C)&amp;" "&amp;_xlfn.XLOOKUP(B242,Demand!E:E,Demand!D:D)</f>
        <v xml:space="preserve">DEMAND - Transportation Passenger Tram </v>
      </c>
      <c r="D242" t="str">
        <f>_xlfn.XLOOKUP(B242,Trans_Demand!A:A,Trans_Demand!B:B)</f>
        <v>M Vkm</v>
      </c>
      <c r="E242" t="s">
        <v>214</v>
      </c>
      <c r="F242">
        <f>Trans_Demand!C238</f>
        <v>2025</v>
      </c>
      <c r="G242" s="11">
        <f>SUMIFS(Trans_Demand!D:D,Trans_Demand!A:A,DMD_TRA!B242,Trans_Demand!C:C,DMD_TRA!F242)</f>
        <v>0</v>
      </c>
    </row>
    <row r="243" spans="2:7">
      <c r="B243" t="str">
        <f>Trans_Demand!A833</f>
        <v>TRAPASTRMDMD</v>
      </c>
      <c r="C243" t="str">
        <f>"DEMAND - "&amp;_xlfn.XLOOKUP(B243,Demand!E:E,Demand!A:A)&amp;" "&amp;_xlfn.XLOOKUP(B243,Demand!E:E,Demand!B:B)&amp;" "&amp;_xlfn.XLOOKUP(B243,Demand!E:E,Demand!C:C)&amp;" "&amp;_xlfn.XLOOKUP(B243,Demand!E:E,Demand!D:D)</f>
        <v xml:space="preserve">DEMAND - Transportation Passenger Tram </v>
      </c>
      <c r="D243" t="str">
        <f>_xlfn.XLOOKUP(B243,Trans_Demand!A:A,Trans_Demand!B:B)</f>
        <v>M Vkm</v>
      </c>
      <c r="E243" t="s">
        <v>214</v>
      </c>
      <c r="F243">
        <f>Trans_Demand!C239</f>
        <v>2030</v>
      </c>
      <c r="G243" s="11">
        <f>SUMIFS(Trans_Demand!D:D,Trans_Demand!A:A,DMD_TRA!B243,Trans_Demand!C:C,DMD_TRA!F243)</f>
        <v>0</v>
      </c>
    </row>
    <row r="244" spans="2:7">
      <c r="B244" t="str">
        <f>Trans_Demand!A834</f>
        <v>TRAPASTRMDMD</v>
      </c>
      <c r="C244" t="str">
        <f>"DEMAND - "&amp;_xlfn.XLOOKUP(B244,Demand!E:E,Demand!A:A)&amp;" "&amp;_xlfn.XLOOKUP(B244,Demand!E:E,Demand!B:B)&amp;" "&amp;_xlfn.XLOOKUP(B244,Demand!E:E,Demand!C:C)&amp;" "&amp;_xlfn.XLOOKUP(B244,Demand!E:E,Demand!D:D)</f>
        <v xml:space="preserve">DEMAND - Transportation Passenger Tram </v>
      </c>
      <c r="D244" t="str">
        <f>_xlfn.XLOOKUP(B244,Trans_Demand!A:A,Trans_Demand!B:B)</f>
        <v>M Vkm</v>
      </c>
      <c r="E244" t="s">
        <v>214</v>
      </c>
      <c r="F244">
        <f>Trans_Demand!C240</f>
        <v>2035</v>
      </c>
      <c r="G244" s="11">
        <f>SUMIFS(Trans_Demand!D:D,Trans_Demand!A:A,DMD_TRA!B244,Trans_Demand!C:C,DMD_TRA!F244)</f>
        <v>0</v>
      </c>
    </row>
    <row r="245" spans="2:7">
      <c r="B245" t="str">
        <f>Trans_Demand!A835</f>
        <v>TRAPASTRMDMD</v>
      </c>
      <c r="C245" t="str">
        <f>"DEMAND - "&amp;_xlfn.XLOOKUP(B245,Demand!E:E,Demand!A:A)&amp;" "&amp;_xlfn.XLOOKUP(B245,Demand!E:E,Demand!B:B)&amp;" "&amp;_xlfn.XLOOKUP(B245,Demand!E:E,Demand!C:C)&amp;" "&amp;_xlfn.XLOOKUP(B245,Demand!E:E,Demand!D:D)</f>
        <v xml:space="preserve">DEMAND - Transportation Passenger Tram </v>
      </c>
      <c r="D245" t="str">
        <f>_xlfn.XLOOKUP(B245,Trans_Demand!A:A,Trans_Demand!B:B)</f>
        <v>M Vkm</v>
      </c>
      <c r="E245" t="s">
        <v>214</v>
      </c>
      <c r="F245">
        <f>Trans_Demand!C241</f>
        <v>2040</v>
      </c>
      <c r="G245" s="11">
        <f>SUMIFS(Trans_Demand!D:D,Trans_Demand!A:A,DMD_TRA!B245,Trans_Demand!C:C,DMD_TRA!F245)</f>
        <v>0</v>
      </c>
    </row>
    <row r="246" spans="2:7">
      <c r="B246" t="str">
        <f>Trans_Demand!A836</f>
        <v>TRAPASTRMDMD</v>
      </c>
      <c r="C246" t="str">
        <f>"DEMAND - "&amp;_xlfn.XLOOKUP(B246,Demand!E:E,Demand!A:A)&amp;" "&amp;_xlfn.XLOOKUP(B246,Demand!E:E,Demand!B:B)&amp;" "&amp;_xlfn.XLOOKUP(B246,Demand!E:E,Demand!C:C)&amp;" "&amp;_xlfn.XLOOKUP(B246,Demand!E:E,Demand!D:D)</f>
        <v xml:space="preserve">DEMAND - Transportation Passenger Tram </v>
      </c>
      <c r="D246" t="str">
        <f>_xlfn.XLOOKUP(B246,Trans_Demand!A:A,Trans_Demand!B:B)</f>
        <v>M Vkm</v>
      </c>
      <c r="E246" t="s">
        <v>214</v>
      </c>
      <c r="F246">
        <f>Trans_Demand!C242</f>
        <v>2045</v>
      </c>
      <c r="G246" s="11">
        <f>SUMIFS(Trans_Demand!D:D,Trans_Demand!A:A,DMD_TRA!B246,Trans_Demand!C:C,DMD_TRA!F246)</f>
        <v>0</v>
      </c>
    </row>
    <row r="247" spans="2:7">
      <c r="B247" t="str">
        <f>Trans_Demand!A837</f>
        <v>TRAPASTRMDMD</v>
      </c>
      <c r="C247" t="str">
        <f>"DEMAND - "&amp;_xlfn.XLOOKUP(B247,Demand!E:E,Demand!A:A)&amp;" "&amp;_xlfn.XLOOKUP(B247,Demand!E:E,Demand!B:B)&amp;" "&amp;_xlfn.XLOOKUP(B247,Demand!E:E,Demand!C:C)&amp;" "&amp;_xlfn.XLOOKUP(B247,Demand!E:E,Demand!D:D)</f>
        <v xml:space="preserve">DEMAND - Transportation Passenger Tram </v>
      </c>
      <c r="D247" t="str">
        <f>_xlfn.XLOOKUP(B247,Trans_Demand!A:A,Trans_Demand!B:B)</f>
        <v>M Vkm</v>
      </c>
      <c r="E247" t="s">
        <v>214</v>
      </c>
      <c r="F247">
        <f>Trans_Demand!C243</f>
        <v>2050</v>
      </c>
      <c r="G247" s="11">
        <f>SUMIFS(Trans_Demand!D:D,Trans_Demand!A:A,DMD_TRA!B247,Trans_Demand!C:C,DMD_TRA!F247)</f>
        <v>0</v>
      </c>
    </row>
    <row r="248" spans="2:7">
      <c r="B248" t="str">
        <f>Trans_Demand!A838</f>
        <v>TRAPASTRMDMD</v>
      </c>
      <c r="C248" t="str">
        <f>"DEMAND - "&amp;_xlfn.XLOOKUP(B248,Demand!E:E,Demand!A:A)&amp;" "&amp;_xlfn.XLOOKUP(B248,Demand!E:E,Demand!B:B)&amp;" "&amp;_xlfn.XLOOKUP(B248,Demand!E:E,Demand!C:C)&amp;" "&amp;_xlfn.XLOOKUP(B248,Demand!E:E,Demand!D:D)</f>
        <v xml:space="preserve">DEMAND - Transportation Passenger Tram </v>
      </c>
      <c r="D248" t="str">
        <f>_xlfn.XLOOKUP(B248,Trans_Demand!A:A,Trans_Demand!B:B)</f>
        <v>M Vkm</v>
      </c>
      <c r="E248" t="s">
        <v>214</v>
      </c>
      <c r="F248">
        <f>Trans_Demand!C244</f>
        <v>2055</v>
      </c>
      <c r="G248" s="11">
        <f>SUMIFS(Trans_Demand!D:D,Trans_Demand!A:A,DMD_TRA!B248,Trans_Demand!C:C,DMD_TRA!F248)</f>
        <v>0</v>
      </c>
    </row>
    <row r="249" spans="2:7">
      <c r="B249" t="str">
        <f>Trans_Demand!A839</f>
        <v>TRAPASTRMDMD</v>
      </c>
      <c r="C249" t="str">
        <f>"DEMAND - "&amp;_xlfn.XLOOKUP(B249,Demand!E:E,Demand!A:A)&amp;" "&amp;_xlfn.XLOOKUP(B249,Demand!E:E,Demand!B:B)&amp;" "&amp;_xlfn.XLOOKUP(B249,Demand!E:E,Demand!C:C)&amp;" "&amp;_xlfn.XLOOKUP(B249,Demand!E:E,Demand!D:D)</f>
        <v xml:space="preserve">DEMAND - Transportation Passenger Tram </v>
      </c>
      <c r="D249" t="str">
        <f>_xlfn.XLOOKUP(B249,Trans_Demand!A:A,Trans_Demand!B:B)</f>
        <v>M Vkm</v>
      </c>
      <c r="E249" t="s">
        <v>214</v>
      </c>
      <c r="F249">
        <f>Trans_Demand!C245</f>
        <v>2060</v>
      </c>
      <c r="G249" s="11">
        <f>SUMIFS(Trans_Demand!D:D,Trans_Demand!A:A,DMD_TRA!B249,Trans_Demand!C:C,DMD_TRA!F249)</f>
        <v>0</v>
      </c>
    </row>
    <row r="250" spans="2:7">
      <c r="B250" t="str">
        <f>Trans_Demand!A840</f>
        <v>TRAPASTRMDMD</v>
      </c>
      <c r="C250" t="str">
        <f>"DEMAND - "&amp;_xlfn.XLOOKUP(B250,Demand!E:E,Demand!A:A)&amp;" "&amp;_xlfn.XLOOKUP(B250,Demand!E:E,Demand!B:B)&amp;" "&amp;_xlfn.XLOOKUP(B250,Demand!E:E,Demand!C:C)&amp;" "&amp;_xlfn.XLOOKUP(B250,Demand!E:E,Demand!D:D)</f>
        <v xml:space="preserve">DEMAND - Transportation Passenger Tram </v>
      </c>
      <c r="D250" t="str">
        <f>_xlfn.XLOOKUP(B250,Trans_Demand!A:A,Trans_Demand!B:B)</f>
        <v>M Vkm</v>
      </c>
      <c r="E250" t="s">
        <v>214</v>
      </c>
      <c r="F250">
        <f>Trans_Demand!C246</f>
        <v>2065</v>
      </c>
      <c r="G250" s="11">
        <f>SUMIFS(Trans_Demand!D:D,Trans_Demand!A:A,DMD_TRA!B250,Trans_Demand!C:C,DMD_TRA!F250)</f>
        <v>0</v>
      </c>
    </row>
    <row r="251" spans="2:7">
      <c r="B251" t="str">
        <f>Trans_Demand!A841</f>
        <v>TRAPASTRMDMD</v>
      </c>
      <c r="C251" t="str">
        <f>"DEMAND - "&amp;_xlfn.XLOOKUP(B251,Demand!E:E,Demand!A:A)&amp;" "&amp;_xlfn.XLOOKUP(B251,Demand!E:E,Demand!B:B)&amp;" "&amp;_xlfn.XLOOKUP(B251,Demand!E:E,Demand!C:C)&amp;" "&amp;_xlfn.XLOOKUP(B251,Demand!E:E,Demand!D:D)</f>
        <v xml:space="preserve">DEMAND - Transportation Passenger Tram </v>
      </c>
      <c r="D251" t="str">
        <f>_xlfn.XLOOKUP(B251,Trans_Demand!A:A,Trans_Demand!B:B)</f>
        <v>M Vkm</v>
      </c>
      <c r="E251" t="s">
        <v>214</v>
      </c>
      <c r="F251">
        <f>Trans_Demand!C247</f>
        <v>2070</v>
      </c>
      <c r="G251" s="11">
        <f>SUMIFS(Trans_Demand!D:D,Trans_Demand!A:A,DMD_TRA!B251,Trans_Demand!C:C,DMD_TRA!F251)</f>
        <v>0</v>
      </c>
    </row>
    <row r="252" spans="2:7">
      <c r="B252" t="str">
        <f>Trans_Demand!A842</f>
        <v>TRAPASTRMDMD</v>
      </c>
      <c r="C252" t="str">
        <f>"DEMAND - "&amp;_xlfn.XLOOKUP(B252,Demand!E:E,Demand!A:A)&amp;" "&amp;_xlfn.XLOOKUP(B252,Demand!E:E,Demand!B:B)&amp;" "&amp;_xlfn.XLOOKUP(B252,Demand!E:E,Demand!C:C)&amp;" "&amp;_xlfn.XLOOKUP(B252,Demand!E:E,Demand!D:D)</f>
        <v xml:space="preserve">DEMAND - Transportation Passenger Tram </v>
      </c>
      <c r="D252" t="str">
        <f>_xlfn.XLOOKUP(B252,Trans_Demand!A:A,Trans_Demand!B:B)</f>
        <v>M Vkm</v>
      </c>
      <c r="E252" t="s">
        <v>214</v>
      </c>
      <c r="F252">
        <f>Trans_Demand!C248</f>
        <v>2075</v>
      </c>
      <c r="G252" s="11">
        <f>SUMIFS(Trans_Demand!D:D,Trans_Demand!A:A,DMD_TRA!B252,Trans_Demand!C:C,DMD_TRA!F252)</f>
        <v>0</v>
      </c>
    </row>
    <row r="253" spans="2:7">
      <c r="B253" t="str">
        <f>Trans_Demand!A843</f>
        <v>TRAPASTRMDMD</v>
      </c>
      <c r="C253" t="str">
        <f>"DEMAND - "&amp;_xlfn.XLOOKUP(B253,Demand!E:E,Demand!A:A)&amp;" "&amp;_xlfn.XLOOKUP(B253,Demand!E:E,Demand!B:B)&amp;" "&amp;_xlfn.XLOOKUP(B253,Demand!E:E,Demand!C:C)&amp;" "&amp;_xlfn.XLOOKUP(B253,Demand!E:E,Demand!D:D)</f>
        <v xml:space="preserve">DEMAND - Transportation Passenger Tram </v>
      </c>
      <c r="D253" t="str">
        <f>_xlfn.XLOOKUP(B253,Trans_Demand!A:A,Trans_Demand!B:B)</f>
        <v>M Vkm</v>
      </c>
      <c r="E253" t="s">
        <v>214</v>
      </c>
      <c r="F253">
        <f>Trans_Demand!C249</f>
        <v>2080</v>
      </c>
      <c r="G253" s="11">
        <f>SUMIFS(Trans_Demand!D:D,Trans_Demand!A:A,DMD_TRA!B253,Trans_Demand!C:C,DMD_TRA!F253)</f>
        <v>0</v>
      </c>
    </row>
    <row r="254" spans="2:7">
      <c r="B254" t="str">
        <f>Trans_Demand!A844</f>
        <v>TRAPASTRMDMD</v>
      </c>
      <c r="C254" t="str">
        <f>"DEMAND - "&amp;_xlfn.XLOOKUP(B254,Demand!E:E,Demand!A:A)&amp;" "&amp;_xlfn.XLOOKUP(B254,Demand!E:E,Demand!B:B)&amp;" "&amp;_xlfn.XLOOKUP(B254,Demand!E:E,Demand!C:C)&amp;" "&amp;_xlfn.XLOOKUP(B254,Demand!E:E,Demand!D:D)</f>
        <v xml:space="preserve">DEMAND - Transportation Passenger Tram </v>
      </c>
      <c r="D254" t="str">
        <f>_xlfn.XLOOKUP(B254,Trans_Demand!A:A,Trans_Demand!B:B)</f>
        <v>M Vkm</v>
      </c>
      <c r="E254" t="s">
        <v>214</v>
      </c>
      <c r="F254">
        <f>Trans_Demand!C250</f>
        <v>2085</v>
      </c>
      <c r="G254" s="11">
        <f>SUMIFS(Trans_Demand!D:D,Trans_Demand!A:A,DMD_TRA!B254,Trans_Demand!C:C,DMD_TRA!F254)</f>
        <v>0</v>
      </c>
    </row>
    <row r="255" spans="2:7">
      <c r="B255" t="str">
        <f>Trans_Demand!A845</f>
        <v>TRAPASTRMDMD</v>
      </c>
      <c r="C255" t="str">
        <f>"DEMAND - "&amp;_xlfn.XLOOKUP(B255,Demand!E:E,Demand!A:A)&amp;" "&amp;_xlfn.XLOOKUP(B255,Demand!E:E,Demand!B:B)&amp;" "&amp;_xlfn.XLOOKUP(B255,Demand!E:E,Demand!C:C)&amp;" "&amp;_xlfn.XLOOKUP(B255,Demand!E:E,Demand!D:D)</f>
        <v xml:space="preserve">DEMAND - Transportation Passenger Tram </v>
      </c>
      <c r="D255" t="str">
        <f>_xlfn.XLOOKUP(B255,Trans_Demand!A:A,Trans_Demand!B:B)</f>
        <v>M Vkm</v>
      </c>
      <c r="E255" t="s">
        <v>214</v>
      </c>
      <c r="F255">
        <f>Trans_Demand!C251</f>
        <v>2090</v>
      </c>
      <c r="G255" s="11">
        <f>SUMIFS(Trans_Demand!D:D,Trans_Demand!A:A,DMD_TRA!B255,Trans_Demand!C:C,DMD_TRA!F255)</f>
        <v>0</v>
      </c>
    </row>
    <row r="256" spans="2:7">
      <c r="B256" t="str">
        <f>Trans_Demand!A846</f>
        <v>TRAPASTRMDMD</v>
      </c>
      <c r="C256" t="str">
        <f>"DEMAND - "&amp;_xlfn.XLOOKUP(B256,Demand!E:E,Demand!A:A)&amp;" "&amp;_xlfn.XLOOKUP(B256,Demand!E:E,Demand!B:B)&amp;" "&amp;_xlfn.XLOOKUP(B256,Demand!E:E,Demand!C:C)&amp;" "&amp;_xlfn.XLOOKUP(B256,Demand!E:E,Demand!D:D)</f>
        <v xml:space="preserve">DEMAND - Transportation Passenger Tram </v>
      </c>
      <c r="D256" t="str">
        <f>_xlfn.XLOOKUP(B256,Trans_Demand!A:A,Trans_Demand!B:B)</f>
        <v>M Vkm</v>
      </c>
      <c r="E256" t="s">
        <v>214</v>
      </c>
      <c r="F256">
        <f>Trans_Demand!C252</f>
        <v>2095</v>
      </c>
      <c r="G256" s="11">
        <f>SUMIFS(Trans_Demand!D:D,Trans_Demand!A:A,DMD_TRA!B256,Trans_Demand!C:C,DMD_TRA!F256)</f>
        <v>0</v>
      </c>
    </row>
    <row r="257" spans="2:7">
      <c r="B257" t="str">
        <f>Trans_Demand!A847</f>
        <v>TRAPASTRMDMD</v>
      </c>
      <c r="C257" t="str">
        <f>"DEMAND - "&amp;_xlfn.XLOOKUP(B257,Demand!E:E,Demand!A:A)&amp;" "&amp;_xlfn.XLOOKUP(B257,Demand!E:E,Demand!B:B)&amp;" "&amp;_xlfn.XLOOKUP(B257,Demand!E:E,Demand!C:C)&amp;" "&amp;_xlfn.XLOOKUP(B257,Demand!E:E,Demand!D:D)</f>
        <v xml:space="preserve">DEMAND - Transportation Passenger Tram </v>
      </c>
      <c r="D257" t="str">
        <f>_xlfn.XLOOKUP(B257,Trans_Demand!A:A,Trans_Demand!B:B)</f>
        <v>M Vkm</v>
      </c>
      <c r="E257" t="s">
        <v>214</v>
      </c>
      <c r="F257">
        <f>Trans_Demand!C253</f>
        <v>2100</v>
      </c>
      <c r="G257" s="11">
        <f>SUMIFS(Trans_Demand!D:D,Trans_Demand!A:A,DMD_TRA!B257,Trans_Demand!C:C,DMD_TRA!F257)</f>
        <v>0</v>
      </c>
    </row>
    <row r="258" spans="2:7">
      <c r="B258" t="str">
        <f>Trans_Demand!A848</f>
        <v>TRAPASSUBDMD</v>
      </c>
      <c r="C258" t="str">
        <f>"DEMAND - "&amp;_xlfn.XLOOKUP(B258,Demand!E:E,Demand!A:A)&amp;" "&amp;_xlfn.XLOOKUP(B258,Demand!E:E,Demand!B:B)&amp;" "&amp;_xlfn.XLOOKUP(B258,Demand!E:E,Demand!C:C)&amp;" "&amp;_xlfn.XLOOKUP(B258,Demand!E:E,Demand!D:D)</f>
        <v xml:space="preserve">DEMAND - Transportation Passenger Subway </v>
      </c>
      <c r="D258" t="str">
        <f>_xlfn.XLOOKUP(B258,Trans_Demand!A:A,Trans_Demand!B:B)</f>
        <v>M Vkm</v>
      </c>
      <c r="E258" t="s">
        <v>214</v>
      </c>
      <c r="F258">
        <f>Trans_Demand!C254</f>
        <v>2019</v>
      </c>
      <c r="G258" s="11">
        <f>SUMIFS(Trans_Demand!D:D,Trans_Demand!A:A,DMD_TRA!B258,Trans_Demand!C:C,DMD_TRA!F258)</f>
        <v>0</v>
      </c>
    </row>
    <row r="259" spans="2:7">
      <c r="B259" t="str">
        <f>Trans_Demand!A849</f>
        <v>TRAPASSUBDMD</v>
      </c>
      <c r="C259" t="str">
        <f>"DEMAND - "&amp;_xlfn.XLOOKUP(B259,Demand!E:E,Demand!A:A)&amp;" "&amp;_xlfn.XLOOKUP(B259,Demand!E:E,Demand!B:B)&amp;" "&amp;_xlfn.XLOOKUP(B259,Demand!E:E,Demand!C:C)&amp;" "&amp;_xlfn.XLOOKUP(B259,Demand!E:E,Demand!D:D)</f>
        <v xml:space="preserve">DEMAND - Transportation Passenger Subway </v>
      </c>
      <c r="D259" t="str">
        <f>_xlfn.XLOOKUP(B259,Trans_Demand!A:A,Trans_Demand!B:B)</f>
        <v>M Vkm</v>
      </c>
      <c r="E259" t="s">
        <v>214</v>
      </c>
      <c r="F259">
        <f>Trans_Demand!C255</f>
        <v>2020</v>
      </c>
      <c r="G259" s="11">
        <f>SUMIFS(Trans_Demand!D:D,Trans_Demand!A:A,DMD_TRA!B259,Trans_Demand!C:C,DMD_TRA!F259)</f>
        <v>0</v>
      </c>
    </row>
    <row r="260" spans="2:7">
      <c r="B260" t="str">
        <f>Trans_Demand!A850</f>
        <v>TRAPASSUBDMD</v>
      </c>
      <c r="C260" t="str">
        <f>"DEMAND - "&amp;_xlfn.XLOOKUP(B260,Demand!E:E,Demand!A:A)&amp;" "&amp;_xlfn.XLOOKUP(B260,Demand!E:E,Demand!B:B)&amp;" "&amp;_xlfn.XLOOKUP(B260,Demand!E:E,Demand!C:C)&amp;" "&amp;_xlfn.XLOOKUP(B260,Demand!E:E,Demand!D:D)</f>
        <v xml:space="preserve">DEMAND - Transportation Passenger Subway </v>
      </c>
      <c r="D260" t="str">
        <f>_xlfn.XLOOKUP(B260,Trans_Demand!A:A,Trans_Demand!B:B)</f>
        <v>M Vkm</v>
      </c>
      <c r="E260" t="s">
        <v>214</v>
      </c>
      <c r="F260">
        <f>Trans_Demand!C256</f>
        <v>2025</v>
      </c>
      <c r="G260" s="11">
        <f>SUMIFS(Trans_Demand!D:D,Trans_Demand!A:A,DMD_TRA!B260,Trans_Demand!C:C,DMD_TRA!F260)</f>
        <v>0</v>
      </c>
    </row>
    <row r="261" spans="2:7">
      <c r="B261" t="str">
        <f>Trans_Demand!A851</f>
        <v>TRAPASSUBDMD</v>
      </c>
      <c r="C261" t="str">
        <f>"DEMAND - "&amp;_xlfn.XLOOKUP(B261,Demand!E:E,Demand!A:A)&amp;" "&amp;_xlfn.XLOOKUP(B261,Demand!E:E,Demand!B:B)&amp;" "&amp;_xlfn.XLOOKUP(B261,Demand!E:E,Demand!C:C)&amp;" "&amp;_xlfn.XLOOKUP(B261,Demand!E:E,Demand!D:D)</f>
        <v xml:space="preserve">DEMAND - Transportation Passenger Subway </v>
      </c>
      <c r="D261" t="str">
        <f>_xlfn.XLOOKUP(B261,Trans_Demand!A:A,Trans_Demand!B:B)</f>
        <v>M Vkm</v>
      </c>
      <c r="E261" t="s">
        <v>214</v>
      </c>
      <c r="F261">
        <f>Trans_Demand!C257</f>
        <v>2030</v>
      </c>
      <c r="G261" s="11">
        <f>SUMIFS(Trans_Demand!D:D,Trans_Demand!A:A,DMD_TRA!B261,Trans_Demand!C:C,DMD_TRA!F261)</f>
        <v>0</v>
      </c>
    </row>
    <row r="262" spans="2:7">
      <c r="B262" t="str">
        <f>Trans_Demand!A852</f>
        <v>TRAPASSUBDMD</v>
      </c>
      <c r="C262" t="str">
        <f>"DEMAND - "&amp;_xlfn.XLOOKUP(B262,Demand!E:E,Demand!A:A)&amp;" "&amp;_xlfn.XLOOKUP(B262,Demand!E:E,Demand!B:B)&amp;" "&amp;_xlfn.XLOOKUP(B262,Demand!E:E,Demand!C:C)&amp;" "&amp;_xlfn.XLOOKUP(B262,Demand!E:E,Demand!D:D)</f>
        <v xml:space="preserve">DEMAND - Transportation Passenger Subway </v>
      </c>
      <c r="D262" t="str">
        <f>_xlfn.XLOOKUP(B262,Trans_Demand!A:A,Trans_Demand!B:B)</f>
        <v>M Vkm</v>
      </c>
      <c r="E262" t="s">
        <v>214</v>
      </c>
      <c r="F262">
        <f>Trans_Demand!C258</f>
        <v>2035</v>
      </c>
      <c r="G262" s="11">
        <f>SUMIFS(Trans_Demand!D:D,Trans_Demand!A:A,DMD_TRA!B262,Trans_Demand!C:C,DMD_TRA!F262)</f>
        <v>0</v>
      </c>
    </row>
    <row r="263" spans="2:7">
      <c r="B263" t="str">
        <f>Trans_Demand!A853</f>
        <v>TRAPASSUBDMD</v>
      </c>
      <c r="C263" t="str">
        <f>"DEMAND - "&amp;_xlfn.XLOOKUP(B263,Demand!E:E,Demand!A:A)&amp;" "&amp;_xlfn.XLOOKUP(B263,Demand!E:E,Demand!B:B)&amp;" "&amp;_xlfn.XLOOKUP(B263,Demand!E:E,Demand!C:C)&amp;" "&amp;_xlfn.XLOOKUP(B263,Demand!E:E,Demand!D:D)</f>
        <v xml:space="preserve">DEMAND - Transportation Passenger Subway </v>
      </c>
      <c r="D263" t="str">
        <f>_xlfn.XLOOKUP(B263,Trans_Demand!A:A,Trans_Demand!B:B)</f>
        <v>M Vkm</v>
      </c>
      <c r="E263" t="s">
        <v>214</v>
      </c>
      <c r="F263">
        <f>Trans_Demand!C259</f>
        <v>2040</v>
      </c>
      <c r="G263" s="11">
        <f>SUMIFS(Trans_Demand!D:D,Trans_Demand!A:A,DMD_TRA!B263,Trans_Demand!C:C,DMD_TRA!F263)</f>
        <v>0</v>
      </c>
    </row>
    <row r="264" spans="2:7">
      <c r="B264" t="str">
        <f>Trans_Demand!A854</f>
        <v>TRAPASSUBDMD</v>
      </c>
      <c r="C264" t="str">
        <f>"DEMAND - "&amp;_xlfn.XLOOKUP(B264,Demand!E:E,Demand!A:A)&amp;" "&amp;_xlfn.XLOOKUP(B264,Demand!E:E,Demand!B:B)&amp;" "&amp;_xlfn.XLOOKUP(B264,Demand!E:E,Demand!C:C)&amp;" "&amp;_xlfn.XLOOKUP(B264,Demand!E:E,Demand!D:D)</f>
        <v xml:space="preserve">DEMAND - Transportation Passenger Subway </v>
      </c>
      <c r="D264" t="str">
        <f>_xlfn.XLOOKUP(B264,Trans_Demand!A:A,Trans_Demand!B:B)</f>
        <v>M Vkm</v>
      </c>
      <c r="E264" t="s">
        <v>214</v>
      </c>
      <c r="F264">
        <f>Trans_Demand!C260</f>
        <v>2045</v>
      </c>
      <c r="G264" s="11">
        <f>SUMIFS(Trans_Demand!D:D,Trans_Demand!A:A,DMD_TRA!B264,Trans_Demand!C:C,DMD_TRA!F264)</f>
        <v>0</v>
      </c>
    </row>
    <row r="265" spans="2:7">
      <c r="B265" t="str">
        <f>Trans_Demand!A855</f>
        <v>TRAPASSUBDMD</v>
      </c>
      <c r="C265" t="str">
        <f>"DEMAND - "&amp;_xlfn.XLOOKUP(B265,Demand!E:E,Demand!A:A)&amp;" "&amp;_xlfn.XLOOKUP(B265,Demand!E:E,Demand!B:B)&amp;" "&amp;_xlfn.XLOOKUP(B265,Demand!E:E,Demand!C:C)&amp;" "&amp;_xlfn.XLOOKUP(B265,Demand!E:E,Demand!D:D)</f>
        <v xml:space="preserve">DEMAND - Transportation Passenger Subway </v>
      </c>
      <c r="D265" t="str">
        <f>_xlfn.XLOOKUP(B265,Trans_Demand!A:A,Trans_Demand!B:B)</f>
        <v>M Vkm</v>
      </c>
      <c r="E265" t="s">
        <v>214</v>
      </c>
      <c r="F265">
        <f>Trans_Demand!C261</f>
        <v>2050</v>
      </c>
      <c r="G265" s="11">
        <f>SUMIFS(Trans_Demand!D:D,Trans_Demand!A:A,DMD_TRA!B265,Trans_Demand!C:C,DMD_TRA!F265)</f>
        <v>0</v>
      </c>
    </row>
    <row r="266" spans="2:7">
      <c r="B266" t="str">
        <f>Trans_Demand!A856</f>
        <v>TRAPASSUBDMD</v>
      </c>
      <c r="C266" t="str">
        <f>"DEMAND - "&amp;_xlfn.XLOOKUP(B266,Demand!E:E,Demand!A:A)&amp;" "&amp;_xlfn.XLOOKUP(B266,Demand!E:E,Demand!B:B)&amp;" "&amp;_xlfn.XLOOKUP(B266,Demand!E:E,Demand!C:C)&amp;" "&amp;_xlfn.XLOOKUP(B266,Demand!E:E,Demand!D:D)</f>
        <v xml:space="preserve">DEMAND - Transportation Passenger Subway </v>
      </c>
      <c r="D266" t="str">
        <f>_xlfn.XLOOKUP(B266,Trans_Demand!A:A,Trans_Demand!B:B)</f>
        <v>M Vkm</v>
      </c>
      <c r="E266" t="s">
        <v>214</v>
      </c>
      <c r="F266">
        <f>Trans_Demand!C262</f>
        <v>2055</v>
      </c>
      <c r="G266" s="11">
        <f>SUMIFS(Trans_Demand!D:D,Trans_Demand!A:A,DMD_TRA!B266,Trans_Demand!C:C,DMD_TRA!F266)</f>
        <v>0</v>
      </c>
    </row>
    <row r="267" spans="2:7">
      <c r="B267" t="str">
        <f>Trans_Demand!A857</f>
        <v>TRAPASSUBDMD</v>
      </c>
      <c r="C267" t="str">
        <f>"DEMAND - "&amp;_xlfn.XLOOKUP(B267,Demand!E:E,Demand!A:A)&amp;" "&amp;_xlfn.XLOOKUP(B267,Demand!E:E,Demand!B:B)&amp;" "&amp;_xlfn.XLOOKUP(B267,Demand!E:E,Demand!C:C)&amp;" "&amp;_xlfn.XLOOKUP(B267,Demand!E:E,Demand!D:D)</f>
        <v xml:space="preserve">DEMAND - Transportation Passenger Subway </v>
      </c>
      <c r="D267" t="str">
        <f>_xlfn.XLOOKUP(B267,Trans_Demand!A:A,Trans_Demand!B:B)</f>
        <v>M Vkm</v>
      </c>
      <c r="E267" t="s">
        <v>214</v>
      </c>
      <c r="F267">
        <f>Trans_Demand!C263</f>
        <v>2060</v>
      </c>
      <c r="G267" s="11">
        <f>SUMIFS(Trans_Demand!D:D,Trans_Demand!A:A,DMD_TRA!B267,Trans_Demand!C:C,DMD_TRA!F267)</f>
        <v>0</v>
      </c>
    </row>
    <row r="268" spans="2:7">
      <c r="B268" t="str">
        <f>Trans_Demand!A858</f>
        <v>TRAPASSUBDMD</v>
      </c>
      <c r="C268" t="str">
        <f>"DEMAND - "&amp;_xlfn.XLOOKUP(B268,Demand!E:E,Demand!A:A)&amp;" "&amp;_xlfn.XLOOKUP(B268,Demand!E:E,Demand!B:B)&amp;" "&amp;_xlfn.XLOOKUP(B268,Demand!E:E,Demand!C:C)&amp;" "&amp;_xlfn.XLOOKUP(B268,Demand!E:E,Demand!D:D)</f>
        <v xml:space="preserve">DEMAND - Transportation Passenger Subway </v>
      </c>
      <c r="D268" t="str">
        <f>_xlfn.XLOOKUP(B268,Trans_Demand!A:A,Trans_Demand!B:B)</f>
        <v>M Vkm</v>
      </c>
      <c r="E268" t="s">
        <v>214</v>
      </c>
      <c r="F268">
        <f>Trans_Demand!C264</f>
        <v>2065</v>
      </c>
      <c r="G268" s="11">
        <f>SUMIFS(Trans_Demand!D:D,Trans_Demand!A:A,DMD_TRA!B268,Trans_Demand!C:C,DMD_TRA!F268)</f>
        <v>0</v>
      </c>
    </row>
    <row r="269" spans="2:7">
      <c r="B269" t="str">
        <f>Trans_Demand!A859</f>
        <v>TRAPASSUBDMD</v>
      </c>
      <c r="C269" t="str">
        <f>"DEMAND - "&amp;_xlfn.XLOOKUP(B269,Demand!E:E,Demand!A:A)&amp;" "&amp;_xlfn.XLOOKUP(B269,Demand!E:E,Demand!B:B)&amp;" "&amp;_xlfn.XLOOKUP(B269,Demand!E:E,Demand!C:C)&amp;" "&amp;_xlfn.XLOOKUP(B269,Demand!E:E,Demand!D:D)</f>
        <v xml:space="preserve">DEMAND - Transportation Passenger Subway </v>
      </c>
      <c r="D269" t="str">
        <f>_xlfn.XLOOKUP(B269,Trans_Demand!A:A,Trans_Demand!B:B)</f>
        <v>M Vkm</v>
      </c>
      <c r="E269" t="s">
        <v>214</v>
      </c>
      <c r="F269">
        <f>Trans_Demand!C265</f>
        <v>2070</v>
      </c>
      <c r="G269" s="11">
        <f>SUMIFS(Trans_Demand!D:D,Trans_Demand!A:A,DMD_TRA!B269,Trans_Demand!C:C,DMD_TRA!F269)</f>
        <v>0</v>
      </c>
    </row>
    <row r="270" spans="2:7">
      <c r="B270" t="str">
        <f>Trans_Demand!A860</f>
        <v>TRAPASSUBDMD</v>
      </c>
      <c r="C270" t="str">
        <f>"DEMAND - "&amp;_xlfn.XLOOKUP(B270,Demand!E:E,Demand!A:A)&amp;" "&amp;_xlfn.XLOOKUP(B270,Demand!E:E,Demand!B:B)&amp;" "&amp;_xlfn.XLOOKUP(B270,Demand!E:E,Demand!C:C)&amp;" "&amp;_xlfn.XLOOKUP(B270,Demand!E:E,Demand!D:D)</f>
        <v xml:space="preserve">DEMAND - Transportation Passenger Subway </v>
      </c>
      <c r="D270" t="str">
        <f>_xlfn.XLOOKUP(B270,Trans_Demand!A:A,Trans_Demand!B:B)</f>
        <v>M Vkm</v>
      </c>
      <c r="E270" t="s">
        <v>214</v>
      </c>
      <c r="F270">
        <f>Trans_Demand!C266</f>
        <v>2075</v>
      </c>
      <c r="G270" s="11">
        <f>SUMIFS(Trans_Demand!D:D,Trans_Demand!A:A,DMD_TRA!B270,Trans_Demand!C:C,DMD_TRA!F270)</f>
        <v>0</v>
      </c>
    </row>
    <row r="271" spans="2:7">
      <c r="B271" t="str">
        <f>Trans_Demand!A861</f>
        <v>TRAPASSUBDMD</v>
      </c>
      <c r="C271" t="str">
        <f>"DEMAND - "&amp;_xlfn.XLOOKUP(B271,Demand!E:E,Demand!A:A)&amp;" "&amp;_xlfn.XLOOKUP(B271,Demand!E:E,Demand!B:B)&amp;" "&amp;_xlfn.XLOOKUP(B271,Demand!E:E,Demand!C:C)&amp;" "&amp;_xlfn.XLOOKUP(B271,Demand!E:E,Demand!D:D)</f>
        <v xml:space="preserve">DEMAND - Transportation Passenger Subway </v>
      </c>
      <c r="D271" t="str">
        <f>_xlfn.XLOOKUP(B271,Trans_Demand!A:A,Trans_Demand!B:B)</f>
        <v>M Vkm</v>
      </c>
      <c r="E271" t="s">
        <v>214</v>
      </c>
      <c r="F271">
        <f>Trans_Demand!C267</f>
        <v>2080</v>
      </c>
      <c r="G271" s="11">
        <f>SUMIFS(Trans_Demand!D:D,Trans_Demand!A:A,DMD_TRA!B271,Trans_Demand!C:C,DMD_TRA!F271)</f>
        <v>0</v>
      </c>
    </row>
    <row r="272" spans="2:7">
      <c r="B272" t="str">
        <f>Trans_Demand!A862</f>
        <v>TRAPASSUBDMD</v>
      </c>
      <c r="C272" t="str">
        <f>"DEMAND - "&amp;_xlfn.XLOOKUP(B272,Demand!E:E,Demand!A:A)&amp;" "&amp;_xlfn.XLOOKUP(B272,Demand!E:E,Demand!B:B)&amp;" "&amp;_xlfn.XLOOKUP(B272,Demand!E:E,Demand!C:C)&amp;" "&amp;_xlfn.XLOOKUP(B272,Demand!E:E,Demand!D:D)</f>
        <v xml:space="preserve">DEMAND - Transportation Passenger Subway </v>
      </c>
      <c r="D272" t="str">
        <f>_xlfn.XLOOKUP(B272,Trans_Demand!A:A,Trans_Demand!B:B)</f>
        <v>M Vkm</v>
      </c>
      <c r="E272" t="s">
        <v>214</v>
      </c>
      <c r="F272">
        <f>Trans_Demand!C268</f>
        <v>2085</v>
      </c>
      <c r="G272" s="11">
        <f>SUMIFS(Trans_Demand!D:D,Trans_Demand!A:A,DMD_TRA!B272,Trans_Demand!C:C,DMD_TRA!F272)</f>
        <v>0</v>
      </c>
    </row>
    <row r="273" spans="2:7">
      <c r="B273" t="str">
        <f>Trans_Demand!A863</f>
        <v>TRAPASSUBDMD</v>
      </c>
      <c r="C273" t="str">
        <f>"DEMAND - "&amp;_xlfn.XLOOKUP(B273,Demand!E:E,Demand!A:A)&amp;" "&amp;_xlfn.XLOOKUP(B273,Demand!E:E,Demand!B:B)&amp;" "&amp;_xlfn.XLOOKUP(B273,Demand!E:E,Demand!C:C)&amp;" "&amp;_xlfn.XLOOKUP(B273,Demand!E:E,Demand!D:D)</f>
        <v xml:space="preserve">DEMAND - Transportation Passenger Subway </v>
      </c>
      <c r="D273" t="str">
        <f>_xlfn.XLOOKUP(B273,Trans_Demand!A:A,Trans_Demand!B:B)</f>
        <v>M Vkm</v>
      </c>
      <c r="E273" t="s">
        <v>214</v>
      </c>
      <c r="F273">
        <f>Trans_Demand!C269</f>
        <v>2090</v>
      </c>
      <c r="G273" s="11">
        <f>SUMIFS(Trans_Demand!D:D,Trans_Demand!A:A,DMD_TRA!B273,Trans_Demand!C:C,DMD_TRA!F273)</f>
        <v>0</v>
      </c>
    </row>
    <row r="274" spans="2:7">
      <c r="B274" t="str">
        <f>Trans_Demand!A864</f>
        <v>TRAPASSUBDMD</v>
      </c>
      <c r="C274" t="str">
        <f>"DEMAND - "&amp;_xlfn.XLOOKUP(B274,Demand!E:E,Demand!A:A)&amp;" "&amp;_xlfn.XLOOKUP(B274,Demand!E:E,Demand!B:B)&amp;" "&amp;_xlfn.XLOOKUP(B274,Demand!E:E,Demand!C:C)&amp;" "&amp;_xlfn.XLOOKUP(B274,Demand!E:E,Demand!D:D)</f>
        <v xml:space="preserve">DEMAND - Transportation Passenger Subway </v>
      </c>
      <c r="D274" t="str">
        <f>_xlfn.XLOOKUP(B274,Trans_Demand!A:A,Trans_Demand!B:B)</f>
        <v>M Vkm</v>
      </c>
      <c r="E274" t="s">
        <v>214</v>
      </c>
      <c r="F274">
        <f>Trans_Demand!C270</f>
        <v>2095</v>
      </c>
      <c r="G274" s="11">
        <f>SUMIFS(Trans_Demand!D:D,Trans_Demand!A:A,DMD_TRA!B274,Trans_Demand!C:C,DMD_TRA!F274)</f>
        <v>0</v>
      </c>
    </row>
    <row r="275" spans="2:7">
      <c r="B275" t="str">
        <f>Trans_Demand!A865</f>
        <v>TRAPASSUBDMD</v>
      </c>
      <c r="C275" t="str">
        <f>"DEMAND - "&amp;_xlfn.XLOOKUP(B275,Demand!E:E,Demand!A:A)&amp;" "&amp;_xlfn.XLOOKUP(B275,Demand!E:E,Demand!B:B)&amp;" "&amp;_xlfn.XLOOKUP(B275,Demand!E:E,Demand!C:C)&amp;" "&amp;_xlfn.XLOOKUP(B275,Demand!E:E,Demand!D:D)</f>
        <v xml:space="preserve">DEMAND - Transportation Passenger Subway </v>
      </c>
      <c r="D275" t="str">
        <f>_xlfn.XLOOKUP(B275,Trans_Demand!A:A,Trans_Demand!B:B)</f>
        <v>M Vkm</v>
      </c>
      <c r="E275" t="s">
        <v>214</v>
      </c>
      <c r="F275">
        <f>Trans_Demand!C271</f>
        <v>2100</v>
      </c>
      <c r="G275" s="11">
        <f>SUMIFS(Trans_Demand!D:D,Trans_Demand!A:A,DMD_TRA!B275,Trans_Demand!C:C,DMD_TRA!F275)</f>
        <v>0</v>
      </c>
    </row>
    <row r="276" spans="2:7">
      <c r="B276" t="str">
        <f>Trans_Demand!A866</f>
        <v>TRAPASBICDMD</v>
      </c>
      <c r="C276" t="str">
        <f>"DEMAND - "&amp;_xlfn.XLOOKUP(B276,Demand!E:E,Demand!A:A)&amp;" "&amp;_xlfn.XLOOKUP(B276,Demand!E:E,Demand!B:B)&amp;" "&amp;_xlfn.XLOOKUP(B276,Demand!E:E,Demand!C:C)&amp;" "&amp;_xlfn.XLOOKUP(B276,Demand!E:E,Demand!D:D)</f>
        <v xml:space="preserve">DEMAND - Transportation Passenger Bicycle </v>
      </c>
      <c r="D276" t="str">
        <f>_xlfn.XLOOKUP(B276,Trans_Demand!A:A,Trans_Demand!B:B)</f>
        <v>M Vkm</v>
      </c>
      <c r="E276" t="s">
        <v>214</v>
      </c>
      <c r="F276">
        <f>Trans_Demand!C272</f>
        <v>2019</v>
      </c>
      <c r="G276" s="11">
        <f>SUMIFS(Trans_Demand!D:D,Trans_Demand!A:A,DMD_TRA!B276,Trans_Demand!C:C,DMD_TRA!F276)</f>
        <v>783.71641071992963</v>
      </c>
    </row>
    <row r="277" spans="2:7">
      <c r="B277" t="str">
        <f>Trans_Demand!A867</f>
        <v>TRAPASBICDMD</v>
      </c>
      <c r="C277" t="str">
        <f>"DEMAND - "&amp;_xlfn.XLOOKUP(B277,Demand!E:E,Demand!A:A)&amp;" "&amp;_xlfn.XLOOKUP(B277,Demand!E:E,Demand!B:B)&amp;" "&amp;_xlfn.XLOOKUP(B277,Demand!E:E,Demand!C:C)&amp;" "&amp;_xlfn.XLOOKUP(B277,Demand!E:E,Demand!D:D)</f>
        <v xml:space="preserve">DEMAND - Transportation Passenger Bicycle </v>
      </c>
      <c r="D277" t="str">
        <f>_xlfn.XLOOKUP(B277,Trans_Demand!A:A,Trans_Demand!B:B)</f>
        <v>M Vkm</v>
      </c>
      <c r="E277" t="s">
        <v>214</v>
      </c>
      <c r="F277">
        <f>Trans_Demand!C273</f>
        <v>2020</v>
      </c>
      <c r="G277" s="11">
        <f>SUMIFS(Trans_Demand!D:D,Trans_Demand!A:A,DMD_TRA!B277,Trans_Demand!C:C,DMD_TRA!F277)</f>
        <v>787.63499277352923</v>
      </c>
    </row>
    <row r="278" spans="2:7">
      <c r="B278" t="str">
        <f>Trans_Demand!A868</f>
        <v>TRAPASBICDMD</v>
      </c>
      <c r="C278" t="str">
        <f>"DEMAND - "&amp;_xlfn.XLOOKUP(B278,Demand!E:E,Demand!A:A)&amp;" "&amp;_xlfn.XLOOKUP(B278,Demand!E:E,Demand!B:B)&amp;" "&amp;_xlfn.XLOOKUP(B278,Demand!E:E,Demand!C:C)&amp;" "&amp;_xlfn.XLOOKUP(B278,Demand!E:E,Demand!D:D)</f>
        <v xml:space="preserve">DEMAND - Transportation Passenger Bicycle </v>
      </c>
      <c r="D278" t="str">
        <f>_xlfn.XLOOKUP(B278,Trans_Demand!A:A,Trans_Demand!B:B)</f>
        <v>M Vkm</v>
      </c>
      <c r="E278" t="s">
        <v>214</v>
      </c>
      <c r="F278">
        <f>Trans_Demand!C274</f>
        <v>2025</v>
      </c>
      <c r="G278" s="11">
        <f>SUMIFS(Trans_Demand!D:D,Trans_Demand!A:A,DMD_TRA!B278,Trans_Demand!C:C,DMD_TRA!F278)</f>
        <v>807.32586759286744</v>
      </c>
    </row>
    <row r="279" spans="2:7">
      <c r="B279" t="str">
        <f>Trans_Demand!A869</f>
        <v>TRAPASBICDMD</v>
      </c>
      <c r="C279" t="str">
        <f>"DEMAND - "&amp;_xlfn.XLOOKUP(B279,Demand!E:E,Demand!A:A)&amp;" "&amp;_xlfn.XLOOKUP(B279,Demand!E:E,Demand!B:B)&amp;" "&amp;_xlfn.XLOOKUP(B279,Demand!E:E,Demand!C:C)&amp;" "&amp;_xlfn.XLOOKUP(B279,Demand!E:E,Demand!D:D)</f>
        <v xml:space="preserve">DEMAND - Transportation Passenger Bicycle </v>
      </c>
      <c r="D279" t="str">
        <f>_xlfn.XLOOKUP(B279,Trans_Demand!A:A,Trans_Demand!B:B)</f>
        <v>M Vkm</v>
      </c>
      <c r="E279" t="s">
        <v>214</v>
      </c>
      <c r="F279">
        <f>Trans_Demand!C275</f>
        <v>2030</v>
      </c>
      <c r="G279" s="11">
        <f>SUMIFS(Trans_Demand!D:D,Trans_Demand!A:A,DMD_TRA!B279,Trans_Demand!C:C,DMD_TRA!F279)</f>
        <v>827.50901428268901</v>
      </c>
    </row>
    <row r="280" spans="2:7">
      <c r="B280" t="str">
        <f>Trans_Demand!A870</f>
        <v>TRAPASBICDMD</v>
      </c>
      <c r="C280" t="str">
        <f>"DEMAND - "&amp;_xlfn.XLOOKUP(B280,Demand!E:E,Demand!A:A)&amp;" "&amp;_xlfn.XLOOKUP(B280,Demand!E:E,Demand!B:B)&amp;" "&amp;_xlfn.XLOOKUP(B280,Demand!E:E,Demand!C:C)&amp;" "&amp;_xlfn.XLOOKUP(B280,Demand!E:E,Demand!D:D)</f>
        <v xml:space="preserve">DEMAND - Transportation Passenger Bicycle </v>
      </c>
      <c r="D280" t="str">
        <f>_xlfn.XLOOKUP(B280,Trans_Demand!A:A,Trans_Demand!B:B)</f>
        <v>M Vkm</v>
      </c>
      <c r="E280" t="s">
        <v>214</v>
      </c>
      <c r="F280">
        <f>Trans_Demand!C276</f>
        <v>2035</v>
      </c>
      <c r="G280" s="11">
        <f>SUMIFS(Trans_Demand!D:D,Trans_Demand!A:A,DMD_TRA!B280,Trans_Demand!C:C,DMD_TRA!F280)</f>
        <v>848.19673963975617</v>
      </c>
    </row>
    <row r="281" spans="2:7">
      <c r="B281" t="str">
        <f>Trans_Demand!A871</f>
        <v>TRAPASBICDMD</v>
      </c>
      <c r="C281" t="str">
        <f>"DEMAND - "&amp;_xlfn.XLOOKUP(B281,Demand!E:E,Demand!A:A)&amp;" "&amp;_xlfn.XLOOKUP(B281,Demand!E:E,Demand!B:B)&amp;" "&amp;_xlfn.XLOOKUP(B281,Demand!E:E,Demand!C:C)&amp;" "&amp;_xlfn.XLOOKUP(B281,Demand!E:E,Demand!D:D)</f>
        <v xml:space="preserve">DEMAND - Transportation Passenger Bicycle </v>
      </c>
      <c r="D281" t="str">
        <f>_xlfn.XLOOKUP(B281,Trans_Demand!A:A,Trans_Demand!B:B)</f>
        <v>M Vkm</v>
      </c>
      <c r="E281" t="s">
        <v>214</v>
      </c>
      <c r="F281">
        <f>Trans_Demand!C277</f>
        <v>2040</v>
      </c>
      <c r="G281" s="11">
        <f>SUMIFS(Trans_Demand!D:D,Trans_Demand!A:A,DMD_TRA!B281,Trans_Demand!C:C,DMD_TRA!F281)</f>
        <v>869.40165813074998</v>
      </c>
    </row>
    <row r="282" spans="2:7">
      <c r="B282" t="str">
        <f>Trans_Demand!A872</f>
        <v>TRAPASBICDMD</v>
      </c>
      <c r="C282" t="str">
        <f>"DEMAND - "&amp;_xlfn.XLOOKUP(B282,Demand!E:E,Demand!A:A)&amp;" "&amp;_xlfn.XLOOKUP(B282,Demand!E:E,Demand!B:B)&amp;" "&amp;_xlfn.XLOOKUP(B282,Demand!E:E,Demand!C:C)&amp;" "&amp;_xlfn.XLOOKUP(B282,Demand!E:E,Demand!D:D)</f>
        <v xml:space="preserve">DEMAND - Transportation Passenger Bicycle </v>
      </c>
      <c r="D282" t="str">
        <f>_xlfn.XLOOKUP(B282,Trans_Demand!A:A,Trans_Demand!B:B)</f>
        <v>M Vkm</v>
      </c>
      <c r="E282" t="s">
        <v>214</v>
      </c>
      <c r="F282">
        <f>Trans_Demand!C278</f>
        <v>2045</v>
      </c>
      <c r="G282" s="11">
        <f>SUMIFS(Trans_Demand!D:D,Trans_Demand!A:A,DMD_TRA!B282,Trans_Demand!C:C,DMD_TRA!F282)</f>
        <v>891.13669958401863</v>
      </c>
    </row>
    <row r="283" spans="2:7">
      <c r="B283" t="str">
        <f>Trans_Demand!A873</f>
        <v>TRAPASBICDMD</v>
      </c>
      <c r="C283" t="str">
        <f>"DEMAND - "&amp;_xlfn.XLOOKUP(B283,Demand!E:E,Demand!A:A)&amp;" "&amp;_xlfn.XLOOKUP(B283,Demand!E:E,Demand!B:B)&amp;" "&amp;_xlfn.XLOOKUP(B283,Demand!E:E,Demand!C:C)&amp;" "&amp;_xlfn.XLOOKUP(B283,Demand!E:E,Demand!D:D)</f>
        <v xml:space="preserve">DEMAND - Transportation Passenger Bicycle </v>
      </c>
      <c r="D283" t="str">
        <f>_xlfn.XLOOKUP(B283,Trans_Demand!A:A,Trans_Demand!B:B)</f>
        <v>M Vkm</v>
      </c>
      <c r="E283" t="s">
        <v>214</v>
      </c>
      <c r="F283">
        <f>Trans_Demand!C279</f>
        <v>2050</v>
      </c>
      <c r="G283" s="11">
        <f>SUMIFS(Trans_Demand!D:D,Trans_Demand!A:A,DMD_TRA!B283,Trans_Demand!C:C,DMD_TRA!F283)</f>
        <v>913.41511707361906</v>
      </c>
    </row>
    <row r="284" spans="2:7">
      <c r="B284" t="str">
        <f>Trans_Demand!A874</f>
        <v>TRAPASBICDMD</v>
      </c>
      <c r="C284" t="str">
        <f>"DEMAND - "&amp;_xlfn.XLOOKUP(B284,Demand!E:E,Demand!A:A)&amp;" "&amp;_xlfn.XLOOKUP(B284,Demand!E:E,Demand!B:B)&amp;" "&amp;_xlfn.XLOOKUP(B284,Demand!E:E,Demand!C:C)&amp;" "&amp;_xlfn.XLOOKUP(B284,Demand!E:E,Demand!D:D)</f>
        <v xml:space="preserve">DEMAND - Transportation Passenger Bicycle </v>
      </c>
      <c r="D284" t="str">
        <f>_xlfn.XLOOKUP(B284,Trans_Demand!A:A,Trans_Demand!B:B)</f>
        <v>M Vkm</v>
      </c>
      <c r="E284" t="s">
        <v>214</v>
      </c>
      <c r="F284">
        <f>Trans_Demand!C280</f>
        <v>2055</v>
      </c>
      <c r="G284" s="11">
        <f>SUMIFS(Trans_Demand!D:D,Trans_Demand!A:A,DMD_TRA!B284,Trans_Demand!C:C,DMD_TRA!F284)</f>
        <v>936.25049500045941</v>
      </c>
    </row>
    <row r="285" spans="2:7">
      <c r="B285" t="str">
        <f>Trans_Demand!A875</f>
        <v>TRAPASBICDMD</v>
      </c>
      <c r="C285" t="str">
        <f>"DEMAND - "&amp;_xlfn.XLOOKUP(B285,Demand!E:E,Demand!A:A)&amp;" "&amp;_xlfn.XLOOKUP(B285,Demand!E:E,Demand!B:B)&amp;" "&amp;_xlfn.XLOOKUP(B285,Demand!E:E,Demand!C:C)&amp;" "&amp;_xlfn.XLOOKUP(B285,Demand!E:E,Demand!D:D)</f>
        <v xml:space="preserve">DEMAND - Transportation Passenger Bicycle </v>
      </c>
      <c r="D285" t="str">
        <f>_xlfn.XLOOKUP(B285,Trans_Demand!A:A,Trans_Demand!B:B)</f>
        <v>M Vkm</v>
      </c>
      <c r="E285" t="s">
        <v>214</v>
      </c>
      <c r="F285">
        <f>Trans_Demand!C281</f>
        <v>2060</v>
      </c>
      <c r="G285" s="11">
        <f>SUMIFS(Trans_Demand!D:D,Trans_Demand!A:A,DMD_TRA!B285,Trans_Demand!C:C,DMD_TRA!F285)</f>
        <v>959.65675737547076</v>
      </c>
    </row>
    <row r="286" spans="2:7">
      <c r="B286" t="str">
        <f>Trans_Demand!A876</f>
        <v>TRAPASBICDMD</v>
      </c>
      <c r="C286" t="str">
        <f>"DEMAND - "&amp;_xlfn.XLOOKUP(B286,Demand!E:E,Demand!A:A)&amp;" "&amp;_xlfn.XLOOKUP(B286,Demand!E:E,Demand!B:B)&amp;" "&amp;_xlfn.XLOOKUP(B286,Demand!E:E,Demand!C:C)&amp;" "&amp;_xlfn.XLOOKUP(B286,Demand!E:E,Demand!D:D)</f>
        <v xml:space="preserve">DEMAND - Transportation Passenger Bicycle </v>
      </c>
      <c r="D286" t="str">
        <f>_xlfn.XLOOKUP(B286,Trans_Demand!A:A,Trans_Demand!B:B)</f>
        <v>M Vkm</v>
      </c>
      <c r="E286" t="s">
        <v>214</v>
      </c>
      <c r="F286">
        <f>Trans_Demand!C282</f>
        <v>2065</v>
      </c>
      <c r="G286" s="11">
        <f>SUMIFS(Trans_Demand!D:D,Trans_Demand!A:A,DMD_TRA!B286,Trans_Demand!C:C,DMD_TRA!F286)</f>
        <v>983.64817630985749</v>
      </c>
    </row>
    <row r="287" spans="2:7">
      <c r="B287" t="str">
        <f>Trans_Demand!A877</f>
        <v>TRAPASBICDMD</v>
      </c>
      <c r="C287" t="str">
        <f>"DEMAND - "&amp;_xlfn.XLOOKUP(B287,Demand!E:E,Demand!A:A)&amp;" "&amp;_xlfn.XLOOKUP(B287,Demand!E:E,Demand!B:B)&amp;" "&amp;_xlfn.XLOOKUP(B287,Demand!E:E,Demand!C:C)&amp;" "&amp;_xlfn.XLOOKUP(B287,Demand!E:E,Demand!D:D)</f>
        <v xml:space="preserve">DEMAND - Transportation Passenger Bicycle </v>
      </c>
      <c r="D287" t="str">
        <f>_xlfn.XLOOKUP(B287,Trans_Demand!A:A,Trans_Demand!B:B)</f>
        <v>M Vkm</v>
      </c>
      <c r="E287" t="s">
        <v>214</v>
      </c>
      <c r="F287">
        <f>Trans_Demand!C283</f>
        <v>2070</v>
      </c>
      <c r="G287" s="11">
        <f>SUMIFS(Trans_Demand!D:D,Trans_Demand!A:A,DMD_TRA!B287,Trans_Demand!C:C,DMD_TRA!F287)</f>
        <v>1008.239380717604</v>
      </c>
    </row>
    <row r="288" spans="2:7">
      <c r="B288" t="str">
        <f>Trans_Demand!A878</f>
        <v>TRAPASBICDMD</v>
      </c>
      <c r="C288" t="str">
        <f>"DEMAND - "&amp;_xlfn.XLOOKUP(B288,Demand!E:E,Demand!A:A)&amp;" "&amp;_xlfn.XLOOKUP(B288,Demand!E:E,Demand!B:B)&amp;" "&amp;_xlfn.XLOOKUP(B288,Demand!E:E,Demand!C:C)&amp;" "&amp;_xlfn.XLOOKUP(B288,Demand!E:E,Demand!D:D)</f>
        <v xml:space="preserve">DEMAND - Transportation Passenger Bicycle </v>
      </c>
      <c r="D288" t="str">
        <f>_xlfn.XLOOKUP(B288,Trans_Demand!A:A,Trans_Demand!B:B)</f>
        <v>M Vkm</v>
      </c>
      <c r="E288" t="s">
        <v>214</v>
      </c>
      <c r="F288">
        <f>Trans_Demand!C284</f>
        <v>2075</v>
      </c>
      <c r="G288" s="11">
        <f>SUMIFS(Trans_Demand!D:D,Trans_Demand!A:A,DMD_TRA!B288,Trans_Demand!C:C,DMD_TRA!F288)</f>
        <v>1033.4453652355439</v>
      </c>
    </row>
    <row r="289" spans="2:7">
      <c r="B289" t="str">
        <f>Trans_Demand!A879</f>
        <v>TRAPASBICDMD</v>
      </c>
      <c r="C289" t="str">
        <f>"DEMAND - "&amp;_xlfn.XLOOKUP(B289,Demand!E:E,Demand!A:A)&amp;" "&amp;_xlfn.XLOOKUP(B289,Demand!E:E,Demand!B:B)&amp;" "&amp;_xlfn.XLOOKUP(B289,Demand!E:E,Demand!C:C)&amp;" "&amp;_xlfn.XLOOKUP(B289,Demand!E:E,Demand!D:D)</f>
        <v xml:space="preserve">DEMAND - Transportation Passenger Bicycle </v>
      </c>
      <c r="D289" t="str">
        <f>_xlfn.XLOOKUP(B289,Trans_Demand!A:A,Trans_Demand!B:B)</f>
        <v>M Vkm</v>
      </c>
      <c r="E289" t="s">
        <v>214</v>
      </c>
      <c r="F289">
        <f>Trans_Demand!C285</f>
        <v>2080</v>
      </c>
      <c r="G289" s="11">
        <f>SUMIFS(Trans_Demand!D:D,Trans_Demand!A:A,DMD_TRA!B289,Trans_Demand!C:C,DMD_TRA!F289)</f>
        <v>1059.2814993664319</v>
      </c>
    </row>
    <row r="290" spans="2:7">
      <c r="B290" t="str">
        <f>Trans_Demand!A880</f>
        <v>TRAPASBICDMD</v>
      </c>
      <c r="C290" t="str">
        <f>"DEMAND - "&amp;_xlfn.XLOOKUP(B290,Demand!E:E,Demand!A:A)&amp;" "&amp;_xlfn.XLOOKUP(B290,Demand!E:E,Demand!B:B)&amp;" "&amp;_xlfn.XLOOKUP(B290,Demand!E:E,Demand!C:C)&amp;" "&amp;_xlfn.XLOOKUP(B290,Demand!E:E,Demand!D:D)</f>
        <v xml:space="preserve">DEMAND - Transportation Passenger Bicycle </v>
      </c>
      <c r="D290" t="str">
        <f>_xlfn.XLOOKUP(B290,Trans_Demand!A:A,Trans_Demand!B:B)</f>
        <v>M Vkm</v>
      </c>
      <c r="E290" t="s">
        <v>214</v>
      </c>
      <c r="F290">
        <f>Trans_Demand!C286</f>
        <v>2085</v>
      </c>
      <c r="G290" s="11">
        <f>SUMIFS(Trans_Demand!D:D,Trans_Demand!A:A,DMD_TRA!B290,Trans_Demand!C:C,DMD_TRA!F290)</f>
        <v>1085.763536850593</v>
      </c>
    </row>
    <row r="291" spans="2:7">
      <c r="B291" t="str">
        <f>Trans_Demand!A881</f>
        <v>TRAPASBICDMD</v>
      </c>
      <c r="C291" t="str">
        <f>"DEMAND - "&amp;_xlfn.XLOOKUP(B291,Demand!E:E,Demand!A:A)&amp;" "&amp;_xlfn.XLOOKUP(B291,Demand!E:E,Demand!B:B)&amp;" "&amp;_xlfn.XLOOKUP(B291,Demand!E:E,Demand!C:C)&amp;" "&amp;_xlfn.XLOOKUP(B291,Demand!E:E,Demand!D:D)</f>
        <v xml:space="preserve">DEMAND - Transportation Passenger Bicycle </v>
      </c>
      <c r="D291" t="str">
        <f>_xlfn.XLOOKUP(B291,Trans_Demand!A:A,Trans_Demand!B:B)</f>
        <v>M Vkm</v>
      </c>
      <c r="E291" t="s">
        <v>214</v>
      </c>
      <c r="F291">
        <f>Trans_Demand!C287</f>
        <v>2090</v>
      </c>
      <c r="G291" s="11">
        <f>SUMIFS(Trans_Demand!D:D,Trans_Demand!A:A,DMD_TRA!B291,Trans_Demand!C:C,DMD_TRA!F291)</f>
        <v>1112.907625271858</v>
      </c>
    </row>
    <row r="292" spans="2:7">
      <c r="B292" t="str">
        <f>Trans_Demand!A882</f>
        <v>TRAPASBICDMD</v>
      </c>
      <c r="C292" t="str">
        <f>"DEMAND - "&amp;_xlfn.XLOOKUP(B292,Demand!E:E,Demand!A:A)&amp;" "&amp;_xlfn.XLOOKUP(B292,Demand!E:E,Demand!B:B)&amp;" "&amp;_xlfn.XLOOKUP(B292,Demand!E:E,Demand!C:C)&amp;" "&amp;_xlfn.XLOOKUP(B292,Demand!E:E,Demand!D:D)</f>
        <v xml:space="preserve">DEMAND - Transportation Passenger Bicycle </v>
      </c>
      <c r="D292" t="str">
        <f>_xlfn.XLOOKUP(B292,Trans_Demand!A:A,Trans_Demand!B:B)</f>
        <v>M Vkm</v>
      </c>
      <c r="E292" t="s">
        <v>214</v>
      </c>
      <c r="F292">
        <f>Trans_Demand!C288</f>
        <v>2095</v>
      </c>
      <c r="G292" s="11">
        <f>SUMIFS(Trans_Demand!D:D,Trans_Demand!A:A,DMD_TRA!B292,Trans_Demand!C:C,DMD_TRA!F292)</f>
        <v>1140.7303159036539</v>
      </c>
    </row>
    <row r="293" spans="2:7">
      <c r="B293" t="str">
        <f>Trans_Demand!A883</f>
        <v>TRAPASBICDMD</v>
      </c>
      <c r="C293" t="str">
        <f>"DEMAND - "&amp;_xlfn.XLOOKUP(B293,Demand!E:E,Demand!A:A)&amp;" "&amp;_xlfn.XLOOKUP(B293,Demand!E:E,Demand!B:B)&amp;" "&amp;_xlfn.XLOOKUP(B293,Demand!E:E,Demand!C:C)&amp;" "&amp;_xlfn.XLOOKUP(B293,Demand!E:E,Demand!D:D)</f>
        <v xml:space="preserve">DEMAND - Transportation Passenger Bicycle </v>
      </c>
      <c r="D293" t="str">
        <f>_xlfn.XLOOKUP(B293,Trans_Demand!A:A,Trans_Demand!B:B)</f>
        <v>M Vkm</v>
      </c>
      <c r="E293" t="s">
        <v>214</v>
      </c>
      <c r="F293">
        <f>Trans_Demand!C289</f>
        <v>2100</v>
      </c>
      <c r="G293" s="11">
        <f>SUMIFS(Trans_Demand!D:D,Trans_Demand!A:A,DMD_TRA!B293,Trans_Demand!C:C,DMD_TRA!F293)</f>
        <v>1169.2485738012449</v>
      </c>
    </row>
    <row r="294" spans="2:7">
      <c r="B294" t="str">
        <f>Trans_Demand!A884</f>
        <v>TRAPASWALDMD</v>
      </c>
      <c r="C294" t="str">
        <f>"DEMAND - "&amp;_xlfn.XLOOKUP(B294,Demand!E:E,Demand!A:A)&amp;" "&amp;_xlfn.XLOOKUP(B294,Demand!E:E,Demand!B:B)&amp;" "&amp;_xlfn.XLOOKUP(B294,Demand!E:E,Demand!C:C)&amp;" "&amp;_xlfn.XLOOKUP(B294,Demand!E:E,Demand!D:D)</f>
        <v xml:space="preserve">DEMAND - Transportation Passenger Walk </v>
      </c>
      <c r="D294" t="str">
        <f>_xlfn.XLOOKUP(B294,Trans_Demand!A:A,Trans_Demand!B:B)</f>
        <v>M Vkm</v>
      </c>
      <c r="E294" t="s">
        <v>214</v>
      </c>
      <c r="F294">
        <f>Trans_Demand!C290</f>
        <v>2019</v>
      </c>
      <c r="G294" s="11">
        <f>SUMIFS(Trans_Demand!D:D,Trans_Demand!A:A,DMD_TRA!B294,Trans_Demand!C:C,DMD_TRA!F294)</f>
        <v>4185.0616827171943</v>
      </c>
    </row>
    <row r="295" spans="2:7">
      <c r="B295" t="str">
        <f>Trans_Demand!A885</f>
        <v>TRAPASWALDMD</v>
      </c>
      <c r="C295" t="str">
        <f>"DEMAND - "&amp;_xlfn.XLOOKUP(B295,Demand!E:E,Demand!A:A)&amp;" "&amp;_xlfn.XLOOKUP(B295,Demand!E:E,Demand!B:B)&amp;" "&amp;_xlfn.XLOOKUP(B295,Demand!E:E,Demand!C:C)&amp;" "&amp;_xlfn.XLOOKUP(B295,Demand!E:E,Demand!D:D)</f>
        <v xml:space="preserve">DEMAND - Transportation Passenger Walk </v>
      </c>
      <c r="D295" t="str">
        <f>_xlfn.XLOOKUP(B295,Trans_Demand!A:A,Trans_Demand!B:B)</f>
        <v>M Vkm</v>
      </c>
      <c r="E295" t="s">
        <v>214</v>
      </c>
      <c r="F295">
        <f>Trans_Demand!C291</f>
        <v>2020</v>
      </c>
      <c r="G295" s="11">
        <f>SUMIFS(Trans_Demand!D:D,Trans_Demand!A:A,DMD_TRA!B295,Trans_Demand!C:C,DMD_TRA!F295)</f>
        <v>4205.9869911307796</v>
      </c>
    </row>
    <row r="296" spans="2:7">
      <c r="B296" t="str">
        <f>Trans_Demand!A886</f>
        <v>TRAPASWALDMD</v>
      </c>
      <c r="C296" t="str">
        <f>"DEMAND - "&amp;_xlfn.XLOOKUP(B296,Demand!E:E,Demand!A:A)&amp;" "&amp;_xlfn.XLOOKUP(B296,Demand!E:E,Demand!B:B)&amp;" "&amp;_xlfn.XLOOKUP(B296,Demand!E:E,Demand!C:C)&amp;" "&amp;_xlfn.XLOOKUP(B296,Demand!E:E,Demand!D:D)</f>
        <v xml:space="preserve">DEMAND - Transportation Passenger Walk </v>
      </c>
      <c r="D296" t="str">
        <f>_xlfn.XLOOKUP(B296,Trans_Demand!A:A,Trans_Demand!B:B)</f>
        <v>M Vkm</v>
      </c>
      <c r="E296" t="s">
        <v>214</v>
      </c>
      <c r="F296">
        <f>Trans_Demand!C292</f>
        <v>2025</v>
      </c>
      <c r="G296" s="11">
        <f>SUMIFS(Trans_Demand!D:D,Trans_Demand!A:A,DMD_TRA!B296,Trans_Demand!C:C,DMD_TRA!F296)</f>
        <v>4311.136665909049</v>
      </c>
    </row>
    <row r="297" spans="2:7">
      <c r="B297" t="str">
        <f>Trans_Demand!A887</f>
        <v>TRAPASWALDMD</v>
      </c>
      <c r="C297" t="str">
        <f>"DEMAND - "&amp;_xlfn.XLOOKUP(B297,Demand!E:E,Demand!A:A)&amp;" "&amp;_xlfn.XLOOKUP(B297,Demand!E:E,Demand!B:B)&amp;" "&amp;_xlfn.XLOOKUP(B297,Demand!E:E,Demand!C:C)&amp;" "&amp;_xlfn.XLOOKUP(B297,Demand!E:E,Demand!D:D)</f>
        <v xml:space="preserve">DEMAND - Transportation Passenger Walk </v>
      </c>
      <c r="D297" t="str">
        <f>_xlfn.XLOOKUP(B297,Trans_Demand!A:A,Trans_Demand!B:B)</f>
        <v>M Vkm</v>
      </c>
      <c r="E297" t="s">
        <v>214</v>
      </c>
      <c r="F297">
        <f>Trans_Demand!C293</f>
        <v>2030</v>
      </c>
      <c r="G297" s="11">
        <f>SUMIFS(Trans_Demand!D:D,Trans_Demand!A:A,DMD_TRA!B297,Trans_Demand!C:C,DMD_TRA!F297)</f>
        <v>4418.9150825567749</v>
      </c>
    </row>
    <row r="298" spans="2:7">
      <c r="B298" t="str">
        <f>Trans_Demand!A888</f>
        <v>TRAPASWALDMD</v>
      </c>
      <c r="C298" t="str">
        <f>"DEMAND - "&amp;_xlfn.XLOOKUP(B298,Demand!E:E,Demand!A:A)&amp;" "&amp;_xlfn.XLOOKUP(B298,Demand!E:E,Demand!B:B)&amp;" "&amp;_xlfn.XLOOKUP(B298,Demand!E:E,Demand!C:C)&amp;" "&amp;_xlfn.XLOOKUP(B298,Demand!E:E,Demand!D:D)</f>
        <v xml:space="preserve">DEMAND - Transportation Passenger Walk </v>
      </c>
      <c r="D298" t="str">
        <f>_xlfn.XLOOKUP(B298,Trans_Demand!A:A,Trans_Demand!B:B)</f>
        <v>M Vkm</v>
      </c>
      <c r="E298" t="s">
        <v>214</v>
      </c>
      <c r="F298">
        <f>Trans_Demand!C294</f>
        <v>2035</v>
      </c>
      <c r="G298" s="11">
        <f>SUMIFS(Trans_Demand!D:D,Trans_Demand!A:A,DMD_TRA!B298,Trans_Demand!C:C,DMD_TRA!F298)</f>
        <v>4529.3879596206934</v>
      </c>
    </row>
    <row r="299" spans="2:7">
      <c r="B299" t="str">
        <f>Trans_Demand!A889</f>
        <v>TRAPASWALDMD</v>
      </c>
      <c r="C299" t="str">
        <f>"DEMAND - "&amp;_xlfn.XLOOKUP(B299,Demand!E:E,Demand!A:A)&amp;" "&amp;_xlfn.XLOOKUP(B299,Demand!E:E,Demand!B:B)&amp;" "&amp;_xlfn.XLOOKUP(B299,Demand!E:E,Demand!C:C)&amp;" "&amp;_xlfn.XLOOKUP(B299,Demand!E:E,Demand!D:D)</f>
        <v xml:space="preserve">DEMAND - Transportation Passenger Walk </v>
      </c>
      <c r="D299" t="str">
        <f>_xlfn.XLOOKUP(B299,Trans_Demand!A:A,Trans_Demand!B:B)</f>
        <v>M Vkm</v>
      </c>
      <c r="E299" t="s">
        <v>214</v>
      </c>
      <c r="F299">
        <f>Trans_Demand!C295</f>
        <v>2040</v>
      </c>
      <c r="G299" s="11">
        <f>SUMIFS(Trans_Demand!D:D,Trans_Demand!A:A,DMD_TRA!B299,Trans_Demand!C:C,DMD_TRA!F299)</f>
        <v>4642.6226586112107</v>
      </c>
    </row>
    <row r="300" spans="2:7">
      <c r="B300" t="str">
        <f>Trans_Demand!A890</f>
        <v>TRAPASWALDMD</v>
      </c>
      <c r="C300" t="str">
        <f>"DEMAND - "&amp;_xlfn.XLOOKUP(B300,Demand!E:E,Demand!A:A)&amp;" "&amp;_xlfn.XLOOKUP(B300,Demand!E:E,Demand!B:B)&amp;" "&amp;_xlfn.XLOOKUP(B300,Demand!E:E,Demand!C:C)&amp;" "&amp;_xlfn.XLOOKUP(B300,Demand!E:E,Demand!D:D)</f>
        <v xml:space="preserve">DEMAND - Transportation Passenger Walk </v>
      </c>
      <c r="D300" t="str">
        <f>_xlfn.XLOOKUP(B300,Trans_Demand!A:A,Trans_Demand!B:B)</f>
        <v>M Vkm</v>
      </c>
      <c r="E300" t="s">
        <v>214</v>
      </c>
      <c r="F300">
        <f>Trans_Demand!C296</f>
        <v>2045</v>
      </c>
      <c r="G300" s="11">
        <f>SUMIFS(Trans_Demand!D:D,Trans_Demand!A:A,DMD_TRA!B300,Trans_Demand!C:C,DMD_TRA!F300)</f>
        <v>4758.6882250764902</v>
      </c>
    </row>
    <row r="301" spans="2:7">
      <c r="B301" t="str">
        <f>Trans_Demand!A891</f>
        <v>TRAPASWALDMD</v>
      </c>
      <c r="C301" t="str">
        <f>"DEMAND - "&amp;_xlfn.XLOOKUP(B301,Demand!E:E,Demand!A:A)&amp;" "&amp;_xlfn.XLOOKUP(B301,Demand!E:E,Demand!B:B)&amp;" "&amp;_xlfn.XLOOKUP(B301,Demand!E:E,Demand!C:C)&amp;" "&amp;_xlfn.XLOOKUP(B301,Demand!E:E,Demand!D:D)</f>
        <v xml:space="preserve">DEMAND - Transportation Passenger Walk </v>
      </c>
      <c r="D301" t="str">
        <f>_xlfn.XLOOKUP(B301,Trans_Demand!A:A,Trans_Demand!B:B)</f>
        <v>M Vkm</v>
      </c>
      <c r="E301" t="s">
        <v>214</v>
      </c>
      <c r="F301">
        <f>Trans_Demand!C297</f>
        <v>2050</v>
      </c>
      <c r="G301" s="11">
        <f>SUMIFS(Trans_Demand!D:D,Trans_Demand!A:A,DMD_TRA!B301,Trans_Demand!C:C,DMD_TRA!F301)</f>
        <v>4877.6554307034021</v>
      </c>
    </row>
    <row r="302" spans="2:7">
      <c r="B302" t="str">
        <f>Trans_Demand!A892</f>
        <v>TRAPASWALDMD</v>
      </c>
      <c r="C302" t="str">
        <f>"DEMAND - "&amp;_xlfn.XLOOKUP(B302,Demand!E:E,Demand!A:A)&amp;" "&amp;_xlfn.XLOOKUP(B302,Demand!E:E,Demand!B:B)&amp;" "&amp;_xlfn.XLOOKUP(B302,Demand!E:E,Demand!C:C)&amp;" "&amp;_xlfn.XLOOKUP(B302,Demand!E:E,Demand!D:D)</f>
        <v xml:space="preserve">DEMAND - Transportation Passenger Walk </v>
      </c>
      <c r="D302" t="str">
        <f>_xlfn.XLOOKUP(B302,Trans_Demand!A:A,Trans_Demand!B:B)</f>
        <v>M Vkm</v>
      </c>
      <c r="E302" t="s">
        <v>214</v>
      </c>
      <c r="F302">
        <f>Trans_Demand!C298</f>
        <v>2055</v>
      </c>
      <c r="G302" s="11">
        <f>SUMIFS(Trans_Demand!D:D,Trans_Demand!A:A,DMD_TRA!B302,Trans_Demand!C:C,DMD_TRA!F302)</f>
        <v>4999.5968164709866</v>
      </c>
    </row>
    <row r="303" spans="2:7">
      <c r="B303" t="str">
        <f>Trans_Demand!A893</f>
        <v>TRAPASWALDMD</v>
      </c>
      <c r="C303" t="str">
        <f>"DEMAND - "&amp;_xlfn.XLOOKUP(B303,Demand!E:E,Demand!A:A)&amp;" "&amp;_xlfn.XLOOKUP(B303,Demand!E:E,Demand!B:B)&amp;" "&amp;_xlfn.XLOOKUP(B303,Demand!E:E,Demand!C:C)&amp;" "&amp;_xlfn.XLOOKUP(B303,Demand!E:E,Demand!D:D)</f>
        <v xml:space="preserve">DEMAND - Transportation Passenger Walk </v>
      </c>
      <c r="D303" t="str">
        <f>_xlfn.XLOOKUP(B303,Trans_Demand!A:A,Trans_Demand!B:B)</f>
        <v>M Vkm</v>
      </c>
      <c r="E303" t="s">
        <v>214</v>
      </c>
      <c r="F303">
        <f>Trans_Demand!C299</f>
        <v>2060</v>
      </c>
      <c r="G303" s="11">
        <f>SUMIFS(Trans_Demand!D:D,Trans_Demand!A:A,DMD_TRA!B303,Trans_Demand!C:C,DMD_TRA!F303)</f>
        <v>5124.5867368827612</v>
      </c>
    </row>
    <row r="304" spans="2:7">
      <c r="B304" t="str">
        <f>Trans_Demand!A894</f>
        <v>TRAPASWALDMD</v>
      </c>
      <c r="C304" t="str">
        <f>"DEMAND - "&amp;_xlfn.XLOOKUP(B304,Demand!E:E,Demand!A:A)&amp;" "&amp;_xlfn.XLOOKUP(B304,Demand!E:E,Demand!B:B)&amp;" "&amp;_xlfn.XLOOKUP(B304,Demand!E:E,Demand!C:C)&amp;" "&amp;_xlfn.XLOOKUP(B304,Demand!E:E,Demand!D:D)</f>
        <v xml:space="preserve">DEMAND - Transportation Passenger Walk </v>
      </c>
      <c r="D304" t="str">
        <f>_xlfn.XLOOKUP(B304,Trans_Demand!A:A,Trans_Demand!B:B)</f>
        <v>M Vkm</v>
      </c>
      <c r="E304" t="s">
        <v>214</v>
      </c>
      <c r="F304">
        <f>Trans_Demand!C300</f>
        <v>2065</v>
      </c>
      <c r="G304" s="11">
        <f>SUMIFS(Trans_Demand!D:D,Trans_Demand!A:A,DMD_TRA!B304,Trans_Demand!C:C,DMD_TRA!F304)</f>
        <v>5252.7014053048297</v>
      </c>
    </row>
    <row r="305" spans="2:7">
      <c r="B305" t="str">
        <f>Trans_Demand!A895</f>
        <v>TRAPASWALDMD</v>
      </c>
      <c r="C305" t="str">
        <f>"DEMAND - "&amp;_xlfn.XLOOKUP(B305,Demand!E:E,Demand!A:A)&amp;" "&amp;_xlfn.XLOOKUP(B305,Demand!E:E,Demand!B:B)&amp;" "&amp;_xlfn.XLOOKUP(B305,Demand!E:E,Demand!C:C)&amp;" "&amp;_xlfn.XLOOKUP(B305,Demand!E:E,Demand!D:D)</f>
        <v xml:space="preserve">DEMAND - Transportation Passenger Walk </v>
      </c>
      <c r="D305" t="str">
        <f>_xlfn.XLOOKUP(B305,Trans_Demand!A:A,Trans_Demand!B:B)</f>
        <v>M Vkm</v>
      </c>
      <c r="E305" t="s">
        <v>214</v>
      </c>
      <c r="F305">
        <f>Trans_Demand!C301</f>
        <v>2070</v>
      </c>
      <c r="G305" s="11">
        <f>SUMIFS(Trans_Demand!D:D,Trans_Demand!A:A,DMD_TRA!B305,Trans_Demand!C:C,DMD_TRA!F305)</f>
        <v>5384.0189404374496</v>
      </c>
    </row>
    <row r="306" spans="2:7">
      <c r="B306" t="str">
        <f>Trans_Demand!A896</f>
        <v>TRAPASWALDMD</v>
      </c>
      <c r="C306" t="str">
        <f>"DEMAND - "&amp;_xlfn.XLOOKUP(B306,Demand!E:E,Demand!A:A)&amp;" "&amp;_xlfn.XLOOKUP(B306,Demand!E:E,Demand!B:B)&amp;" "&amp;_xlfn.XLOOKUP(B306,Demand!E:E,Demand!C:C)&amp;" "&amp;_xlfn.XLOOKUP(B306,Demand!E:E,Demand!D:D)</f>
        <v xml:space="preserve">DEMAND - Transportation Passenger Walk </v>
      </c>
      <c r="D306" t="str">
        <f>_xlfn.XLOOKUP(B306,Trans_Demand!A:A,Trans_Demand!B:B)</f>
        <v>M Vkm</v>
      </c>
      <c r="E306" t="s">
        <v>214</v>
      </c>
      <c r="F306">
        <f>Trans_Demand!C302</f>
        <v>2075</v>
      </c>
      <c r="G306" s="11">
        <f>SUMIFS(Trans_Demand!D:D,Trans_Demand!A:A,DMD_TRA!B306,Trans_Demand!C:C,DMD_TRA!F306)</f>
        <v>5518.619413948385</v>
      </c>
    </row>
    <row r="307" spans="2:7">
      <c r="B307" t="str">
        <f>Trans_Demand!A897</f>
        <v>TRAPASWALDMD</v>
      </c>
      <c r="C307" t="str">
        <f>"DEMAND - "&amp;_xlfn.XLOOKUP(B307,Demand!E:E,Demand!A:A)&amp;" "&amp;_xlfn.XLOOKUP(B307,Demand!E:E,Demand!B:B)&amp;" "&amp;_xlfn.XLOOKUP(B307,Demand!E:E,Demand!C:C)&amp;" "&amp;_xlfn.XLOOKUP(B307,Demand!E:E,Demand!D:D)</f>
        <v xml:space="preserve">DEMAND - Transportation Passenger Walk </v>
      </c>
      <c r="D307" t="str">
        <f>_xlfn.XLOOKUP(B307,Trans_Demand!A:A,Trans_Demand!B:B)</f>
        <v>M Vkm</v>
      </c>
      <c r="E307" t="s">
        <v>214</v>
      </c>
      <c r="F307">
        <f>Trans_Demand!C303</f>
        <v>2080</v>
      </c>
      <c r="G307" s="11">
        <f>SUMIFS(Trans_Demand!D:D,Trans_Demand!A:A,DMD_TRA!B307,Trans_Demand!C:C,DMD_TRA!F307)</f>
        <v>5656.5848992970941</v>
      </c>
    </row>
    <row r="308" spans="2:7">
      <c r="B308" t="str">
        <f>Trans_Demand!A898</f>
        <v>TRAPASWALDMD</v>
      </c>
      <c r="C308" t="str">
        <f>"DEMAND - "&amp;_xlfn.XLOOKUP(B308,Demand!E:E,Demand!A:A)&amp;" "&amp;_xlfn.XLOOKUP(B308,Demand!E:E,Demand!B:B)&amp;" "&amp;_xlfn.XLOOKUP(B308,Demand!E:E,Demand!C:C)&amp;" "&amp;_xlfn.XLOOKUP(B308,Demand!E:E,Demand!D:D)</f>
        <v xml:space="preserve">DEMAND - Transportation Passenger Walk </v>
      </c>
      <c r="D308" t="str">
        <f>_xlfn.XLOOKUP(B308,Trans_Demand!A:A,Trans_Demand!B:B)</f>
        <v>M Vkm</v>
      </c>
      <c r="E308" t="s">
        <v>214</v>
      </c>
      <c r="F308">
        <f>Trans_Demand!C304</f>
        <v>2085</v>
      </c>
      <c r="G308" s="11">
        <f>SUMIFS(Trans_Demand!D:D,Trans_Demand!A:A,DMD_TRA!B308,Trans_Demand!C:C,DMD_TRA!F308)</f>
        <v>5797.9995217795213</v>
      </c>
    </row>
    <row r="309" spans="2:7">
      <c r="B309" t="str">
        <f>Trans_Demand!A899</f>
        <v>TRAPASWALDMD</v>
      </c>
      <c r="C309" t="str">
        <f>"DEMAND - "&amp;_xlfn.XLOOKUP(B309,Demand!E:E,Demand!A:A)&amp;" "&amp;_xlfn.XLOOKUP(B309,Demand!E:E,Demand!B:B)&amp;" "&amp;_xlfn.XLOOKUP(B309,Demand!E:E,Demand!C:C)&amp;" "&amp;_xlfn.XLOOKUP(B309,Demand!E:E,Demand!D:D)</f>
        <v xml:space="preserve">DEMAND - Transportation Passenger Walk </v>
      </c>
      <c r="D309" t="str">
        <f>_xlfn.XLOOKUP(B309,Trans_Demand!A:A,Trans_Demand!B:B)</f>
        <v>M Vkm</v>
      </c>
      <c r="E309" t="s">
        <v>214</v>
      </c>
      <c r="F309">
        <f>Trans_Demand!C305</f>
        <v>2090</v>
      </c>
      <c r="G309" s="11">
        <f>SUMIFS(Trans_Demand!D:D,Trans_Demand!A:A,DMD_TRA!B309,Trans_Demand!C:C,DMD_TRA!F309)</f>
        <v>5942.9495098240086</v>
      </c>
    </row>
    <row r="310" spans="2:7">
      <c r="B310" t="str">
        <f>Trans_Demand!A900</f>
        <v>TRAPASWALDMD</v>
      </c>
      <c r="C310" t="str">
        <f>"DEMAND - "&amp;_xlfn.XLOOKUP(B310,Demand!E:E,Demand!A:A)&amp;" "&amp;_xlfn.XLOOKUP(B310,Demand!E:E,Demand!B:B)&amp;" "&amp;_xlfn.XLOOKUP(B310,Demand!E:E,Demand!C:C)&amp;" "&amp;_xlfn.XLOOKUP(B310,Demand!E:E,Demand!D:D)</f>
        <v xml:space="preserve">DEMAND - Transportation Passenger Walk </v>
      </c>
      <c r="D310" t="str">
        <f>_xlfn.XLOOKUP(B310,Trans_Demand!A:A,Trans_Demand!B:B)</f>
        <v>M Vkm</v>
      </c>
      <c r="E310" t="s">
        <v>214</v>
      </c>
      <c r="F310">
        <f>Trans_Demand!C306</f>
        <v>2095</v>
      </c>
      <c r="G310" s="11">
        <f>SUMIFS(Trans_Demand!D:D,Trans_Demand!A:A,DMD_TRA!B310,Trans_Demand!C:C,DMD_TRA!F310)</f>
        <v>6091.5232475696084</v>
      </c>
    </row>
    <row r="311" spans="2:7">
      <c r="B311" t="str">
        <f>Trans_Demand!A901</f>
        <v>TRAPASWALDMD</v>
      </c>
      <c r="C311" t="str">
        <f>"DEMAND - "&amp;_xlfn.XLOOKUP(B311,Demand!E:E,Demand!A:A)&amp;" "&amp;_xlfn.XLOOKUP(B311,Demand!E:E,Demand!B:B)&amp;" "&amp;_xlfn.XLOOKUP(B311,Demand!E:E,Demand!C:C)&amp;" "&amp;_xlfn.XLOOKUP(B311,Demand!E:E,Demand!D:D)</f>
        <v xml:space="preserve">DEMAND - Transportation Passenger Walk </v>
      </c>
      <c r="D311" t="str">
        <f>_xlfn.XLOOKUP(B311,Trans_Demand!A:A,Trans_Demand!B:B)</f>
        <v>M Vkm</v>
      </c>
      <c r="E311" t="s">
        <v>214</v>
      </c>
      <c r="F311">
        <f>Trans_Demand!C307</f>
        <v>2100</v>
      </c>
      <c r="G311" s="11">
        <f>SUMIFS(Trans_Demand!D:D,Trans_Demand!A:A,DMD_TRA!B311,Trans_Demand!C:C,DMD_TRA!F311)</f>
        <v>6243.8113287588494</v>
      </c>
    </row>
    <row r="312" spans="2:7">
      <c r="B312" t="str">
        <f>Trans_Demand!A902</f>
        <v>TRAOTHOFRDMD</v>
      </c>
      <c r="C312" t="str">
        <f>"DEMAND - "&amp;_xlfn.XLOOKUP(B312,Demand!E:E,Demand!A:A)&amp;" "&amp;_xlfn.XLOOKUP(B312,Demand!E:E,Demand!B:B)&amp;" "&amp;_xlfn.XLOOKUP(B312,Demand!E:E,Demand!C:C)&amp;" "&amp;_xlfn.XLOOKUP(B312,Demand!E:E,Demand!D:D)</f>
        <v xml:space="preserve">DEMAND - Transportation Other Off-Road </v>
      </c>
      <c r="D312" t="str">
        <f>_xlfn.XLOOKUP(B312,Trans_Demand!A:A,Trans_Demand!B:B)</f>
        <v>M Vkm</v>
      </c>
      <c r="E312" t="s">
        <v>214</v>
      </c>
      <c r="F312">
        <f>Trans_Demand!C308</f>
        <v>2019</v>
      </c>
      <c r="G312" s="11">
        <f>SUMIFS(Trans_Demand!D:D,Trans_Demand!A:A,DMD_TRA!B312,Trans_Demand!C:C,DMD_TRA!F312)</f>
        <v>0</v>
      </c>
    </row>
    <row r="313" spans="2:7">
      <c r="B313" t="str">
        <f>Trans_Demand!A903</f>
        <v>TRAOTHOFRDMD</v>
      </c>
      <c r="C313" t="str">
        <f>"DEMAND - "&amp;_xlfn.XLOOKUP(B313,Demand!E:E,Demand!A:A)&amp;" "&amp;_xlfn.XLOOKUP(B313,Demand!E:E,Demand!B:B)&amp;" "&amp;_xlfn.XLOOKUP(B313,Demand!E:E,Demand!C:C)&amp;" "&amp;_xlfn.XLOOKUP(B313,Demand!E:E,Demand!D:D)</f>
        <v xml:space="preserve">DEMAND - Transportation Other Off-Road </v>
      </c>
      <c r="D313" t="str">
        <f>_xlfn.XLOOKUP(B313,Trans_Demand!A:A,Trans_Demand!B:B)</f>
        <v>M Vkm</v>
      </c>
      <c r="E313" t="s">
        <v>214</v>
      </c>
      <c r="F313">
        <f>Trans_Demand!C309</f>
        <v>2020</v>
      </c>
      <c r="G313" s="11">
        <f>SUMIFS(Trans_Demand!D:D,Trans_Demand!A:A,DMD_TRA!B313,Trans_Demand!C:C,DMD_TRA!F313)</f>
        <v>0</v>
      </c>
    </row>
    <row r="314" spans="2:7">
      <c r="B314" t="str">
        <f>Trans_Demand!A904</f>
        <v>TRAOTHOFRDMD</v>
      </c>
      <c r="C314" t="str">
        <f>"DEMAND - "&amp;_xlfn.XLOOKUP(B314,Demand!E:E,Demand!A:A)&amp;" "&amp;_xlfn.XLOOKUP(B314,Demand!E:E,Demand!B:B)&amp;" "&amp;_xlfn.XLOOKUP(B314,Demand!E:E,Demand!C:C)&amp;" "&amp;_xlfn.XLOOKUP(B314,Demand!E:E,Demand!D:D)</f>
        <v xml:space="preserve">DEMAND - Transportation Other Off-Road </v>
      </c>
      <c r="D314" t="str">
        <f>_xlfn.XLOOKUP(B314,Trans_Demand!A:A,Trans_Demand!B:B)</f>
        <v>M Vkm</v>
      </c>
      <c r="E314" t="s">
        <v>214</v>
      </c>
      <c r="F314">
        <f>Trans_Demand!C310</f>
        <v>2025</v>
      </c>
      <c r="G314" s="11">
        <f>SUMIFS(Trans_Demand!D:D,Trans_Demand!A:A,DMD_TRA!B314,Trans_Demand!C:C,DMD_TRA!F314)</f>
        <v>0</v>
      </c>
    </row>
    <row r="315" spans="2:7">
      <c r="B315" t="str">
        <f>Trans_Demand!A905</f>
        <v>TRAOTHOFRDMD</v>
      </c>
      <c r="C315" t="str">
        <f>"DEMAND - "&amp;_xlfn.XLOOKUP(B315,Demand!E:E,Demand!A:A)&amp;" "&amp;_xlfn.XLOOKUP(B315,Demand!E:E,Demand!B:B)&amp;" "&amp;_xlfn.XLOOKUP(B315,Demand!E:E,Demand!C:C)&amp;" "&amp;_xlfn.XLOOKUP(B315,Demand!E:E,Demand!D:D)</f>
        <v xml:space="preserve">DEMAND - Transportation Other Off-Road </v>
      </c>
      <c r="D315" t="str">
        <f>_xlfn.XLOOKUP(B315,Trans_Demand!A:A,Trans_Demand!B:B)</f>
        <v>M Vkm</v>
      </c>
      <c r="E315" t="s">
        <v>214</v>
      </c>
      <c r="F315">
        <f>Trans_Demand!C311</f>
        <v>2030</v>
      </c>
      <c r="G315" s="11">
        <f>SUMIFS(Trans_Demand!D:D,Trans_Demand!A:A,DMD_TRA!B315,Trans_Demand!C:C,DMD_TRA!F315)</f>
        <v>0</v>
      </c>
    </row>
    <row r="316" spans="2:7">
      <c r="B316" t="str">
        <f>Trans_Demand!A906</f>
        <v>TRAOTHOFRDMD</v>
      </c>
      <c r="C316" t="str">
        <f>"DEMAND - "&amp;_xlfn.XLOOKUP(B316,Demand!E:E,Demand!A:A)&amp;" "&amp;_xlfn.XLOOKUP(B316,Demand!E:E,Demand!B:B)&amp;" "&amp;_xlfn.XLOOKUP(B316,Demand!E:E,Demand!C:C)&amp;" "&amp;_xlfn.XLOOKUP(B316,Demand!E:E,Demand!D:D)</f>
        <v xml:space="preserve">DEMAND - Transportation Other Off-Road </v>
      </c>
      <c r="D316" t="str">
        <f>_xlfn.XLOOKUP(B316,Trans_Demand!A:A,Trans_Demand!B:B)</f>
        <v>M Vkm</v>
      </c>
      <c r="E316" t="s">
        <v>214</v>
      </c>
      <c r="F316">
        <f>Trans_Demand!C312</f>
        <v>2035</v>
      </c>
      <c r="G316" s="11">
        <f>SUMIFS(Trans_Demand!D:D,Trans_Demand!A:A,DMD_TRA!B316,Trans_Demand!C:C,DMD_TRA!F316)</f>
        <v>0</v>
      </c>
    </row>
    <row r="317" spans="2:7">
      <c r="B317" t="str">
        <f>Trans_Demand!A907</f>
        <v>TRAOTHOFRDMD</v>
      </c>
      <c r="C317" t="str">
        <f>"DEMAND - "&amp;_xlfn.XLOOKUP(B317,Demand!E:E,Demand!A:A)&amp;" "&amp;_xlfn.XLOOKUP(B317,Demand!E:E,Demand!B:B)&amp;" "&amp;_xlfn.XLOOKUP(B317,Demand!E:E,Demand!C:C)&amp;" "&amp;_xlfn.XLOOKUP(B317,Demand!E:E,Demand!D:D)</f>
        <v xml:space="preserve">DEMAND - Transportation Other Off-Road </v>
      </c>
      <c r="D317" t="str">
        <f>_xlfn.XLOOKUP(B317,Trans_Demand!A:A,Trans_Demand!B:B)</f>
        <v>M Vkm</v>
      </c>
      <c r="E317" t="s">
        <v>214</v>
      </c>
      <c r="F317">
        <f>Trans_Demand!C313</f>
        <v>2040</v>
      </c>
      <c r="G317" s="11">
        <f>SUMIFS(Trans_Demand!D:D,Trans_Demand!A:A,DMD_TRA!B317,Trans_Demand!C:C,DMD_TRA!F317)</f>
        <v>0</v>
      </c>
    </row>
    <row r="318" spans="2:7">
      <c r="B318" t="str">
        <f>Trans_Demand!A908</f>
        <v>TRAOTHOFRDMD</v>
      </c>
      <c r="C318" t="str">
        <f>"DEMAND - "&amp;_xlfn.XLOOKUP(B318,Demand!E:E,Demand!A:A)&amp;" "&amp;_xlfn.XLOOKUP(B318,Demand!E:E,Demand!B:B)&amp;" "&amp;_xlfn.XLOOKUP(B318,Demand!E:E,Demand!C:C)&amp;" "&amp;_xlfn.XLOOKUP(B318,Demand!E:E,Demand!D:D)</f>
        <v xml:space="preserve">DEMAND - Transportation Other Off-Road </v>
      </c>
      <c r="D318" t="str">
        <f>_xlfn.XLOOKUP(B318,Trans_Demand!A:A,Trans_Demand!B:B)</f>
        <v>M Vkm</v>
      </c>
      <c r="E318" t="s">
        <v>214</v>
      </c>
      <c r="F318">
        <f>Trans_Demand!C314</f>
        <v>2045</v>
      </c>
      <c r="G318" s="11">
        <f>SUMIFS(Trans_Demand!D:D,Trans_Demand!A:A,DMD_TRA!B318,Trans_Demand!C:C,DMD_TRA!F318)</f>
        <v>0</v>
      </c>
    </row>
    <row r="319" spans="2:7">
      <c r="B319" t="str">
        <f>Trans_Demand!A909</f>
        <v>TRAOTHOFRDMD</v>
      </c>
      <c r="C319" t="str">
        <f>"DEMAND - "&amp;_xlfn.XLOOKUP(B319,Demand!E:E,Demand!A:A)&amp;" "&amp;_xlfn.XLOOKUP(B319,Demand!E:E,Demand!B:B)&amp;" "&amp;_xlfn.XLOOKUP(B319,Demand!E:E,Demand!C:C)&amp;" "&amp;_xlfn.XLOOKUP(B319,Demand!E:E,Demand!D:D)</f>
        <v xml:space="preserve">DEMAND - Transportation Other Off-Road </v>
      </c>
      <c r="D319" t="str">
        <f>_xlfn.XLOOKUP(B319,Trans_Demand!A:A,Trans_Demand!B:B)</f>
        <v>M Vkm</v>
      </c>
      <c r="E319" t="s">
        <v>214</v>
      </c>
      <c r="F319">
        <f>Trans_Demand!C315</f>
        <v>2050</v>
      </c>
      <c r="G319" s="11">
        <f>SUMIFS(Trans_Demand!D:D,Trans_Demand!A:A,DMD_TRA!B319,Trans_Demand!C:C,DMD_TRA!F319)</f>
        <v>0</v>
      </c>
    </row>
    <row r="320" spans="2:7">
      <c r="B320" t="str">
        <f>Trans_Demand!A910</f>
        <v>TRAOTHOFRDMD</v>
      </c>
      <c r="C320" t="str">
        <f>"DEMAND - "&amp;_xlfn.XLOOKUP(B320,Demand!E:E,Demand!A:A)&amp;" "&amp;_xlfn.XLOOKUP(B320,Demand!E:E,Demand!B:B)&amp;" "&amp;_xlfn.XLOOKUP(B320,Demand!E:E,Demand!C:C)&amp;" "&amp;_xlfn.XLOOKUP(B320,Demand!E:E,Demand!D:D)</f>
        <v xml:space="preserve">DEMAND - Transportation Other Off-Road </v>
      </c>
      <c r="D320" t="str">
        <f>_xlfn.XLOOKUP(B320,Trans_Demand!A:A,Trans_Demand!B:B)</f>
        <v>M Vkm</v>
      </c>
      <c r="E320" t="s">
        <v>214</v>
      </c>
      <c r="F320">
        <f>Trans_Demand!C316</f>
        <v>2055</v>
      </c>
      <c r="G320" s="11">
        <f>SUMIFS(Trans_Demand!D:D,Trans_Demand!A:A,DMD_TRA!B320,Trans_Demand!C:C,DMD_TRA!F320)</f>
        <v>0</v>
      </c>
    </row>
    <row r="321" spans="2:7">
      <c r="B321" t="str">
        <f>Trans_Demand!A911</f>
        <v>TRAOTHOFRDMD</v>
      </c>
      <c r="C321" t="str">
        <f>"DEMAND - "&amp;_xlfn.XLOOKUP(B321,Demand!E:E,Demand!A:A)&amp;" "&amp;_xlfn.XLOOKUP(B321,Demand!E:E,Demand!B:B)&amp;" "&amp;_xlfn.XLOOKUP(B321,Demand!E:E,Demand!C:C)&amp;" "&amp;_xlfn.XLOOKUP(B321,Demand!E:E,Demand!D:D)</f>
        <v xml:space="preserve">DEMAND - Transportation Other Off-Road </v>
      </c>
      <c r="D321" t="str">
        <f>_xlfn.XLOOKUP(B321,Trans_Demand!A:A,Trans_Demand!B:B)</f>
        <v>M Vkm</v>
      </c>
      <c r="E321" t="s">
        <v>214</v>
      </c>
      <c r="F321">
        <f>Trans_Demand!C317</f>
        <v>2060</v>
      </c>
      <c r="G321" s="11">
        <f>SUMIFS(Trans_Demand!D:D,Trans_Demand!A:A,DMD_TRA!B321,Trans_Demand!C:C,DMD_TRA!F321)</f>
        <v>0</v>
      </c>
    </row>
    <row r="322" spans="2:7">
      <c r="B322" t="str">
        <f>Trans_Demand!A912</f>
        <v>TRAOTHOFRDMD</v>
      </c>
      <c r="C322" t="str">
        <f>"DEMAND - "&amp;_xlfn.XLOOKUP(B322,Demand!E:E,Demand!A:A)&amp;" "&amp;_xlfn.XLOOKUP(B322,Demand!E:E,Demand!B:B)&amp;" "&amp;_xlfn.XLOOKUP(B322,Demand!E:E,Demand!C:C)&amp;" "&amp;_xlfn.XLOOKUP(B322,Demand!E:E,Demand!D:D)</f>
        <v xml:space="preserve">DEMAND - Transportation Other Off-Road </v>
      </c>
      <c r="D322" t="str">
        <f>_xlfn.XLOOKUP(B322,Trans_Demand!A:A,Trans_Demand!B:B)</f>
        <v>M Vkm</v>
      </c>
      <c r="E322" t="s">
        <v>214</v>
      </c>
      <c r="F322">
        <f>Trans_Demand!C318</f>
        <v>2065</v>
      </c>
      <c r="G322" s="11">
        <f>SUMIFS(Trans_Demand!D:D,Trans_Demand!A:A,DMD_TRA!B322,Trans_Demand!C:C,DMD_TRA!F322)</f>
        <v>0</v>
      </c>
    </row>
    <row r="323" spans="2:7">
      <c r="B323" t="str">
        <f>Trans_Demand!A913</f>
        <v>TRAOTHOFRDMD</v>
      </c>
      <c r="C323" t="str">
        <f>"DEMAND - "&amp;_xlfn.XLOOKUP(B323,Demand!E:E,Demand!A:A)&amp;" "&amp;_xlfn.XLOOKUP(B323,Demand!E:E,Demand!B:B)&amp;" "&amp;_xlfn.XLOOKUP(B323,Demand!E:E,Demand!C:C)&amp;" "&amp;_xlfn.XLOOKUP(B323,Demand!E:E,Demand!D:D)</f>
        <v xml:space="preserve">DEMAND - Transportation Other Off-Road </v>
      </c>
      <c r="D323" t="str">
        <f>_xlfn.XLOOKUP(B323,Trans_Demand!A:A,Trans_Demand!B:B)</f>
        <v>M Vkm</v>
      </c>
      <c r="E323" t="s">
        <v>214</v>
      </c>
      <c r="F323">
        <f>Trans_Demand!C319</f>
        <v>2070</v>
      </c>
      <c r="G323" s="11">
        <f>SUMIFS(Trans_Demand!D:D,Trans_Demand!A:A,DMD_TRA!B323,Trans_Demand!C:C,DMD_TRA!F323)</f>
        <v>0</v>
      </c>
    </row>
    <row r="324" spans="2:7">
      <c r="B324" t="str">
        <f>Trans_Demand!A914</f>
        <v>TRAOTHOFRDMD</v>
      </c>
      <c r="C324" t="str">
        <f>"DEMAND - "&amp;_xlfn.XLOOKUP(B324,Demand!E:E,Demand!A:A)&amp;" "&amp;_xlfn.XLOOKUP(B324,Demand!E:E,Demand!B:B)&amp;" "&amp;_xlfn.XLOOKUP(B324,Demand!E:E,Demand!C:C)&amp;" "&amp;_xlfn.XLOOKUP(B324,Demand!E:E,Demand!D:D)</f>
        <v xml:space="preserve">DEMAND - Transportation Other Off-Road </v>
      </c>
      <c r="D324" t="str">
        <f>_xlfn.XLOOKUP(B324,Trans_Demand!A:A,Trans_Demand!B:B)</f>
        <v>M Vkm</v>
      </c>
      <c r="E324" t="s">
        <v>214</v>
      </c>
      <c r="F324">
        <f>Trans_Demand!C320</f>
        <v>2075</v>
      </c>
      <c r="G324" s="11">
        <f>SUMIFS(Trans_Demand!D:D,Trans_Demand!A:A,DMD_TRA!B324,Trans_Demand!C:C,DMD_TRA!F324)</f>
        <v>0</v>
      </c>
    </row>
    <row r="325" spans="2:7">
      <c r="B325" t="str">
        <f>Trans_Demand!A915</f>
        <v>TRAOTHOFRDMD</v>
      </c>
      <c r="C325" t="str">
        <f>"DEMAND - "&amp;_xlfn.XLOOKUP(B325,Demand!E:E,Demand!A:A)&amp;" "&amp;_xlfn.XLOOKUP(B325,Demand!E:E,Demand!B:B)&amp;" "&amp;_xlfn.XLOOKUP(B325,Demand!E:E,Demand!C:C)&amp;" "&amp;_xlfn.XLOOKUP(B325,Demand!E:E,Demand!D:D)</f>
        <v xml:space="preserve">DEMAND - Transportation Other Off-Road </v>
      </c>
      <c r="D325" t="str">
        <f>_xlfn.XLOOKUP(B325,Trans_Demand!A:A,Trans_Demand!B:B)</f>
        <v>M Vkm</v>
      </c>
      <c r="E325" t="s">
        <v>214</v>
      </c>
      <c r="F325">
        <f>Trans_Demand!C321</f>
        <v>2080</v>
      </c>
      <c r="G325" s="11">
        <f>SUMIFS(Trans_Demand!D:D,Trans_Demand!A:A,DMD_TRA!B325,Trans_Demand!C:C,DMD_TRA!F325)</f>
        <v>0</v>
      </c>
    </row>
    <row r="326" spans="2:7">
      <c r="B326" t="str">
        <f>Trans_Demand!A916</f>
        <v>TRAOTHOFRDMD</v>
      </c>
      <c r="C326" t="str">
        <f>"DEMAND - "&amp;_xlfn.XLOOKUP(B326,Demand!E:E,Demand!A:A)&amp;" "&amp;_xlfn.XLOOKUP(B326,Demand!E:E,Demand!B:B)&amp;" "&amp;_xlfn.XLOOKUP(B326,Demand!E:E,Demand!C:C)&amp;" "&amp;_xlfn.XLOOKUP(B326,Demand!E:E,Demand!D:D)</f>
        <v xml:space="preserve">DEMAND - Transportation Other Off-Road </v>
      </c>
      <c r="D326" t="str">
        <f>_xlfn.XLOOKUP(B326,Trans_Demand!A:A,Trans_Demand!B:B)</f>
        <v>M Vkm</v>
      </c>
      <c r="E326" t="s">
        <v>214</v>
      </c>
      <c r="F326">
        <f>Trans_Demand!C322</f>
        <v>2085</v>
      </c>
      <c r="G326" s="11">
        <f>SUMIFS(Trans_Demand!D:D,Trans_Demand!A:A,DMD_TRA!B326,Trans_Demand!C:C,DMD_TRA!F326)</f>
        <v>0</v>
      </c>
    </row>
    <row r="327" spans="2:7">
      <c r="B327" t="str">
        <f>Trans_Demand!A917</f>
        <v>TRAOTHOFRDMD</v>
      </c>
      <c r="C327" t="str">
        <f>"DEMAND - "&amp;_xlfn.XLOOKUP(B327,Demand!E:E,Demand!A:A)&amp;" "&amp;_xlfn.XLOOKUP(B327,Demand!E:E,Demand!B:B)&amp;" "&amp;_xlfn.XLOOKUP(B327,Demand!E:E,Demand!C:C)&amp;" "&amp;_xlfn.XLOOKUP(B327,Demand!E:E,Demand!D:D)</f>
        <v xml:space="preserve">DEMAND - Transportation Other Off-Road </v>
      </c>
      <c r="D327" t="str">
        <f>_xlfn.XLOOKUP(B327,Trans_Demand!A:A,Trans_Demand!B:B)</f>
        <v>M Vkm</v>
      </c>
      <c r="E327" t="s">
        <v>214</v>
      </c>
      <c r="F327">
        <f>Trans_Demand!C323</f>
        <v>2090</v>
      </c>
      <c r="G327" s="11">
        <f>SUMIFS(Trans_Demand!D:D,Trans_Demand!A:A,DMD_TRA!B327,Trans_Demand!C:C,DMD_TRA!F327)</f>
        <v>0</v>
      </c>
    </row>
    <row r="328" spans="2:7">
      <c r="B328" t="str">
        <f>Trans_Demand!A918</f>
        <v>TRAOTHOFRDMD</v>
      </c>
      <c r="C328" t="str">
        <f>"DEMAND - "&amp;_xlfn.XLOOKUP(B328,Demand!E:E,Demand!A:A)&amp;" "&amp;_xlfn.XLOOKUP(B328,Demand!E:E,Demand!B:B)&amp;" "&amp;_xlfn.XLOOKUP(B328,Demand!E:E,Demand!C:C)&amp;" "&amp;_xlfn.XLOOKUP(B328,Demand!E:E,Demand!D:D)</f>
        <v xml:space="preserve">DEMAND - Transportation Other Off-Road </v>
      </c>
      <c r="D328" t="str">
        <f>_xlfn.XLOOKUP(B328,Trans_Demand!A:A,Trans_Demand!B:B)</f>
        <v>M Vkm</v>
      </c>
      <c r="E328" t="s">
        <v>214</v>
      </c>
      <c r="F328">
        <f>Trans_Demand!C324</f>
        <v>2095</v>
      </c>
      <c r="G328" s="11">
        <f>SUMIFS(Trans_Demand!D:D,Trans_Demand!A:A,DMD_TRA!B328,Trans_Demand!C:C,DMD_TRA!F328)</f>
        <v>0</v>
      </c>
    </row>
    <row r="329" spans="2:7">
      <c r="B329" t="str">
        <f>Trans_Demand!A919</f>
        <v>TRAOTHOFRDMD</v>
      </c>
      <c r="C329" t="str">
        <f>"DEMAND - "&amp;_xlfn.XLOOKUP(B329,Demand!E:E,Demand!A:A)&amp;" "&amp;_xlfn.XLOOKUP(B329,Demand!E:E,Demand!B:B)&amp;" "&amp;_xlfn.XLOOKUP(B329,Demand!E:E,Demand!C:C)&amp;" "&amp;_xlfn.XLOOKUP(B329,Demand!E:E,Demand!D:D)</f>
        <v xml:space="preserve">DEMAND - Transportation Other Off-Road </v>
      </c>
      <c r="D329" t="str">
        <f>_xlfn.XLOOKUP(B329,Trans_Demand!A:A,Trans_Demand!B:B)</f>
        <v>M Vkm</v>
      </c>
      <c r="E329" t="s">
        <v>214</v>
      </c>
      <c r="F329">
        <f>Trans_Demand!C325</f>
        <v>2100</v>
      </c>
      <c r="G329" s="11">
        <f>SUMIFS(Trans_Demand!D:D,Trans_Demand!A:A,DMD_TRA!B329,Trans_Demand!C:C,DMD_TRA!F329)</f>
        <v>0</v>
      </c>
    </row>
    <row r="330" spans="2:7">
      <c r="B330" t="str">
        <f>Trans_Demand!A920</f>
        <v>TRAOTHWATDMD</v>
      </c>
      <c r="C330" t="str">
        <f>"DEMAND - "&amp;_xlfn.XLOOKUP(B330,Demand!E:E,Demand!A:A)&amp;" "&amp;_xlfn.XLOOKUP(B330,Demand!E:E,Demand!B:B)&amp;" "&amp;_xlfn.XLOOKUP(B330,Demand!E:E,Demand!C:C)&amp;" "&amp;_xlfn.XLOOKUP(B330,Demand!E:E,Demand!D:D)</f>
        <v xml:space="preserve">DEMAND - Transportation Other Waterborne </v>
      </c>
      <c r="D330" t="str">
        <f>_xlfn.XLOOKUP(B330,Trans_Demand!A:A,Trans_Demand!B:B)</f>
        <v>M Vkm</v>
      </c>
      <c r="E330" t="s">
        <v>214</v>
      </c>
      <c r="F330">
        <f>Trans_Demand!C326</f>
        <v>2019</v>
      </c>
      <c r="G330" s="11">
        <f>SUMIFS(Trans_Demand!D:D,Trans_Demand!A:A,DMD_TRA!B330,Trans_Demand!C:C,DMD_TRA!F330)</f>
        <v>1.605430432772551</v>
      </c>
    </row>
    <row r="331" spans="2:7">
      <c r="B331" t="str">
        <f>Trans_Demand!A921</f>
        <v>TRAOTHWATDMD</v>
      </c>
      <c r="C331" t="str">
        <f>"DEMAND - "&amp;_xlfn.XLOOKUP(B331,Demand!E:E,Demand!A:A)&amp;" "&amp;_xlfn.XLOOKUP(B331,Demand!E:E,Demand!B:B)&amp;" "&amp;_xlfn.XLOOKUP(B331,Demand!E:E,Demand!C:C)&amp;" "&amp;_xlfn.XLOOKUP(B331,Demand!E:E,Demand!D:D)</f>
        <v xml:space="preserve">DEMAND - Transportation Other Waterborne </v>
      </c>
      <c r="D331" t="str">
        <f>_xlfn.XLOOKUP(B331,Trans_Demand!A:A,Trans_Demand!B:B)</f>
        <v>M Vkm</v>
      </c>
      <c r="E331" t="s">
        <v>214</v>
      </c>
      <c r="F331">
        <f>Trans_Demand!C327</f>
        <v>2020</v>
      </c>
      <c r="G331" s="11">
        <f>SUMIFS(Trans_Demand!D:D,Trans_Demand!A:A,DMD_TRA!B331,Trans_Demand!C:C,DMD_TRA!F331)</f>
        <v>1.6134575849364139</v>
      </c>
    </row>
    <row r="332" spans="2:7">
      <c r="B332" t="str">
        <f>Trans_Demand!A922</f>
        <v>TRAOTHWATDMD</v>
      </c>
      <c r="C332" t="str">
        <f>"DEMAND - "&amp;_xlfn.XLOOKUP(B332,Demand!E:E,Demand!A:A)&amp;" "&amp;_xlfn.XLOOKUP(B332,Demand!E:E,Demand!B:B)&amp;" "&amp;_xlfn.XLOOKUP(B332,Demand!E:E,Demand!C:C)&amp;" "&amp;_xlfn.XLOOKUP(B332,Demand!E:E,Demand!D:D)</f>
        <v xml:space="preserve">DEMAND - Transportation Other Waterborne </v>
      </c>
      <c r="D332" t="str">
        <f>_xlfn.XLOOKUP(B332,Trans_Demand!A:A,Trans_Demand!B:B)</f>
        <v>M Vkm</v>
      </c>
      <c r="E332" t="s">
        <v>214</v>
      </c>
      <c r="F332">
        <f>Trans_Demand!C328</f>
        <v>2025</v>
      </c>
      <c r="G332" s="11">
        <f>SUMIFS(Trans_Demand!D:D,Trans_Demand!A:A,DMD_TRA!B332,Trans_Demand!C:C,DMD_TRA!F332)</f>
        <v>1.6537940245598239</v>
      </c>
    </row>
    <row r="333" spans="2:7">
      <c r="B333" t="str">
        <f>Trans_Demand!A923</f>
        <v>TRAOTHWATDMD</v>
      </c>
      <c r="C333" t="str">
        <f>"DEMAND - "&amp;_xlfn.XLOOKUP(B333,Demand!E:E,Demand!A:A)&amp;" "&amp;_xlfn.XLOOKUP(B333,Demand!E:E,Demand!B:B)&amp;" "&amp;_xlfn.XLOOKUP(B333,Demand!E:E,Demand!C:C)&amp;" "&amp;_xlfn.XLOOKUP(B333,Demand!E:E,Demand!D:D)</f>
        <v xml:space="preserve">DEMAND - Transportation Other Waterborne </v>
      </c>
      <c r="D333" t="str">
        <f>_xlfn.XLOOKUP(B333,Trans_Demand!A:A,Trans_Demand!B:B)</f>
        <v>M Vkm</v>
      </c>
      <c r="E333" t="s">
        <v>214</v>
      </c>
      <c r="F333">
        <f>Trans_Demand!C329</f>
        <v>2030</v>
      </c>
      <c r="G333" s="11">
        <f>SUMIFS(Trans_Demand!D:D,Trans_Demand!A:A,DMD_TRA!B333,Trans_Demand!C:C,DMD_TRA!F333)</f>
        <v>1.6951388751738199</v>
      </c>
    </row>
    <row r="334" spans="2:7">
      <c r="B334" t="str">
        <f>Trans_Demand!A924</f>
        <v>TRAOTHWATDMD</v>
      </c>
      <c r="C334" t="str">
        <f>"DEMAND - "&amp;_xlfn.XLOOKUP(B334,Demand!E:E,Demand!A:A)&amp;" "&amp;_xlfn.XLOOKUP(B334,Demand!E:E,Demand!B:B)&amp;" "&amp;_xlfn.XLOOKUP(B334,Demand!E:E,Demand!C:C)&amp;" "&amp;_xlfn.XLOOKUP(B334,Demand!E:E,Demand!D:D)</f>
        <v xml:space="preserve">DEMAND - Transportation Other Waterborne </v>
      </c>
      <c r="D334" t="str">
        <f>_xlfn.XLOOKUP(B334,Trans_Demand!A:A,Trans_Demand!B:B)</f>
        <v>M Vkm</v>
      </c>
      <c r="E334" t="s">
        <v>214</v>
      </c>
      <c r="F334">
        <f>Trans_Demand!C330</f>
        <v>2035</v>
      </c>
      <c r="G334" s="11">
        <f>SUMIFS(Trans_Demand!D:D,Trans_Demand!A:A,DMD_TRA!B334,Trans_Demand!C:C,DMD_TRA!F334)</f>
        <v>1.7375173470531651</v>
      </c>
    </row>
    <row r="335" spans="2:7">
      <c r="B335" t="str">
        <f>Trans_Demand!A925</f>
        <v>TRAOTHWATDMD</v>
      </c>
      <c r="C335" t="str">
        <f>"DEMAND - "&amp;_xlfn.XLOOKUP(B335,Demand!E:E,Demand!A:A)&amp;" "&amp;_xlfn.XLOOKUP(B335,Demand!E:E,Demand!B:B)&amp;" "&amp;_xlfn.XLOOKUP(B335,Demand!E:E,Demand!C:C)&amp;" "&amp;_xlfn.XLOOKUP(B335,Demand!E:E,Demand!D:D)</f>
        <v xml:space="preserve">DEMAND - Transportation Other Waterborne </v>
      </c>
      <c r="D335" t="str">
        <f>_xlfn.XLOOKUP(B335,Trans_Demand!A:A,Trans_Demand!B:B)</f>
        <v>M Vkm</v>
      </c>
      <c r="E335" t="s">
        <v>214</v>
      </c>
      <c r="F335">
        <f>Trans_Demand!C331</f>
        <v>2040</v>
      </c>
      <c r="G335" s="11">
        <f>SUMIFS(Trans_Demand!D:D,Trans_Demand!A:A,DMD_TRA!B335,Trans_Demand!C:C,DMD_TRA!F335)</f>
        <v>1.7809552807294939</v>
      </c>
    </row>
    <row r="336" spans="2:7">
      <c r="B336" t="str">
        <f>Trans_Demand!A926</f>
        <v>TRAOTHWATDMD</v>
      </c>
      <c r="C336" t="str">
        <f>"DEMAND - "&amp;_xlfn.XLOOKUP(B336,Demand!E:E,Demand!A:A)&amp;" "&amp;_xlfn.XLOOKUP(B336,Demand!E:E,Demand!B:B)&amp;" "&amp;_xlfn.XLOOKUP(B336,Demand!E:E,Demand!C:C)&amp;" "&amp;_xlfn.XLOOKUP(B336,Demand!E:E,Demand!D:D)</f>
        <v xml:space="preserve">DEMAND - Transportation Other Waterborne </v>
      </c>
      <c r="D336" t="str">
        <f>_xlfn.XLOOKUP(B336,Trans_Demand!A:A,Trans_Demand!B:B)</f>
        <v>M Vkm</v>
      </c>
      <c r="E336" t="s">
        <v>214</v>
      </c>
      <c r="F336">
        <f>Trans_Demand!C332</f>
        <v>2045</v>
      </c>
      <c r="G336" s="11">
        <f>SUMIFS(Trans_Demand!D:D,Trans_Demand!A:A,DMD_TRA!B336,Trans_Demand!C:C,DMD_TRA!F336)</f>
        <v>1.8254791627477309</v>
      </c>
    </row>
    <row r="337" spans="2:7">
      <c r="B337" t="str">
        <f>Trans_Demand!A927</f>
        <v>TRAOTHWATDMD</v>
      </c>
      <c r="C337" t="str">
        <f>"DEMAND - "&amp;_xlfn.XLOOKUP(B337,Demand!E:E,Demand!A:A)&amp;" "&amp;_xlfn.XLOOKUP(B337,Demand!E:E,Demand!B:B)&amp;" "&amp;_xlfn.XLOOKUP(B337,Demand!E:E,Demand!C:C)&amp;" "&amp;_xlfn.XLOOKUP(B337,Demand!E:E,Demand!D:D)</f>
        <v xml:space="preserve">DEMAND - Transportation Other Waterborne </v>
      </c>
      <c r="D337" t="str">
        <f>_xlfn.XLOOKUP(B337,Trans_Demand!A:A,Trans_Demand!B:B)</f>
        <v>M Vkm</v>
      </c>
      <c r="E337" t="s">
        <v>214</v>
      </c>
      <c r="F337">
        <f>Trans_Demand!C333</f>
        <v>2050</v>
      </c>
      <c r="G337" s="11">
        <f>SUMIFS(Trans_Demand!D:D,Trans_Demand!A:A,DMD_TRA!B337,Trans_Demand!C:C,DMD_TRA!F337)</f>
        <v>1.8711161418164239</v>
      </c>
    </row>
    <row r="338" spans="2:7">
      <c r="B338" t="str">
        <f>Trans_Demand!A928</f>
        <v>TRAOTHWATDMD</v>
      </c>
      <c r="C338" t="str">
        <f>"DEMAND - "&amp;_xlfn.XLOOKUP(B338,Demand!E:E,Demand!A:A)&amp;" "&amp;_xlfn.XLOOKUP(B338,Demand!E:E,Demand!B:B)&amp;" "&amp;_xlfn.XLOOKUP(B338,Demand!E:E,Demand!C:C)&amp;" "&amp;_xlfn.XLOOKUP(B338,Demand!E:E,Demand!D:D)</f>
        <v xml:space="preserve">DEMAND - Transportation Other Waterborne </v>
      </c>
      <c r="D338" t="str">
        <f>_xlfn.XLOOKUP(B338,Trans_Demand!A:A,Trans_Demand!B:B)</f>
        <v>M Vkm</v>
      </c>
      <c r="E338" t="s">
        <v>214</v>
      </c>
      <c r="F338">
        <f>Trans_Demand!C334</f>
        <v>2055</v>
      </c>
      <c r="G338" s="11">
        <f>SUMIFS(Trans_Demand!D:D,Trans_Demand!A:A,DMD_TRA!B338,Trans_Demand!C:C,DMD_TRA!F338)</f>
        <v>1.9178940453618341</v>
      </c>
    </row>
    <row r="339" spans="2:7">
      <c r="B339" t="str">
        <f>Trans_Demand!A929</f>
        <v>TRAOTHWATDMD</v>
      </c>
      <c r="C339" t="str">
        <f>"DEMAND - "&amp;_xlfn.XLOOKUP(B339,Demand!E:E,Demand!A:A)&amp;" "&amp;_xlfn.XLOOKUP(B339,Demand!E:E,Demand!B:B)&amp;" "&amp;_xlfn.XLOOKUP(B339,Demand!E:E,Demand!C:C)&amp;" "&amp;_xlfn.XLOOKUP(B339,Demand!E:E,Demand!D:D)</f>
        <v xml:space="preserve">DEMAND - Transportation Other Waterborne </v>
      </c>
      <c r="D339" t="str">
        <f>_xlfn.XLOOKUP(B339,Trans_Demand!A:A,Trans_Demand!B:B)</f>
        <v>M Vkm</v>
      </c>
      <c r="E339" t="s">
        <v>214</v>
      </c>
      <c r="F339">
        <f>Trans_Demand!C335</f>
        <v>2060</v>
      </c>
      <c r="G339" s="11">
        <f>SUMIFS(Trans_Demand!D:D,Trans_Demand!A:A,DMD_TRA!B339,Trans_Demand!C:C,DMD_TRA!F339)</f>
        <v>1.9658413964958801</v>
      </c>
    </row>
    <row r="340" spans="2:7">
      <c r="B340" t="str">
        <f>Trans_Demand!A930</f>
        <v>TRAOTHWATDMD</v>
      </c>
      <c r="C340" t="str">
        <f>"DEMAND - "&amp;_xlfn.XLOOKUP(B340,Demand!E:E,Demand!A:A)&amp;" "&amp;_xlfn.XLOOKUP(B340,Demand!E:E,Demand!B:B)&amp;" "&amp;_xlfn.XLOOKUP(B340,Demand!E:E,Demand!C:C)&amp;" "&amp;_xlfn.XLOOKUP(B340,Demand!E:E,Demand!D:D)</f>
        <v xml:space="preserve">DEMAND - Transportation Other Waterborne </v>
      </c>
      <c r="D340" t="str">
        <f>_xlfn.XLOOKUP(B340,Trans_Demand!A:A,Trans_Demand!B:B)</f>
        <v>M Vkm</v>
      </c>
      <c r="E340" t="s">
        <v>214</v>
      </c>
      <c r="F340">
        <f>Trans_Demand!C336</f>
        <v>2065</v>
      </c>
      <c r="G340" s="11">
        <f>SUMIFS(Trans_Demand!D:D,Trans_Demand!A:A,DMD_TRA!B340,Trans_Demand!C:C,DMD_TRA!F340)</f>
        <v>2.0149874314082772</v>
      </c>
    </row>
    <row r="341" spans="2:7">
      <c r="B341" t="str">
        <f>Trans_Demand!A931</f>
        <v>TRAOTHWATDMD</v>
      </c>
      <c r="C341" t="str">
        <f>"DEMAND - "&amp;_xlfn.XLOOKUP(B341,Demand!E:E,Demand!A:A)&amp;" "&amp;_xlfn.XLOOKUP(B341,Demand!E:E,Demand!B:B)&amp;" "&amp;_xlfn.XLOOKUP(B341,Demand!E:E,Demand!C:C)&amp;" "&amp;_xlfn.XLOOKUP(B341,Demand!E:E,Demand!D:D)</f>
        <v xml:space="preserve">DEMAND - Transportation Other Waterborne </v>
      </c>
      <c r="D341" t="str">
        <f>_xlfn.XLOOKUP(B341,Trans_Demand!A:A,Trans_Demand!B:B)</f>
        <v>M Vkm</v>
      </c>
      <c r="E341" t="s">
        <v>214</v>
      </c>
      <c r="F341">
        <f>Trans_Demand!C337</f>
        <v>2070</v>
      </c>
      <c r="G341" s="11">
        <f>SUMIFS(Trans_Demand!D:D,Trans_Demand!A:A,DMD_TRA!B341,Trans_Demand!C:C,DMD_TRA!F341)</f>
        <v>2.0653621171934842</v>
      </c>
    </row>
    <row r="342" spans="2:7">
      <c r="B342" t="str">
        <f>Trans_Demand!A932</f>
        <v>TRAOTHWATDMD</v>
      </c>
      <c r="C342" t="str">
        <f>"DEMAND - "&amp;_xlfn.XLOOKUP(B342,Demand!E:E,Demand!A:A)&amp;" "&amp;_xlfn.XLOOKUP(B342,Demand!E:E,Demand!B:B)&amp;" "&amp;_xlfn.XLOOKUP(B342,Demand!E:E,Demand!C:C)&amp;" "&amp;_xlfn.XLOOKUP(B342,Demand!E:E,Demand!D:D)</f>
        <v xml:space="preserve">DEMAND - Transportation Other Waterborne </v>
      </c>
      <c r="D342" t="str">
        <f>_xlfn.XLOOKUP(B342,Trans_Demand!A:A,Trans_Demand!B:B)</f>
        <v>M Vkm</v>
      </c>
      <c r="E342" t="s">
        <v>214</v>
      </c>
      <c r="F342">
        <f>Trans_Demand!C338</f>
        <v>2075</v>
      </c>
      <c r="G342" s="11">
        <f>SUMIFS(Trans_Demand!D:D,Trans_Demand!A:A,DMD_TRA!B342,Trans_Demand!C:C,DMD_TRA!F342)</f>
        <v>2.1169961701233211</v>
      </c>
    </row>
    <row r="343" spans="2:7">
      <c r="B343" t="str">
        <f>Trans_Demand!A933</f>
        <v>TRAOTHWATDMD</v>
      </c>
      <c r="C343" t="str">
        <f>"DEMAND - "&amp;_xlfn.XLOOKUP(B343,Demand!E:E,Demand!A:A)&amp;" "&amp;_xlfn.XLOOKUP(B343,Demand!E:E,Demand!B:B)&amp;" "&amp;_xlfn.XLOOKUP(B343,Demand!E:E,Demand!C:C)&amp;" "&amp;_xlfn.XLOOKUP(B343,Demand!E:E,Demand!D:D)</f>
        <v xml:space="preserve">DEMAND - Transportation Other Waterborne </v>
      </c>
      <c r="D343" t="str">
        <f>_xlfn.XLOOKUP(B343,Trans_Demand!A:A,Trans_Demand!B:B)</f>
        <v>M Vkm</v>
      </c>
      <c r="E343" t="s">
        <v>214</v>
      </c>
      <c r="F343">
        <f>Trans_Demand!C339</f>
        <v>2080</v>
      </c>
      <c r="G343" s="11">
        <f>SUMIFS(Trans_Demand!D:D,Trans_Demand!A:A,DMD_TRA!B343,Trans_Demand!C:C,DMD_TRA!F343)</f>
        <v>2.1699210743764041</v>
      </c>
    </row>
    <row r="344" spans="2:7">
      <c r="B344" t="str">
        <f>Trans_Demand!A934</f>
        <v>TRAOTHWATDMD</v>
      </c>
      <c r="C344" t="str">
        <f>"DEMAND - "&amp;_xlfn.XLOOKUP(B344,Demand!E:E,Demand!A:A)&amp;" "&amp;_xlfn.XLOOKUP(B344,Demand!E:E,Demand!B:B)&amp;" "&amp;_xlfn.XLOOKUP(B344,Demand!E:E,Demand!C:C)&amp;" "&amp;_xlfn.XLOOKUP(B344,Demand!E:E,Demand!D:D)</f>
        <v xml:space="preserve">DEMAND - Transportation Other Waterborne </v>
      </c>
      <c r="D344" t="str">
        <f>_xlfn.XLOOKUP(B344,Trans_Demand!A:A,Trans_Demand!B:B)</f>
        <v>M Vkm</v>
      </c>
      <c r="E344" t="s">
        <v>214</v>
      </c>
      <c r="F344">
        <f>Trans_Demand!C340</f>
        <v>2085</v>
      </c>
      <c r="G344" s="11">
        <f>SUMIFS(Trans_Demand!D:D,Trans_Demand!A:A,DMD_TRA!B344,Trans_Demand!C:C,DMD_TRA!F344)</f>
        <v>2.2241691012358138</v>
      </c>
    </row>
    <row r="345" spans="2:7">
      <c r="B345" t="str">
        <f>Trans_Demand!A935</f>
        <v>TRAOTHWATDMD</v>
      </c>
      <c r="C345" t="str">
        <f>"DEMAND - "&amp;_xlfn.XLOOKUP(B345,Demand!E:E,Demand!A:A)&amp;" "&amp;_xlfn.XLOOKUP(B345,Demand!E:E,Demand!B:B)&amp;" "&amp;_xlfn.XLOOKUP(B345,Demand!E:E,Demand!C:C)&amp;" "&amp;_xlfn.XLOOKUP(B345,Demand!E:E,Demand!D:D)</f>
        <v xml:space="preserve">DEMAND - Transportation Other Waterborne </v>
      </c>
      <c r="D345" t="str">
        <f>_xlfn.XLOOKUP(B345,Trans_Demand!A:A,Trans_Demand!B:B)</f>
        <v>M Vkm</v>
      </c>
      <c r="E345" t="s">
        <v>214</v>
      </c>
      <c r="F345">
        <f>Trans_Demand!C341</f>
        <v>2090</v>
      </c>
      <c r="G345" s="11">
        <f>SUMIFS(Trans_Demand!D:D,Trans_Demand!A:A,DMD_TRA!B345,Trans_Demand!C:C,DMD_TRA!F345)</f>
        <v>2.279773328766709</v>
      </c>
    </row>
    <row r="346" spans="2:7">
      <c r="B346" t="str">
        <f>Trans_Demand!A936</f>
        <v>TRAOTHWATDMD</v>
      </c>
      <c r="C346" t="str">
        <f>"DEMAND - "&amp;_xlfn.XLOOKUP(B346,Demand!E:E,Demand!A:A)&amp;" "&amp;_xlfn.XLOOKUP(B346,Demand!E:E,Demand!B:B)&amp;" "&amp;_xlfn.XLOOKUP(B346,Demand!E:E,Demand!C:C)&amp;" "&amp;_xlfn.XLOOKUP(B346,Demand!E:E,Demand!D:D)</f>
        <v xml:space="preserve">DEMAND - Transportation Other Waterborne </v>
      </c>
      <c r="D346" t="str">
        <f>_xlfn.XLOOKUP(B346,Trans_Demand!A:A,Trans_Demand!B:B)</f>
        <v>M Vkm</v>
      </c>
      <c r="E346" t="s">
        <v>214</v>
      </c>
      <c r="F346">
        <f>Trans_Demand!C342</f>
        <v>2095</v>
      </c>
      <c r="G346" s="11">
        <f>SUMIFS(Trans_Demand!D:D,Trans_Demand!A:A,DMD_TRA!B346,Trans_Demand!C:C,DMD_TRA!F346)</f>
        <v>2.3367676619858759</v>
      </c>
    </row>
    <row r="347" spans="2:7">
      <c r="B347" t="str">
        <f>Trans_Demand!A937</f>
        <v>TRAOTHWATDMD</v>
      </c>
      <c r="C347" t="str">
        <f>"DEMAND - "&amp;_xlfn.XLOOKUP(B347,Demand!E:E,Demand!A:A)&amp;" "&amp;_xlfn.XLOOKUP(B347,Demand!E:E,Demand!B:B)&amp;" "&amp;_xlfn.XLOOKUP(B347,Demand!E:E,Demand!C:C)&amp;" "&amp;_xlfn.XLOOKUP(B347,Demand!E:E,Demand!D:D)</f>
        <v xml:space="preserve">DEMAND - Transportation Other Waterborne </v>
      </c>
      <c r="D347" t="str">
        <f>_xlfn.XLOOKUP(B347,Trans_Demand!A:A,Trans_Demand!B:B)</f>
        <v>M Vkm</v>
      </c>
      <c r="E347" t="s">
        <v>214</v>
      </c>
      <c r="F347">
        <f>Trans_Demand!C343</f>
        <v>2100</v>
      </c>
      <c r="G347" s="11">
        <f>SUMIFS(Trans_Demand!D:D,Trans_Demand!A:A,DMD_TRA!B347,Trans_Demand!C:C,DMD_TRA!F347)</f>
        <v>2.395186853535523</v>
      </c>
    </row>
    <row r="348" spans="2:7">
      <c r="B348" t="str">
        <f>Trans_Demand!A938</f>
        <v>TRAOTHAIRDMD</v>
      </c>
      <c r="C348" t="str">
        <f>"DEMAND - "&amp;_xlfn.XLOOKUP(B348,Demand!E:E,Demand!A:A)&amp;" "&amp;_xlfn.XLOOKUP(B348,Demand!E:E,Demand!B:B)&amp;" "&amp;_xlfn.XLOOKUP(B348,Demand!E:E,Demand!C:C)&amp;" "&amp;_xlfn.XLOOKUP(B348,Demand!E:E,Demand!D:D)</f>
        <v xml:space="preserve">DEMAND - Transportation Other Aviation </v>
      </c>
      <c r="D348" t="str">
        <f>_xlfn.XLOOKUP(B348,Trans_Demand!A:A,Trans_Demand!B:B)</f>
        <v>M Vkm</v>
      </c>
      <c r="E348" t="s">
        <v>214</v>
      </c>
      <c r="F348">
        <f>Trans_Demand!C344</f>
        <v>2019</v>
      </c>
      <c r="G348" s="11">
        <f>SUMIFS(Trans_Demand!D:D,Trans_Demand!A:A,DMD_TRA!B348,Trans_Demand!C:C,DMD_TRA!F348)</f>
        <v>0.1257155698946095</v>
      </c>
    </row>
    <row r="349" spans="2:7">
      <c r="B349" t="str">
        <f>Trans_Demand!A939</f>
        <v>TRAOTHAIRDMD</v>
      </c>
      <c r="C349" t="str">
        <f>"DEMAND - "&amp;_xlfn.XLOOKUP(B349,Demand!E:E,Demand!A:A)&amp;" "&amp;_xlfn.XLOOKUP(B349,Demand!E:E,Demand!B:B)&amp;" "&amp;_xlfn.XLOOKUP(B349,Demand!E:E,Demand!C:C)&amp;" "&amp;_xlfn.XLOOKUP(B349,Demand!E:E,Demand!D:D)</f>
        <v xml:space="preserve">DEMAND - Transportation Other Aviation </v>
      </c>
      <c r="D349" t="str">
        <f>_xlfn.XLOOKUP(B349,Trans_Demand!A:A,Trans_Demand!B:B)</f>
        <v>M Vkm</v>
      </c>
      <c r="E349" t="s">
        <v>214</v>
      </c>
      <c r="F349">
        <f>Trans_Demand!C345</f>
        <v>2020</v>
      </c>
      <c r="G349" s="11">
        <f>SUMIFS(Trans_Demand!D:D,Trans_Demand!A:A,DMD_TRA!B349,Trans_Demand!C:C,DMD_TRA!F349)</f>
        <v>0.12634414774408251</v>
      </c>
    </row>
    <row r="350" spans="2:7">
      <c r="B350" t="str">
        <f>Trans_Demand!A940</f>
        <v>TRAOTHAIRDMD</v>
      </c>
      <c r="C350" t="str">
        <f>"DEMAND - "&amp;_xlfn.XLOOKUP(B350,Demand!E:E,Demand!A:A)&amp;" "&amp;_xlfn.XLOOKUP(B350,Demand!E:E,Demand!B:B)&amp;" "&amp;_xlfn.XLOOKUP(B350,Demand!E:E,Demand!C:C)&amp;" "&amp;_xlfn.XLOOKUP(B350,Demand!E:E,Demand!D:D)</f>
        <v xml:space="preserve">DEMAND - Transportation Other Aviation </v>
      </c>
      <c r="D350" t="str">
        <f>_xlfn.XLOOKUP(B350,Trans_Demand!A:A,Trans_Demand!B:B)</f>
        <v>M Vkm</v>
      </c>
      <c r="E350" t="s">
        <v>214</v>
      </c>
      <c r="F350">
        <f>Trans_Demand!C346</f>
        <v>2025</v>
      </c>
      <c r="G350" s="11">
        <f>SUMIFS(Trans_Demand!D:D,Trans_Demand!A:A,DMD_TRA!B350,Trans_Demand!C:C,DMD_TRA!F350)</f>
        <v>0.12950275143768461</v>
      </c>
    </row>
    <row r="351" spans="2:7">
      <c r="B351" t="str">
        <f>Trans_Demand!A941</f>
        <v>TRAOTHAIRDMD</v>
      </c>
      <c r="C351" t="str">
        <f>"DEMAND - "&amp;_xlfn.XLOOKUP(B351,Demand!E:E,Demand!A:A)&amp;" "&amp;_xlfn.XLOOKUP(B351,Demand!E:E,Demand!B:B)&amp;" "&amp;_xlfn.XLOOKUP(B351,Demand!E:E,Demand!C:C)&amp;" "&amp;_xlfn.XLOOKUP(B351,Demand!E:E,Demand!D:D)</f>
        <v xml:space="preserve">DEMAND - Transportation Other Aviation </v>
      </c>
      <c r="D351" t="str">
        <f>_xlfn.XLOOKUP(B351,Trans_Demand!A:A,Trans_Demand!B:B)</f>
        <v>M Vkm</v>
      </c>
      <c r="E351" t="s">
        <v>214</v>
      </c>
      <c r="F351">
        <f>Trans_Demand!C347</f>
        <v>2030</v>
      </c>
      <c r="G351" s="11">
        <f>SUMIFS(Trans_Demand!D:D,Trans_Demand!A:A,DMD_TRA!B351,Trans_Demand!C:C,DMD_TRA!F351)</f>
        <v>0.1327403202236267</v>
      </c>
    </row>
    <row r="352" spans="2:7">
      <c r="B352" t="str">
        <f>Trans_Demand!A942</f>
        <v>TRAOTHAIRDMD</v>
      </c>
      <c r="C352" t="str">
        <f>"DEMAND - "&amp;_xlfn.XLOOKUP(B352,Demand!E:E,Demand!A:A)&amp;" "&amp;_xlfn.XLOOKUP(B352,Demand!E:E,Demand!B:B)&amp;" "&amp;_xlfn.XLOOKUP(B352,Demand!E:E,Demand!C:C)&amp;" "&amp;_xlfn.XLOOKUP(B352,Demand!E:E,Demand!D:D)</f>
        <v xml:space="preserve">DEMAND - Transportation Other Aviation </v>
      </c>
      <c r="D352" t="str">
        <f>_xlfn.XLOOKUP(B352,Trans_Demand!A:A,Trans_Demand!B:B)</f>
        <v>M Vkm</v>
      </c>
      <c r="E352" t="s">
        <v>214</v>
      </c>
      <c r="F352">
        <f>Trans_Demand!C348</f>
        <v>2035</v>
      </c>
      <c r="G352" s="11">
        <f>SUMIFS(Trans_Demand!D:D,Trans_Demand!A:A,DMD_TRA!B352,Trans_Demand!C:C,DMD_TRA!F352)</f>
        <v>0.1360588282292173</v>
      </c>
    </row>
    <row r="353" spans="2:7">
      <c r="B353" t="str">
        <f>Trans_Demand!A943</f>
        <v>TRAOTHAIRDMD</v>
      </c>
      <c r="C353" t="str">
        <f>"DEMAND - "&amp;_xlfn.XLOOKUP(B353,Demand!E:E,Demand!A:A)&amp;" "&amp;_xlfn.XLOOKUP(B353,Demand!E:E,Demand!B:B)&amp;" "&amp;_xlfn.XLOOKUP(B353,Demand!E:E,Demand!C:C)&amp;" "&amp;_xlfn.XLOOKUP(B353,Demand!E:E,Demand!D:D)</f>
        <v xml:space="preserve">DEMAND - Transportation Other Aviation </v>
      </c>
      <c r="D353" t="str">
        <f>_xlfn.XLOOKUP(B353,Trans_Demand!A:A,Trans_Demand!B:B)</f>
        <v>M Vkm</v>
      </c>
      <c r="E353" t="s">
        <v>214</v>
      </c>
      <c r="F353">
        <f>Trans_Demand!C349</f>
        <v>2040</v>
      </c>
      <c r="G353" s="11">
        <f>SUMIFS(Trans_Demand!D:D,Trans_Demand!A:A,DMD_TRA!B353,Trans_Demand!C:C,DMD_TRA!F353)</f>
        <v>0.13946029893494771</v>
      </c>
    </row>
    <row r="354" spans="2:7">
      <c r="B354" t="str">
        <f>Trans_Demand!A944</f>
        <v>TRAOTHAIRDMD</v>
      </c>
      <c r="C354" t="str">
        <f>"DEMAND - "&amp;_xlfn.XLOOKUP(B354,Demand!E:E,Demand!A:A)&amp;" "&amp;_xlfn.XLOOKUP(B354,Demand!E:E,Demand!B:B)&amp;" "&amp;_xlfn.XLOOKUP(B354,Demand!E:E,Demand!C:C)&amp;" "&amp;_xlfn.XLOOKUP(B354,Demand!E:E,Demand!D:D)</f>
        <v xml:space="preserve">DEMAND - Transportation Other Aviation </v>
      </c>
      <c r="D354" t="str">
        <f>_xlfn.XLOOKUP(B354,Trans_Demand!A:A,Trans_Demand!B:B)</f>
        <v>M Vkm</v>
      </c>
      <c r="E354" t="s">
        <v>214</v>
      </c>
      <c r="F354">
        <f>Trans_Demand!C350</f>
        <v>2045</v>
      </c>
      <c r="G354" s="11">
        <f>SUMIFS(Trans_Demand!D:D,Trans_Demand!A:A,DMD_TRA!B354,Trans_Demand!C:C,DMD_TRA!F354)</f>
        <v>0.14294680640832139</v>
      </c>
    </row>
    <row r="355" spans="2:7">
      <c r="B355" t="str">
        <f>Trans_Demand!A945</f>
        <v>TRAOTHAIRDMD</v>
      </c>
      <c r="C355" t="str">
        <f>"DEMAND - "&amp;_xlfn.XLOOKUP(B355,Demand!E:E,Demand!A:A)&amp;" "&amp;_xlfn.XLOOKUP(B355,Demand!E:E,Demand!B:B)&amp;" "&amp;_xlfn.XLOOKUP(B355,Demand!E:E,Demand!C:C)&amp;" "&amp;_xlfn.XLOOKUP(B355,Demand!E:E,Demand!D:D)</f>
        <v xml:space="preserve">DEMAND - Transportation Other Aviation </v>
      </c>
      <c r="D355" t="str">
        <f>_xlfn.XLOOKUP(B355,Trans_Demand!A:A,Trans_Demand!B:B)</f>
        <v>M Vkm</v>
      </c>
      <c r="E355" t="s">
        <v>214</v>
      </c>
      <c r="F355">
        <f>Trans_Demand!C351</f>
        <v>2050</v>
      </c>
      <c r="G355" s="11">
        <f>SUMIFS(Trans_Demand!D:D,Trans_Demand!A:A,DMD_TRA!B355,Trans_Demand!C:C,DMD_TRA!F355)</f>
        <v>0.1465204765685294</v>
      </c>
    </row>
    <row r="356" spans="2:7">
      <c r="B356" t="str">
        <f>Trans_Demand!A946</f>
        <v>TRAOTHAIRDMD</v>
      </c>
      <c r="C356" t="str">
        <f>"DEMAND - "&amp;_xlfn.XLOOKUP(B356,Demand!E:E,Demand!A:A)&amp;" "&amp;_xlfn.XLOOKUP(B356,Demand!E:E,Demand!B:B)&amp;" "&amp;_xlfn.XLOOKUP(B356,Demand!E:E,Demand!C:C)&amp;" "&amp;_xlfn.XLOOKUP(B356,Demand!E:E,Demand!D:D)</f>
        <v xml:space="preserve">DEMAND - Transportation Other Aviation </v>
      </c>
      <c r="D356" t="str">
        <f>_xlfn.XLOOKUP(B356,Trans_Demand!A:A,Trans_Demand!B:B)</f>
        <v>M Vkm</v>
      </c>
      <c r="E356" t="s">
        <v>214</v>
      </c>
      <c r="F356">
        <f>Trans_Demand!C352</f>
        <v>2055</v>
      </c>
      <c r="G356" s="11">
        <f>SUMIFS(Trans_Demand!D:D,Trans_Demand!A:A,DMD_TRA!B356,Trans_Demand!C:C,DMD_TRA!F356)</f>
        <v>0.15018348848274271</v>
      </c>
    </row>
    <row r="357" spans="2:7">
      <c r="B357" t="str">
        <f>Trans_Demand!A947</f>
        <v>TRAOTHAIRDMD</v>
      </c>
      <c r="C357" t="str">
        <f>"DEMAND - "&amp;_xlfn.XLOOKUP(B357,Demand!E:E,Demand!A:A)&amp;" "&amp;_xlfn.XLOOKUP(B357,Demand!E:E,Demand!B:B)&amp;" "&amp;_xlfn.XLOOKUP(B357,Demand!E:E,Demand!C:C)&amp;" "&amp;_xlfn.XLOOKUP(B357,Demand!E:E,Demand!D:D)</f>
        <v xml:space="preserve">DEMAND - Transportation Other Aviation </v>
      </c>
      <c r="D357" t="str">
        <f>_xlfn.XLOOKUP(B357,Trans_Demand!A:A,Trans_Demand!B:B)</f>
        <v>M Vkm</v>
      </c>
      <c r="E357" t="s">
        <v>214</v>
      </c>
      <c r="F357">
        <f>Trans_Demand!C353</f>
        <v>2060</v>
      </c>
      <c r="G357" s="11">
        <f>SUMIFS(Trans_Demand!D:D,Trans_Demand!A:A,DMD_TRA!B357,Trans_Demand!C:C,DMD_TRA!F357)</f>
        <v>0.15393807569481119</v>
      </c>
    </row>
    <row r="358" spans="2:7">
      <c r="B358" t="str">
        <f>Trans_Demand!A948</f>
        <v>TRAOTHAIRDMD</v>
      </c>
      <c r="C358" t="str">
        <f>"DEMAND - "&amp;_xlfn.XLOOKUP(B358,Demand!E:E,Demand!A:A)&amp;" "&amp;_xlfn.XLOOKUP(B358,Demand!E:E,Demand!B:B)&amp;" "&amp;_xlfn.XLOOKUP(B358,Demand!E:E,Demand!C:C)&amp;" "&amp;_xlfn.XLOOKUP(B358,Demand!E:E,Demand!D:D)</f>
        <v xml:space="preserve">DEMAND - Transportation Other Aviation </v>
      </c>
      <c r="D358" t="str">
        <f>_xlfn.XLOOKUP(B358,Trans_Demand!A:A,Trans_Demand!B:B)</f>
        <v>M Vkm</v>
      </c>
      <c r="E358" t="s">
        <v>214</v>
      </c>
      <c r="F358">
        <f>Trans_Demand!C354</f>
        <v>2065</v>
      </c>
      <c r="G358" s="11">
        <f>SUMIFS(Trans_Demand!D:D,Trans_Demand!A:A,DMD_TRA!B358,Trans_Demand!C:C,DMD_TRA!F358)</f>
        <v>0.15778652758718151</v>
      </c>
    </row>
    <row r="359" spans="2:7">
      <c r="B359" t="str">
        <f>Trans_Demand!A949</f>
        <v>TRAOTHAIRDMD</v>
      </c>
      <c r="C359" t="str">
        <f>"DEMAND - "&amp;_xlfn.XLOOKUP(B359,Demand!E:E,Demand!A:A)&amp;" "&amp;_xlfn.XLOOKUP(B359,Demand!E:E,Demand!B:B)&amp;" "&amp;_xlfn.XLOOKUP(B359,Demand!E:E,Demand!C:C)&amp;" "&amp;_xlfn.XLOOKUP(B359,Demand!E:E,Demand!D:D)</f>
        <v xml:space="preserve">DEMAND - Transportation Other Aviation </v>
      </c>
      <c r="D359" t="str">
        <f>_xlfn.XLOOKUP(B359,Trans_Demand!A:A,Trans_Demand!B:B)</f>
        <v>M Vkm</v>
      </c>
      <c r="E359" t="s">
        <v>214</v>
      </c>
      <c r="F359">
        <f>Trans_Demand!C355</f>
        <v>2070</v>
      </c>
      <c r="G359" s="11">
        <f>SUMIFS(Trans_Demand!D:D,Trans_Demand!A:A,DMD_TRA!B359,Trans_Demand!C:C,DMD_TRA!F359)</f>
        <v>0.16173119077686099</v>
      </c>
    </row>
    <row r="360" spans="2:7">
      <c r="B360" t="str">
        <f>Trans_Demand!A950</f>
        <v>TRAOTHAIRDMD</v>
      </c>
      <c r="C360" t="str">
        <f>"DEMAND - "&amp;_xlfn.XLOOKUP(B360,Demand!E:E,Demand!A:A)&amp;" "&amp;_xlfn.XLOOKUP(B360,Demand!E:E,Demand!B:B)&amp;" "&amp;_xlfn.XLOOKUP(B360,Demand!E:E,Demand!C:C)&amp;" "&amp;_xlfn.XLOOKUP(B360,Demand!E:E,Demand!D:D)</f>
        <v xml:space="preserve">DEMAND - Transportation Other Aviation </v>
      </c>
      <c r="D360" t="str">
        <f>_xlfn.XLOOKUP(B360,Trans_Demand!A:A,Trans_Demand!B:B)</f>
        <v>M Vkm</v>
      </c>
      <c r="E360" t="s">
        <v>214</v>
      </c>
      <c r="F360">
        <f>Trans_Demand!C356</f>
        <v>2075</v>
      </c>
      <c r="G360" s="11">
        <f>SUMIFS(Trans_Demand!D:D,Trans_Demand!A:A,DMD_TRA!B360,Trans_Demand!C:C,DMD_TRA!F360)</f>
        <v>0.1657744705462825</v>
      </c>
    </row>
    <row r="361" spans="2:7">
      <c r="B361" t="str">
        <f>Trans_Demand!A951</f>
        <v>TRAOTHAIRDMD</v>
      </c>
      <c r="C361" t="str">
        <f>"DEMAND - "&amp;_xlfn.XLOOKUP(B361,Demand!E:E,Demand!A:A)&amp;" "&amp;_xlfn.XLOOKUP(B361,Demand!E:E,Demand!B:B)&amp;" "&amp;_xlfn.XLOOKUP(B361,Demand!E:E,Demand!C:C)&amp;" "&amp;_xlfn.XLOOKUP(B361,Demand!E:E,Demand!D:D)</f>
        <v xml:space="preserve">DEMAND - Transportation Other Aviation </v>
      </c>
      <c r="D361" t="str">
        <f>_xlfn.XLOOKUP(B361,Trans_Demand!A:A,Trans_Demand!B:B)</f>
        <v>M Vkm</v>
      </c>
      <c r="E361" t="s">
        <v>214</v>
      </c>
      <c r="F361">
        <f>Trans_Demand!C357</f>
        <v>2080</v>
      </c>
      <c r="G361" s="11">
        <f>SUMIFS(Trans_Demand!D:D,Trans_Demand!A:A,DMD_TRA!B361,Trans_Demand!C:C,DMD_TRA!F361)</f>
        <v>0.16991883230993951</v>
      </c>
    </row>
    <row r="362" spans="2:7">
      <c r="B362" t="str">
        <f>Trans_Demand!A952</f>
        <v>TRAOTHAIRDMD</v>
      </c>
      <c r="C362" t="str">
        <f>"DEMAND - "&amp;_xlfn.XLOOKUP(B362,Demand!E:E,Demand!A:A)&amp;" "&amp;_xlfn.XLOOKUP(B362,Demand!E:E,Demand!B:B)&amp;" "&amp;_xlfn.XLOOKUP(B362,Demand!E:E,Demand!C:C)&amp;" "&amp;_xlfn.XLOOKUP(B362,Demand!E:E,Demand!D:D)</f>
        <v xml:space="preserve">DEMAND - Transportation Other Aviation </v>
      </c>
      <c r="D362" t="str">
        <f>_xlfn.XLOOKUP(B362,Trans_Demand!A:A,Trans_Demand!B:B)</f>
        <v>M Vkm</v>
      </c>
      <c r="E362" t="s">
        <v>214</v>
      </c>
      <c r="F362">
        <f>Trans_Demand!C358</f>
        <v>2085</v>
      </c>
      <c r="G362" s="11">
        <f>SUMIFS(Trans_Demand!D:D,Trans_Demand!A:A,DMD_TRA!B362,Trans_Demand!C:C,DMD_TRA!F362)</f>
        <v>0.17416680311768801</v>
      </c>
    </row>
    <row r="363" spans="2:7">
      <c r="B363" t="str">
        <f>Trans_Demand!A953</f>
        <v>TRAOTHAIRDMD</v>
      </c>
      <c r="C363" t="str">
        <f>"DEMAND - "&amp;_xlfn.XLOOKUP(B363,Demand!E:E,Demand!A:A)&amp;" "&amp;_xlfn.XLOOKUP(B363,Demand!E:E,Demand!B:B)&amp;" "&amp;_xlfn.XLOOKUP(B363,Demand!E:E,Demand!C:C)&amp;" "&amp;_xlfn.XLOOKUP(B363,Demand!E:E,Demand!D:D)</f>
        <v xml:space="preserve">DEMAND - Transportation Other Aviation </v>
      </c>
      <c r="D363" t="str">
        <f>_xlfn.XLOOKUP(B363,Trans_Demand!A:A,Trans_Demand!B:B)</f>
        <v>M Vkm</v>
      </c>
      <c r="E363" t="s">
        <v>214</v>
      </c>
      <c r="F363">
        <f>Trans_Demand!C359</f>
        <v>2090</v>
      </c>
      <c r="G363" s="11">
        <f>SUMIFS(Trans_Demand!D:D,Trans_Demand!A:A,DMD_TRA!B363,Trans_Demand!C:C,DMD_TRA!F363)</f>
        <v>0.17852097319563021</v>
      </c>
    </row>
    <row r="364" spans="2:7">
      <c r="B364" t="str">
        <f>Trans_Demand!A954</f>
        <v>TRAOTHAIRDMD</v>
      </c>
      <c r="C364" t="str">
        <f>"DEMAND - "&amp;_xlfn.XLOOKUP(B364,Demand!E:E,Demand!A:A)&amp;" "&amp;_xlfn.XLOOKUP(B364,Demand!E:E,Demand!B:B)&amp;" "&amp;_xlfn.XLOOKUP(B364,Demand!E:E,Demand!C:C)&amp;" "&amp;_xlfn.XLOOKUP(B364,Demand!E:E,Demand!D:D)</f>
        <v xml:space="preserve">DEMAND - Transportation Other Aviation </v>
      </c>
      <c r="D364" t="str">
        <f>_xlfn.XLOOKUP(B364,Trans_Demand!A:A,Trans_Demand!B:B)</f>
        <v>M Vkm</v>
      </c>
      <c r="E364" t="s">
        <v>214</v>
      </c>
      <c r="F364">
        <f>Trans_Demand!C360</f>
        <v>2095</v>
      </c>
      <c r="G364" s="11">
        <f>SUMIFS(Trans_Demand!D:D,Trans_Demand!A:A,DMD_TRA!B364,Trans_Demand!C:C,DMD_TRA!F364)</f>
        <v>0.18298399752552089</v>
      </c>
    </row>
    <row r="365" spans="2:7">
      <c r="B365" t="str">
        <f>Trans_Demand!A955</f>
        <v>TRAOTHAIRDMD</v>
      </c>
      <c r="C365" t="str">
        <f>"DEMAND - "&amp;_xlfn.XLOOKUP(B365,Demand!E:E,Demand!A:A)&amp;" "&amp;_xlfn.XLOOKUP(B365,Demand!E:E,Demand!B:B)&amp;" "&amp;_xlfn.XLOOKUP(B365,Demand!E:E,Demand!C:C)&amp;" "&amp;_xlfn.XLOOKUP(B365,Demand!E:E,Demand!D:D)</f>
        <v xml:space="preserve">DEMAND - Transportation Other Aviation </v>
      </c>
      <c r="D365" t="str">
        <f>_xlfn.XLOOKUP(B365,Trans_Demand!A:A,Trans_Demand!B:B)</f>
        <v>M Vkm</v>
      </c>
      <c r="E365" t="s">
        <v>214</v>
      </c>
      <c r="F365">
        <f>Trans_Demand!C361</f>
        <v>2100</v>
      </c>
      <c r="G365" s="11">
        <f>SUMIFS(Trans_Demand!D:D,Trans_Demand!A:A,DMD_TRA!B365,Trans_Demand!C:C,DMD_TRA!F365)</f>
        <v>0.18755859746365891</v>
      </c>
    </row>
    <row r="366" spans="2:7">
      <c r="G366" s="11"/>
    </row>
    <row r="367" spans="2:7">
      <c r="G367" s="11"/>
    </row>
    <row r="368" spans="2:7">
      <c r="G368" s="11"/>
    </row>
    <row r="369" spans="7:7">
      <c r="G369" s="11"/>
    </row>
    <row r="370" spans="7:7">
      <c r="G370" s="11"/>
    </row>
    <row r="371" spans="7:7">
      <c r="G371" s="11"/>
    </row>
    <row r="372" spans="7:7">
      <c r="G372" s="11"/>
    </row>
    <row r="373" spans="7:7">
      <c r="G373" s="11"/>
    </row>
    <row r="374" spans="7:7">
      <c r="G374" s="11"/>
    </row>
    <row r="375" spans="7:7">
      <c r="G375" s="11"/>
    </row>
    <row r="376" spans="7:7">
      <c r="G376" s="11"/>
    </row>
    <row r="377" spans="7:7">
      <c r="G377" s="11"/>
    </row>
    <row r="378" spans="7:7">
      <c r="G378" s="11"/>
    </row>
    <row r="379" spans="7:7">
      <c r="G379" s="11"/>
    </row>
    <row r="380" spans="7:7">
      <c r="G380" s="11"/>
    </row>
    <row r="381" spans="7:7">
      <c r="G381" s="11"/>
    </row>
    <row r="382" spans="7:7">
      <c r="G382" s="11"/>
    </row>
    <row r="383" spans="7:7">
      <c r="G383" s="11"/>
    </row>
    <row r="384" spans="7:7">
      <c r="G384" s="11"/>
    </row>
    <row r="385" spans="7:7">
      <c r="G385" s="11"/>
    </row>
    <row r="386" spans="7:7">
      <c r="G386" s="11"/>
    </row>
    <row r="387" spans="7:7">
      <c r="G387" s="11"/>
    </row>
    <row r="388" spans="7:7">
      <c r="G388" s="11"/>
    </row>
    <row r="389" spans="7:7">
      <c r="G389" s="11"/>
    </row>
    <row r="390" spans="7:7">
      <c r="G390" s="11"/>
    </row>
    <row r="391" spans="7:7">
      <c r="G391" s="11"/>
    </row>
    <row r="392" spans="7:7">
      <c r="G392" s="11"/>
    </row>
    <row r="393" spans="7:7">
      <c r="G393" s="11"/>
    </row>
    <row r="394" spans="7:7">
      <c r="G394" s="11"/>
    </row>
    <row r="395" spans="7:7">
      <c r="G395" s="11"/>
    </row>
    <row r="396" spans="7:7">
      <c r="G396" s="11"/>
    </row>
    <row r="397" spans="7:7">
      <c r="G397" s="11"/>
    </row>
    <row r="398" spans="7:7">
      <c r="G398" s="11"/>
    </row>
    <row r="399" spans="7:7">
      <c r="G399" s="11"/>
    </row>
    <row r="400" spans="7:7">
      <c r="G400" s="11"/>
    </row>
    <row r="401" spans="7:7">
      <c r="G401" s="11"/>
    </row>
    <row r="402" spans="7:7">
      <c r="G402" s="11"/>
    </row>
    <row r="403" spans="7:7">
      <c r="G403" s="11"/>
    </row>
    <row r="404" spans="7:7">
      <c r="G404" s="11"/>
    </row>
    <row r="405" spans="7:7">
      <c r="G405" s="11"/>
    </row>
    <row r="406" spans="7:7">
      <c r="G406" s="11"/>
    </row>
    <row r="407" spans="7:7">
      <c r="G407" s="11"/>
    </row>
    <row r="408" spans="7:7">
      <c r="G408" s="11"/>
    </row>
    <row r="409" spans="7:7">
      <c r="G409" s="11"/>
    </row>
    <row r="410" spans="7:7">
      <c r="G410" s="11"/>
    </row>
    <row r="411" spans="7:7">
      <c r="G411" s="11"/>
    </row>
    <row r="412" spans="7:7">
      <c r="G412" s="11"/>
    </row>
    <row r="413" spans="7:7">
      <c r="G413" s="11"/>
    </row>
    <row r="414" spans="7:7">
      <c r="G414" s="11"/>
    </row>
    <row r="415" spans="7:7">
      <c r="G415" s="11"/>
    </row>
    <row r="416" spans="7:7">
      <c r="G416" s="11"/>
    </row>
    <row r="417" spans="7:7">
      <c r="G417" s="11"/>
    </row>
    <row r="418" spans="7:7">
      <c r="G418" s="11"/>
    </row>
    <row r="419" spans="7:7">
      <c r="G419" s="11"/>
    </row>
    <row r="420" spans="7:7">
      <c r="G420" s="11"/>
    </row>
    <row r="421" spans="7:7">
      <c r="G421" s="11"/>
    </row>
    <row r="422" spans="7:7">
      <c r="G422" s="11"/>
    </row>
    <row r="423" spans="7:7">
      <c r="G423" s="11"/>
    </row>
    <row r="424" spans="7:7">
      <c r="G424" s="11"/>
    </row>
    <row r="425" spans="7:7">
      <c r="G425" s="11"/>
    </row>
    <row r="426" spans="7:7">
      <c r="G426" s="11"/>
    </row>
    <row r="427" spans="7:7">
      <c r="G427" s="11"/>
    </row>
    <row r="428" spans="7:7">
      <c r="G428" s="11"/>
    </row>
    <row r="429" spans="7:7">
      <c r="G429" s="11"/>
    </row>
    <row r="430" spans="7:7">
      <c r="G430" s="11"/>
    </row>
    <row r="431" spans="7:7">
      <c r="G431" s="11"/>
    </row>
    <row r="432" spans="7:7">
      <c r="G432" s="11"/>
    </row>
    <row r="433" spans="7:7">
      <c r="G433" s="11"/>
    </row>
    <row r="434" spans="7:7">
      <c r="G434" s="11"/>
    </row>
    <row r="435" spans="7:7">
      <c r="G435" s="11"/>
    </row>
    <row r="436" spans="7:7">
      <c r="G436" s="11"/>
    </row>
    <row r="437" spans="7:7">
      <c r="G437" s="11"/>
    </row>
    <row r="438" spans="7:7">
      <c r="G438" s="11"/>
    </row>
    <row r="439" spans="7:7">
      <c r="G439" s="11"/>
    </row>
    <row r="440" spans="7:7">
      <c r="G440" s="11"/>
    </row>
    <row r="441" spans="7:7">
      <c r="G441" s="11"/>
    </row>
    <row r="442" spans="7:7">
      <c r="G442" s="11"/>
    </row>
    <row r="443" spans="7:7">
      <c r="G443" s="11"/>
    </row>
    <row r="444" spans="7:7">
      <c r="G444" s="11"/>
    </row>
    <row r="445" spans="7:7">
      <c r="G445" s="11"/>
    </row>
    <row r="446" spans="7:7">
      <c r="G446" s="11"/>
    </row>
    <row r="447" spans="7:7">
      <c r="G447" s="11"/>
    </row>
    <row r="448" spans="7:7">
      <c r="G448" s="11"/>
    </row>
    <row r="449" spans="7:7">
      <c r="G449" s="11"/>
    </row>
    <row r="450" spans="7:7">
      <c r="G450" s="11"/>
    </row>
    <row r="451" spans="7:7">
      <c r="G451" s="11"/>
    </row>
    <row r="452" spans="7:7">
      <c r="G452" s="11"/>
    </row>
    <row r="453" spans="7:7">
      <c r="G453" s="11"/>
    </row>
    <row r="454" spans="7:7">
      <c r="G454" s="11"/>
    </row>
    <row r="455" spans="7:7">
      <c r="G455" s="11"/>
    </row>
    <row r="456" spans="7:7">
      <c r="G456" s="11"/>
    </row>
    <row r="457" spans="7:7">
      <c r="G457" s="11"/>
    </row>
    <row r="458" spans="7:7">
      <c r="G458" s="11"/>
    </row>
    <row r="459" spans="7:7">
      <c r="G459" s="11"/>
    </row>
    <row r="460" spans="7:7">
      <c r="G460" s="11"/>
    </row>
    <row r="461" spans="7:7">
      <c r="G461" s="11"/>
    </row>
    <row r="462" spans="7:7">
      <c r="G462" s="11"/>
    </row>
    <row r="463" spans="7:7">
      <c r="G463" s="11"/>
    </row>
    <row r="464" spans="7:7">
      <c r="G464" s="11"/>
    </row>
    <row r="465" spans="7:7">
      <c r="G465" s="11"/>
    </row>
    <row r="466" spans="7:7">
      <c r="G466" s="11"/>
    </row>
    <row r="467" spans="7:7">
      <c r="G467" s="11"/>
    </row>
    <row r="468" spans="7:7">
      <c r="G468" s="11"/>
    </row>
    <row r="469" spans="7:7">
      <c r="G469" s="11"/>
    </row>
    <row r="470" spans="7:7">
      <c r="G470" s="11"/>
    </row>
    <row r="471" spans="7:7">
      <c r="G471" s="11"/>
    </row>
    <row r="472" spans="7:7">
      <c r="G472" s="11"/>
    </row>
    <row r="473" spans="7:7">
      <c r="G473" s="11"/>
    </row>
    <row r="474" spans="7:7">
      <c r="G474" s="11"/>
    </row>
    <row r="475" spans="7:7">
      <c r="G475" s="11"/>
    </row>
    <row r="476" spans="7:7">
      <c r="G476" s="11"/>
    </row>
    <row r="477" spans="7:7">
      <c r="G477" s="11"/>
    </row>
    <row r="478" spans="7:7">
      <c r="G478" s="11"/>
    </row>
    <row r="479" spans="7:7">
      <c r="G479" s="11"/>
    </row>
    <row r="480" spans="7:7">
      <c r="G480" s="11"/>
    </row>
    <row r="481" spans="7:7">
      <c r="G481" s="11"/>
    </row>
    <row r="482" spans="7:7">
      <c r="G482" s="11"/>
    </row>
    <row r="483" spans="7:7">
      <c r="G483" s="11"/>
    </row>
    <row r="484" spans="7:7">
      <c r="G484" s="11"/>
    </row>
    <row r="485" spans="7:7">
      <c r="G485" s="11"/>
    </row>
    <row r="486" spans="7:7">
      <c r="G486" s="11"/>
    </row>
    <row r="487" spans="7:7">
      <c r="G487" s="11"/>
    </row>
    <row r="488" spans="7:7">
      <c r="G488" s="11"/>
    </row>
    <row r="489" spans="7:7">
      <c r="G489" s="11"/>
    </row>
    <row r="490" spans="7:7">
      <c r="G490" s="11"/>
    </row>
    <row r="491" spans="7:7">
      <c r="G491" s="11"/>
    </row>
    <row r="492" spans="7:7">
      <c r="G492" s="11"/>
    </row>
    <row r="493" spans="7:7">
      <c r="G493" s="11"/>
    </row>
    <row r="494" spans="7:7">
      <c r="G494" s="11"/>
    </row>
    <row r="495" spans="7:7">
      <c r="G495" s="11"/>
    </row>
    <row r="496" spans="7:7">
      <c r="G496" s="11"/>
    </row>
    <row r="497" spans="7:7">
      <c r="G497" s="11"/>
    </row>
    <row r="498" spans="7:7">
      <c r="G498" s="11"/>
    </row>
    <row r="499" spans="7:7">
      <c r="G499" s="11"/>
    </row>
    <row r="500" spans="7:7">
      <c r="G500" s="11"/>
    </row>
    <row r="501" spans="7:7">
      <c r="G501" s="11"/>
    </row>
    <row r="502" spans="7:7">
      <c r="G502" s="11"/>
    </row>
    <row r="503" spans="7:7">
      <c r="G503" s="11"/>
    </row>
    <row r="504" spans="7:7">
      <c r="G504" s="11"/>
    </row>
    <row r="505" spans="7:7">
      <c r="G505" s="11"/>
    </row>
    <row r="506" spans="7:7">
      <c r="G506" s="11"/>
    </row>
    <row r="507" spans="7:7">
      <c r="G507" s="11"/>
    </row>
    <row r="508" spans="7:7">
      <c r="G508" s="11"/>
    </row>
    <row r="509" spans="7:7">
      <c r="G509" s="11"/>
    </row>
    <row r="510" spans="7:7">
      <c r="G510" s="11"/>
    </row>
    <row r="511" spans="7:7">
      <c r="G511" s="11"/>
    </row>
    <row r="512" spans="7:7">
      <c r="G512" s="11"/>
    </row>
    <row r="513" spans="7:7">
      <c r="G513" s="11"/>
    </row>
    <row r="514" spans="7:7">
      <c r="G514" s="11"/>
    </row>
    <row r="515" spans="7:7">
      <c r="G515" s="11"/>
    </row>
    <row r="516" spans="7:7">
      <c r="G516" s="11"/>
    </row>
    <row r="517" spans="7:7">
      <c r="G517" s="11"/>
    </row>
    <row r="518" spans="7:7">
      <c r="G518" s="11"/>
    </row>
    <row r="519" spans="7:7">
      <c r="G519" s="11"/>
    </row>
    <row r="520" spans="7:7">
      <c r="G520" s="11"/>
    </row>
    <row r="521" spans="7:7">
      <c r="G521" s="11"/>
    </row>
    <row r="522" spans="7:7">
      <c r="G522" s="11"/>
    </row>
    <row r="523" spans="7:7">
      <c r="G523" s="11"/>
    </row>
    <row r="524" spans="7:7">
      <c r="G524" s="11"/>
    </row>
    <row r="525" spans="7:7">
      <c r="G525" s="11"/>
    </row>
    <row r="526" spans="7:7">
      <c r="G526" s="11"/>
    </row>
    <row r="527" spans="7:7">
      <c r="G527" s="11"/>
    </row>
    <row r="528" spans="7:7">
      <c r="G528" s="11"/>
    </row>
    <row r="529" spans="7:7">
      <c r="G529" s="11"/>
    </row>
    <row r="530" spans="7:7">
      <c r="G530" s="11"/>
    </row>
    <row r="531" spans="7:7">
      <c r="G531" s="11"/>
    </row>
    <row r="532" spans="7:7">
      <c r="G532" s="11"/>
    </row>
    <row r="533" spans="7:7">
      <c r="G533" s="11"/>
    </row>
    <row r="534" spans="7:7">
      <c r="G534" s="11"/>
    </row>
    <row r="535" spans="7:7">
      <c r="G535" s="11"/>
    </row>
    <row r="536" spans="7:7">
      <c r="G536" s="11"/>
    </row>
    <row r="537" spans="7:7">
      <c r="G537" s="11"/>
    </row>
    <row r="538" spans="7:7">
      <c r="G538" s="11"/>
    </row>
    <row r="539" spans="7:7">
      <c r="G539" s="11"/>
    </row>
    <row r="540" spans="7:7">
      <c r="G540" s="11"/>
    </row>
    <row r="541" spans="7:7">
      <c r="G541" s="11"/>
    </row>
    <row r="542" spans="7:7">
      <c r="G542" s="11"/>
    </row>
    <row r="543" spans="7:7">
      <c r="G543" s="11"/>
    </row>
    <row r="544" spans="7:7">
      <c r="G544" s="11"/>
    </row>
    <row r="545" spans="7:7">
      <c r="G545" s="11"/>
    </row>
    <row r="546" spans="7:7">
      <c r="G546" s="11"/>
    </row>
    <row r="547" spans="7:7">
      <c r="G547" s="11"/>
    </row>
    <row r="548" spans="7:7">
      <c r="G548" s="11"/>
    </row>
    <row r="549" spans="7:7">
      <c r="G549" s="11"/>
    </row>
    <row r="550" spans="7:7">
      <c r="G550" s="11"/>
    </row>
    <row r="551" spans="7:7">
      <c r="G551" s="11"/>
    </row>
    <row r="552" spans="7:7">
      <c r="G552" s="11"/>
    </row>
    <row r="553" spans="7:7">
      <c r="G553" s="11"/>
    </row>
    <row r="554" spans="7:7">
      <c r="G554" s="11"/>
    </row>
    <row r="555" spans="7:7">
      <c r="G555" s="11"/>
    </row>
    <row r="556" spans="7:7">
      <c r="G556" s="11"/>
    </row>
    <row r="557" spans="7:7">
      <c r="G557" s="11"/>
    </row>
    <row r="558" spans="7:7">
      <c r="G558" s="11"/>
    </row>
    <row r="559" spans="7:7">
      <c r="G559" s="11"/>
    </row>
    <row r="560" spans="7:7">
      <c r="G560" s="11"/>
    </row>
    <row r="561" spans="7:7">
      <c r="G561" s="11"/>
    </row>
    <row r="562" spans="7:7">
      <c r="G562" s="11"/>
    </row>
    <row r="563" spans="7:7">
      <c r="G563" s="11"/>
    </row>
    <row r="564" spans="7:7">
      <c r="G564" s="11"/>
    </row>
    <row r="565" spans="7:7">
      <c r="G565" s="11"/>
    </row>
    <row r="566" spans="7:7">
      <c r="G566" s="11"/>
    </row>
    <row r="567" spans="7:7">
      <c r="G567" s="11"/>
    </row>
    <row r="568" spans="7:7">
      <c r="G568" s="11"/>
    </row>
    <row r="569" spans="7:7">
      <c r="G569" s="11"/>
    </row>
    <row r="570" spans="7:7">
      <c r="G570" s="11"/>
    </row>
    <row r="571" spans="7:7">
      <c r="G571" s="11"/>
    </row>
    <row r="572" spans="7:7">
      <c r="G572" s="11"/>
    </row>
    <row r="573" spans="7:7">
      <c r="G573" s="11"/>
    </row>
    <row r="574" spans="7:7">
      <c r="G574" s="11"/>
    </row>
    <row r="575" spans="7:7">
      <c r="G575" s="11"/>
    </row>
    <row r="576" spans="7:7">
      <c r="G576" s="11"/>
    </row>
    <row r="577" spans="7:7">
      <c r="G577" s="11"/>
    </row>
    <row r="578" spans="7:7">
      <c r="G578" s="11"/>
    </row>
    <row r="579" spans="7:7">
      <c r="G579" s="11"/>
    </row>
    <row r="580" spans="7:7">
      <c r="G580" s="11"/>
    </row>
    <row r="581" spans="7:7">
      <c r="G581" s="11"/>
    </row>
    <row r="582" spans="7:7">
      <c r="G582" s="11"/>
    </row>
    <row r="583" spans="7:7">
      <c r="G583" s="11"/>
    </row>
    <row r="584" spans="7:7">
      <c r="G584" s="11"/>
    </row>
    <row r="585" spans="7:7">
      <c r="G585" s="11"/>
    </row>
    <row r="586" spans="7:7">
      <c r="G586" s="11"/>
    </row>
    <row r="587" spans="7:7">
      <c r="G587" s="11"/>
    </row>
    <row r="588" spans="7:7">
      <c r="G588" s="11"/>
    </row>
    <row r="589" spans="7:7">
      <c r="G589" s="11"/>
    </row>
    <row r="590" spans="7:7">
      <c r="G590" s="11"/>
    </row>
    <row r="591" spans="7:7">
      <c r="G591" s="11"/>
    </row>
    <row r="592" spans="7:7">
      <c r="G592" s="11"/>
    </row>
    <row r="593" spans="7:7">
      <c r="G593" s="11"/>
    </row>
    <row r="594" spans="7:7">
      <c r="G594" s="11"/>
    </row>
    <row r="595" spans="7:7">
      <c r="G595" s="11"/>
    </row>
    <row r="596" spans="7:7">
      <c r="G596" s="11"/>
    </row>
    <row r="597" spans="7:7">
      <c r="G597" s="11"/>
    </row>
    <row r="598" spans="7:7">
      <c r="G598" s="11"/>
    </row>
    <row r="599" spans="7:7">
      <c r="G599" s="11"/>
    </row>
    <row r="600" spans="7:7">
      <c r="G600" s="11"/>
    </row>
    <row r="601" spans="7:7">
      <c r="G601" s="11"/>
    </row>
    <row r="602" spans="7:7">
      <c r="G602" s="11"/>
    </row>
    <row r="603" spans="7:7">
      <c r="G603" s="11"/>
    </row>
    <row r="604" spans="7:7">
      <c r="G604" s="11"/>
    </row>
    <row r="605" spans="7:7">
      <c r="G605" s="11"/>
    </row>
    <row r="606" spans="7:7">
      <c r="G606" s="11"/>
    </row>
    <row r="607" spans="7:7">
      <c r="G607" s="11"/>
    </row>
    <row r="608" spans="7:7">
      <c r="G608" s="11"/>
    </row>
    <row r="609" spans="7:7">
      <c r="G609" s="11"/>
    </row>
    <row r="610" spans="7:7">
      <c r="G610" s="11"/>
    </row>
    <row r="611" spans="7:7">
      <c r="G611" s="11"/>
    </row>
    <row r="612" spans="7:7">
      <c r="G612" s="11"/>
    </row>
    <row r="613" spans="7:7">
      <c r="G613" s="11"/>
    </row>
    <row r="614" spans="7:7">
      <c r="G614" s="11"/>
    </row>
    <row r="615" spans="7:7">
      <c r="G615" s="11"/>
    </row>
    <row r="616" spans="7:7">
      <c r="G616" s="11"/>
    </row>
    <row r="617" spans="7:7">
      <c r="G617" s="11"/>
    </row>
    <row r="618" spans="7:7">
      <c r="G618" s="11"/>
    </row>
    <row r="619" spans="7:7">
      <c r="G619" s="11"/>
    </row>
    <row r="620" spans="7:7">
      <c r="G620" s="11"/>
    </row>
    <row r="621" spans="7:7">
      <c r="G621" s="11"/>
    </row>
    <row r="622" spans="7:7">
      <c r="G622" s="11"/>
    </row>
    <row r="623" spans="7:7">
      <c r="G623" s="11"/>
    </row>
    <row r="624" spans="7:7">
      <c r="G624" s="11"/>
    </row>
    <row r="625" spans="7:7">
      <c r="G625" s="11"/>
    </row>
    <row r="626" spans="7:7">
      <c r="G626" s="11"/>
    </row>
    <row r="627" spans="7:7">
      <c r="G627" s="11"/>
    </row>
    <row r="628" spans="7:7">
      <c r="G628" s="11"/>
    </row>
    <row r="629" spans="7:7">
      <c r="G629" s="11"/>
    </row>
    <row r="630" spans="7:7">
      <c r="G630" s="11"/>
    </row>
    <row r="631" spans="7:7">
      <c r="G631" s="11"/>
    </row>
    <row r="632" spans="7:7">
      <c r="G632" s="11"/>
    </row>
    <row r="633" spans="7:7">
      <c r="G633" s="11"/>
    </row>
    <row r="634" spans="7:7">
      <c r="G634" s="11"/>
    </row>
    <row r="635" spans="7:7">
      <c r="G635" s="11"/>
    </row>
    <row r="636" spans="7:7">
      <c r="G636" s="11"/>
    </row>
    <row r="637" spans="7:7">
      <c r="G637" s="11"/>
    </row>
    <row r="638" spans="7:7">
      <c r="G638" s="11"/>
    </row>
    <row r="639" spans="7:7">
      <c r="G639" s="11"/>
    </row>
    <row r="640" spans="7:7">
      <c r="G640" s="11"/>
    </row>
    <row r="641" spans="7:7">
      <c r="G641" s="11"/>
    </row>
    <row r="642" spans="7:7">
      <c r="G642" s="11"/>
    </row>
    <row r="643" spans="7:7">
      <c r="G643" s="11"/>
    </row>
    <row r="644" spans="7:7">
      <c r="G644" s="11"/>
    </row>
    <row r="645" spans="7:7">
      <c r="G645" s="11"/>
    </row>
    <row r="646" spans="7:7">
      <c r="G646" s="11"/>
    </row>
    <row r="647" spans="7:7">
      <c r="G647" s="11"/>
    </row>
    <row r="648" spans="7:7">
      <c r="G648" s="11"/>
    </row>
    <row r="649" spans="7:7">
      <c r="G649" s="11"/>
    </row>
    <row r="650" spans="7:7">
      <c r="G650" s="11"/>
    </row>
    <row r="651" spans="7:7">
      <c r="G651" s="11"/>
    </row>
    <row r="652" spans="7:7">
      <c r="G652" s="11"/>
    </row>
    <row r="653" spans="7:7">
      <c r="G653" s="11"/>
    </row>
    <row r="654" spans="7:7">
      <c r="G654" s="11"/>
    </row>
    <row r="655" spans="7:7">
      <c r="G655" s="11"/>
    </row>
    <row r="656" spans="7:7">
      <c r="G656" s="11"/>
    </row>
    <row r="657" spans="7:7">
      <c r="G657" s="11"/>
    </row>
    <row r="658" spans="7:7">
      <c r="G658" s="11"/>
    </row>
    <row r="659" spans="7:7">
      <c r="G659" s="11"/>
    </row>
    <row r="660" spans="7:7">
      <c r="G660" s="11"/>
    </row>
    <row r="661" spans="7:7">
      <c r="G661" s="11"/>
    </row>
    <row r="662" spans="7:7">
      <c r="G662" s="11"/>
    </row>
    <row r="663" spans="7:7">
      <c r="G663" s="11"/>
    </row>
    <row r="664" spans="7:7">
      <c r="G664" s="11"/>
    </row>
    <row r="665" spans="7:7">
      <c r="G665" s="11"/>
    </row>
    <row r="666" spans="7:7">
      <c r="G666" s="11"/>
    </row>
    <row r="667" spans="7:7">
      <c r="G667" s="11"/>
    </row>
    <row r="668" spans="7:7">
      <c r="G668" s="11"/>
    </row>
    <row r="669" spans="7:7">
      <c r="G669" s="11"/>
    </row>
    <row r="670" spans="7:7">
      <c r="G670" s="11"/>
    </row>
    <row r="671" spans="7:7">
      <c r="G671" s="11"/>
    </row>
    <row r="672" spans="7:7">
      <c r="G672" s="11"/>
    </row>
    <row r="673" spans="7:7">
      <c r="G673" s="11"/>
    </row>
    <row r="674" spans="7:7">
      <c r="G674" s="11"/>
    </row>
    <row r="675" spans="7:7">
      <c r="G675" s="11"/>
    </row>
    <row r="676" spans="7:7">
      <c r="G676" s="11"/>
    </row>
    <row r="677" spans="7:7">
      <c r="G677" s="11"/>
    </row>
    <row r="678" spans="7:7">
      <c r="G678" s="11"/>
    </row>
    <row r="679" spans="7:7">
      <c r="G679" s="11"/>
    </row>
    <row r="680" spans="7:7">
      <c r="G680" s="11"/>
    </row>
    <row r="681" spans="7:7">
      <c r="G681" s="11"/>
    </row>
    <row r="682" spans="7:7">
      <c r="G682" s="11"/>
    </row>
    <row r="683" spans="7:7">
      <c r="G683" s="11"/>
    </row>
    <row r="684" spans="7:7">
      <c r="G684" s="11"/>
    </row>
    <row r="685" spans="7:7">
      <c r="G685" s="11"/>
    </row>
    <row r="686" spans="7:7">
      <c r="G686" s="11"/>
    </row>
    <row r="687" spans="7:7">
      <c r="G687" s="11"/>
    </row>
    <row r="688" spans="7:7">
      <c r="G688" s="11"/>
    </row>
    <row r="689" spans="7:7">
      <c r="G689" s="11"/>
    </row>
    <row r="690" spans="7:7">
      <c r="G690" s="11"/>
    </row>
    <row r="691" spans="7:7">
      <c r="G691" s="11"/>
    </row>
    <row r="692" spans="7:7">
      <c r="G692" s="11"/>
    </row>
    <row r="693" spans="7:7">
      <c r="G693" s="11"/>
    </row>
    <row r="694" spans="7:7">
      <c r="G694" s="11"/>
    </row>
    <row r="695" spans="7:7">
      <c r="G695" s="11"/>
    </row>
    <row r="696" spans="7:7">
      <c r="G696" s="11"/>
    </row>
    <row r="697" spans="7:7">
      <c r="G697" s="11"/>
    </row>
    <row r="698" spans="7:7">
      <c r="G698" s="11"/>
    </row>
    <row r="699" spans="7:7">
      <c r="G699" s="11"/>
    </row>
    <row r="700" spans="7:7">
      <c r="G700" s="11"/>
    </row>
    <row r="701" spans="7:7">
      <c r="G701" s="11"/>
    </row>
    <row r="702" spans="7:7">
      <c r="G702" s="11"/>
    </row>
    <row r="703" spans="7:7">
      <c r="G703" s="11"/>
    </row>
    <row r="704" spans="7:7">
      <c r="G704" s="11"/>
    </row>
    <row r="705" spans="7:7">
      <c r="G705" s="11"/>
    </row>
    <row r="706" spans="7:7">
      <c r="G706" s="11"/>
    </row>
    <row r="707" spans="7:7">
      <c r="G707" s="11"/>
    </row>
    <row r="708" spans="7:7">
      <c r="G708" s="11"/>
    </row>
    <row r="709" spans="7:7">
      <c r="G709" s="11"/>
    </row>
    <row r="710" spans="7:7">
      <c r="G710" s="11"/>
    </row>
    <row r="711" spans="7:7">
      <c r="G711" s="11"/>
    </row>
    <row r="712" spans="7:7">
      <c r="G712" s="11"/>
    </row>
    <row r="713" spans="7:7">
      <c r="G713" s="11"/>
    </row>
    <row r="714" spans="7:7">
      <c r="G714" s="11"/>
    </row>
    <row r="715" spans="7:7">
      <c r="G715" s="11"/>
    </row>
    <row r="716" spans="7:7">
      <c r="G716" s="11"/>
    </row>
    <row r="717" spans="7:7">
      <c r="G717" s="11"/>
    </row>
    <row r="718" spans="7:7">
      <c r="G718" s="11"/>
    </row>
    <row r="719" spans="7:7">
      <c r="G719" s="11"/>
    </row>
    <row r="720" spans="7:7">
      <c r="G720" s="11"/>
    </row>
    <row r="721" spans="7:7">
      <c r="G721" s="11"/>
    </row>
    <row r="722" spans="7:7">
      <c r="G722" s="11"/>
    </row>
    <row r="723" spans="7:7">
      <c r="G723" s="11"/>
    </row>
    <row r="724" spans="7:7">
      <c r="G724" s="11"/>
    </row>
    <row r="725" spans="7:7">
      <c r="G725" s="11"/>
    </row>
    <row r="726" spans="7:7">
      <c r="G726" s="11"/>
    </row>
    <row r="727" spans="7:7">
      <c r="G727" s="11"/>
    </row>
    <row r="728" spans="7:7">
      <c r="G728" s="11"/>
    </row>
    <row r="729" spans="7:7">
      <c r="G729" s="11"/>
    </row>
    <row r="730" spans="7:7">
      <c r="G730" s="11"/>
    </row>
    <row r="731" spans="7:7">
      <c r="G731" s="11"/>
    </row>
    <row r="732" spans="7:7">
      <c r="G732" s="11"/>
    </row>
    <row r="733" spans="7:7">
      <c r="G733" s="11"/>
    </row>
    <row r="734" spans="7:7">
      <c r="G734" s="11"/>
    </row>
    <row r="735" spans="7:7">
      <c r="G735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409"/>
  <sheetViews>
    <sheetView workbookViewId="0">
      <selection activeCell="C5" sqref="C5:G5"/>
    </sheetView>
  </sheetViews>
  <sheetFormatPr defaultRowHeight="15"/>
  <cols>
    <col min="2" max="2" width="19.28515625" bestFit="1" customWidth="1"/>
    <col min="3" max="3" width="55" bestFit="1" customWidth="1"/>
    <col min="4" max="4" width="5.28515625" bestFit="1" customWidth="1"/>
    <col min="5" max="5" width="10.42578125" bestFit="1" customWidth="1"/>
    <col min="6" max="6" width="5" bestFit="1" customWidth="1"/>
    <col min="7" max="7" width="8.5703125" bestFit="1" customWidth="1"/>
  </cols>
  <sheetData>
    <row r="3" spans="2:7">
      <c r="B3" s="8" t="s">
        <v>207</v>
      </c>
    </row>
    <row r="4" spans="2:7">
      <c r="B4" s="9" t="s">
        <v>208</v>
      </c>
      <c r="C4" s="9" t="s">
        <v>209</v>
      </c>
      <c r="D4" s="9" t="s">
        <v>210</v>
      </c>
      <c r="E4" s="9" t="s">
        <v>206</v>
      </c>
      <c r="F4" s="9" t="s">
        <v>30</v>
      </c>
      <c r="G4" s="9" t="s">
        <v>228</v>
      </c>
    </row>
    <row r="5" spans="2:7" ht="15" customHeight="1" thickBot="1">
      <c r="B5" s="10" t="s">
        <v>213</v>
      </c>
      <c r="C5" s="10" t="s">
        <v>213</v>
      </c>
      <c r="D5" s="10" t="s">
        <v>213</v>
      </c>
      <c r="E5" s="10" t="s">
        <v>213</v>
      </c>
      <c r="F5" s="10" t="s">
        <v>213</v>
      </c>
      <c r="G5" s="10" t="s">
        <v>213</v>
      </c>
    </row>
    <row r="6" spans="2:7">
      <c r="B6" t="str">
        <f>Trans_Demand!A290</f>
        <v>RESAPALOOldDMD</v>
      </c>
      <c r="C6" t="str">
        <f>"DEMAND - "&amp;_xlfn.XLOOKUP(B6,Demand!E:E,Demand!A:A)&amp;" "&amp;_xlfn.XLOOKUP(B6,Demand!E:E,Demand!B:B)&amp;" "&amp;_xlfn.XLOOKUP(B6,Demand!E:E,Demand!C:C)&amp;" "&amp;_xlfn.XLOOKUP(B6,Demand!E:E,Demand!D:D)</f>
        <v>DEMAND - Residential Apartment Low Income Old</v>
      </c>
      <c r="D6" t="str">
        <f>_xlfn.XLOOKUP(B6,Trans_Demand!A:A,Trans_Demand!B:B)</f>
        <v>Mm2</v>
      </c>
      <c r="E6" t="s">
        <v>214</v>
      </c>
      <c r="F6">
        <f>Trans_Demand!C290</f>
        <v>2019</v>
      </c>
      <c r="G6" s="11">
        <f>SUMIFS(Trans_Demand!D:D,Trans_Demand!A:A,B6,Trans_Demand!C:C,F6)</f>
        <v>51.80787747749153</v>
      </c>
    </row>
    <row r="7" spans="2:7">
      <c r="B7" t="str">
        <f>Trans_Demand!A291</f>
        <v>RESAPALOOldDMD</v>
      </c>
      <c r="C7" t="str">
        <f>"DEMAND - "&amp;_xlfn.XLOOKUP(B7,Demand!E:E,Demand!A:A)&amp;" "&amp;_xlfn.XLOOKUP(B7,Demand!E:E,Demand!B:B)&amp;" "&amp;_xlfn.XLOOKUP(B7,Demand!E:E,Demand!C:C)&amp;" "&amp;_xlfn.XLOOKUP(B7,Demand!E:E,Demand!D:D)</f>
        <v>DEMAND - Residential Apartment Low Income Old</v>
      </c>
      <c r="D7" t="str">
        <f>_xlfn.XLOOKUP(B7,Trans_Demand!A:A,Trans_Demand!B:B)</f>
        <v>Mm2</v>
      </c>
      <c r="E7" t="s">
        <v>214</v>
      </c>
      <c r="F7">
        <f>Trans_Demand!C291</f>
        <v>2020</v>
      </c>
      <c r="G7" s="11">
        <f>SUMIFS(Trans_Demand!D:D,Trans_Demand!A:A,B7,Trans_Demand!C:C,F7)</f>
        <v>51.80787747749153</v>
      </c>
    </row>
    <row r="8" spans="2:7">
      <c r="B8" t="str">
        <f>Trans_Demand!A292</f>
        <v>RESAPALOOldDMD</v>
      </c>
      <c r="C8" t="str">
        <f>"DEMAND - "&amp;_xlfn.XLOOKUP(B8,Demand!E:E,Demand!A:A)&amp;" "&amp;_xlfn.XLOOKUP(B8,Demand!E:E,Demand!B:B)&amp;" "&amp;_xlfn.XLOOKUP(B8,Demand!E:E,Demand!C:C)&amp;" "&amp;_xlfn.XLOOKUP(B8,Demand!E:E,Demand!D:D)</f>
        <v>DEMAND - Residential Apartment Low Income Old</v>
      </c>
      <c r="D8" t="str">
        <f>_xlfn.XLOOKUP(B8,Trans_Demand!A:A,Trans_Demand!B:B)</f>
        <v>Mm2</v>
      </c>
      <c r="E8" t="s">
        <v>214</v>
      </c>
      <c r="F8">
        <f>Trans_Demand!C292</f>
        <v>2025</v>
      </c>
      <c r="G8" s="11">
        <f>SUMIFS(Trans_Demand!D:D,Trans_Demand!A:A,B8,Trans_Demand!C:C,F8)</f>
        <v>51.80787747749153</v>
      </c>
    </row>
    <row r="9" spans="2:7">
      <c r="B9" t="str">
        <f>Trans_Demand!A293</f>
        <v>RESAPALOOldDMD</v>
      </c>
      <c r="C9" t="str">
        <f>"DEMAND - "&amp;_xlfn.XLOOKUP(B9,Demand!E:E,Demand!A:A)&amp;" "&amp;_xlfn.XLOOKUP(B9,Demand!E:E,Demand!B:B)&amp;" "&amp;_xlfn.XLOOKUP(B9,Demand!E:E,Demand!C:C)&amp;" "&amp;_xlfn.XLOOKUP(B9,Demand!E:E,Demand!D:D)</f>
        <v>DEMAND - Residential Apartment Low Income Old</v>
      </c>
      <c r="D9" t="str">
        <f>_xlfn.XLOOKUP(B9,Trans_Demand!A:A,Trans_Demand!B:B)</f>
        <v>Mm2</v>
      </c>
      <c r="E9" t="s">
        <v>214</v>
      </c>
      <c r="F9">
        <f>Trans_Demand!C293</f>
        <v>2030</v>
      </c>
      <c r="G9" s="11">
        <f>SUMIFS(Trans_Demand!D:D,Trans_Demand!A:A,B9,Trans_Demand!C:C,F9)</f>
        <v>51.80787747749153</v>
      </c>
    </row>
    <row r="10" spans="2:7">
      <c r="B10" t="str">
        <f>Trans_Demand!A294</f>
        <v>RESAPALOOldDMD</v>
      </c>
      <c r="C10" t="str">
        <f>"DEMAND - "&amp;_xlfn.XLOOKUP(B10,Demand!E:E,Demand!A:A)&amp;" "&amp;_xlfn.XLOOKUP(B10,Demand!E:E,Demand!B:B)&amp;" "&amp;_xlfn.XLOOKUP(B10,Demand!E:E,Demand!C:C)&amp;" "&amp;_xlfn.XLOOKUP(B10,Demand!E:E,Demand!D:D)</f>
        <v>DEMAND - Residential Apartment Low Income Old</v>
      </c>
      <c r="D10" t="str">
        <f>_xlfn.XLOOKUP(B10,Trans_Demand!A:A,Trans_Demand!B:B)</f>
        <v>Mm2</v>
      </c>
      <c r="E10" t="s">
        <v>214</v>
      </c>
      <c r="F10">
        <f>Trans_Demand!C294</f>
        <v>2035</v>
      </c>
      <c r="G10" s="11">
        <f>SUMIFS(Trans_Demand!D:D,Trans_Demand!A:A,B10,Trans_Demand!C:C,F10)</f>
        <v>51.80787747749153</v>
      </c>
    </row>
    <row r="11" spans="2:7">
      <c r="B11" t="str">
        <f>Trans_Demand!A295</f>
        <v>RESAPALOOldDMD</v>
      </c>
      <c r="C11" t="str">
        <f>"DEMAND - "&amp;_xlfn.XLOOKUP(B11,Demand!E:E,Demand!A:A)&amp;" "&amp;_xlfn.XLOOKUP(B11,Demand!E:E,Demand!B:B)&amp;" "&amp;_xlfn.XLOOKUP(B11,Demand!E:E,Demand!C:C)&amp;" "&amp;_xlfn.XLOOKUP(B11,Demand!E:E,Demand!D:D)</f>
        <v>DEMAND - Residential Apartment Low Income Old</v>
      </c>
      <c r="D11" t="str">
        <f>_xlfn.XLOOKUP(B11,Trans_Demand!A:A,Trans_Demand!B:B)</f>
        <v>Mm2</v>
      </c>
      <c r="E11" t="s">
        <v>214</v>
      </c>
      <c r="F11">
        <f>Trans_Demand!C295</f>
        <v>2040</v>
      </c>
      <c r="G11" s="11">
        <f>SUMIFS(Trans_Demand!D:D,Trans_Demand!A:A,B11,Trans_Demand!C:C,F11)</f>
        <v>51.80787747749153</v>
      </c>
    </row>
    <row r="12" spans="2:7">
      <c r="B12" t="str">
        <f>Trans_Demand!A296</f>
        <v>RESAPALOOldDMD</v>
      </c>
      <c r="C12" t="str">
        <f>"DEMAND - "&amp;_xlfn.XLOOKUP(B12,Demand!E:E,Demand!A:A)&amp;" "&amp;_xlfn.XLOOKUP(B12,Demand!E:E,Demand!B:B)&amp;" "&amp;_xlfn.XLOOKUP(B12,Demand!E:E,Demand!C:C)&amp;" "&amp;_xlfn.XLOOKUP(B12,Demand!E:E,Demand!D:D)</f>
        <v>DEMAND - Residential Apartment Low Income Old</v>
      </c>
      <c r="D12" t="str">
        <f>_xlfn.XLOOKUP(B12,Trans_Demand!A:A,Trans_Demand!B:B)</f>
        <v>Mm2</v>
      </c>
      <c r="E12" t="s">
        <v>214</v>
      </c>
      <c r="F12">
        <f>Trans_Demand!C296</f>
        <v>2045</v>
      </c>
      <c r="G12" s="11">
        <f>SUMIFS(Trans_Demand!D:D,Trans_Demand!A:A,B12,Trans_Demand!C:C,F12)</f>
        <v>51.80787747749153</v>
      </c>
    </row>
    <row r="13" spans="2:7">
      <c r="B13" t="str">
        <f>Trans_Demand!A297</f>
        <v>RESAPALOOldDMD</v>
      </c>
      <c r="C13" t="str">
        <f>"DEMAND - "&amp;_xlfn.XLOOKUP(B13,Demand!E:E,Demand!A:A)&amp;" "&amp;_xlfn.XLOOKUP(B13,Demand!E:E,Demand!B:B)&amp;" "&amp;_xlfn.XLOOKUP(B13,Demand!E:E,Demand!C:C)&amp;" "&amp;_xlfn.XLOOKUP(B13,Demand!E:E,Demand!D:D)</f>
        <v>DEMAND - Residential Apartment Low Income Old</v>
      </c>
      <c r="D13" t="str">
        <f>_xlfn.XLOOKUP(B13,Trans_Demand!A:A,Trans_Demand!B:B)</f>
        <v>Mm2</v>
      </c>
      <c r="E13" t="s">
        <v>214</v>
      </c>
      <c r="F13">
        <f>Trans_Demand!C297</f>
        <v>2050</v>
      </c>
      <c r="G13" s="11">
        <f>SUMIFS(Trans_Demand!D:D,Trans_Demand!A:A,B13,Trans_Demand!C:C,F13)</f>
        <v>51.80787747749153</v>
      </c>
    </row>
    <row r="14" spans="2:7">
      <c r="B14" t="str">
        <f>Trans_Demand!A298</f>
        <v>RESAPALOOldDMD</v>
      </c>
      <c r="C14" t="str">
        <f>"DEMAND - "&amp;_xlfn.XLOOKUP(B14,Demand!E:E,Demand!A:A)&amp;" "&amp;_xlfn.XLOOKUP(B14,Demand!E:E,Demand!B:B)&amp;" "&amp;_xlfn.XLOOKUP(B14,Demand!E:E,Demand!C:C)&amp;" "&amp;_xlfn.XLOOKUP(B14,Demand!E:E,Demand!D:D)</f>
        <v>DEMAND - Residential Apartment Low Income Old</v>
      </c>
      <c r="D14" t="str">
        <f>_xlfn.XLOOKUP(B14,Trans_Demand!A:A,Trans_Demand!B:B)</f>
        <v>Mm2</v>
      </c>
      <c r="E14" t="s">
        <v>214</v>
      </c>
      <c r="F14">
        <f>Trans_Demand!C298</f>
        <v>2055</v>
      </c>
      <c r="G14" s="11">
        <f>SUMIFS(Trans_Demand!D:D,Trans_Demand!A:A,B14,Trans_Demand!C:C,F14)</f>
        <v>51.80787747749153</v>
      </c>
    </row>
    <row r="15" spans="2:7">
      <c r="B15" t="str">
        <f>Trans_Demand!A299</f>
        <v>RESAPALOOldDMD</v>
      </c>
      <c r="C15" t="str">
        <f>"DEMAND - "&amp;_xlfn.XLOOKUP(B15,Demand!E:E,Demand!A:A)&amp;" "&amp;_xlfn.XLOOKUP(B15,Demand!E:E,Demand!B:B)&amp;" "&amp;_xlfn.XLOOKUP(B15,Demand!E:E,Demand!C:C)&amp;" "&amp;_xlfn.XLOOKUP(B15,Demand!E:E,Demand!D:D)</f>
        <v>DEMAND - Residential Apartment Low Income Old</v>
      </c>
      <c r="D15" t="str">
        <f>_xlfn.XLOOKUP(B15,Trans_Demand!A:A,Trans_Demand!B:B)</f>
        <v>Mm2</v>
      </c>
      <c r="E15" t="s">
        <v>214</v>
      </c>
      <c r="F15">
        <f>Trans_Demand!C299</f>
        <v>2060</v>
      </c>
      <c r="G15" s="11">
        <f>SUMIFS(Trans_Demand!D:D,Trans_Demand!A:A,B15,Trans_Demand!C:C,F15)</f>
        <v>51.80787747749153</v>
      </c>
    </row>
    <row r="16" spans="2:7">
      <c r="B16" t="str">
        <f>Trans_Demand!A300</f>
        <v>RESAPALOOldDMD</v>
      </c>
      <c r="C16" t="str">
        <f>"DEMAND - "&amp;_xlfn.XLOOKUP(B16,Demand!E:E,Demand!A:A)&amp;" "&amp;_xlfn.XLOOKUP(B16,Demand!E:E,Demand!B:B)&amp;" "&amp;_xlfn.XLOOKUP(B16,Demand!E:E,Demand!C:C)&amp;" "&amp;_xlfn.XLOOKUP(B16,Demand!E:E,Demand!D:D)</f>
        <v>DEMAND - Residential Apartment Low Income Old</v>
      </c>
      <c r="D16" t="str">
        <f>_xlfn.XLOOKUP(B16,Trans_Demand!A:A,Trans_Demand!B:B)</f>
        <v>Mm2</v>
      </c>
      <c r="E16" t="s">
        <v>214</v>
      </c>
      <c r="F16">
        <f>Trans_Demand!C300</f>
        <v>2065</v>
      </c>
      <c r="G16" s="11">
        <f>SUMIFS(Trans_Demand!D:D,Trans_Demand!A:A,B16,Trans_Demand!C:C,F16)</f>
        <v>51.80787747749153</v>
      </c>
    </row>
    <row r="17" spans="2:7">
      <c r="B17" t="str">
        <f>Trans_Demand!A301</f>
        <v>RESAPALOOldDMD</v>
      </c>
      <c r="C17" t="str">
        <f>"DEMAND - "&amp;_xlfn.XLOOKUP(B17,Demand!E:E,Demand!A:A)&amp;" "&amp;_xlfn.XLOOKUP(B17,Demand!E:E,Demand!B:B)&amp;" "&amp;_xlfn.XLOOKUP(B17,Demand!E:E,Demand!C:C)&amp;" "&amp;_xlfn.XLOOKUP(B17,Demand!E:E,Demand!D:D)</f>
        <v>DEMAND - Residential Apartment Low Income Old</v>
      </c>
      <c r="D17" t="str">
        <f>_xlfn.XLOOKUP(B17,Trans_Demand!A:A,Trans_Demand!B:B)</f>
        <v>Mm2</v>
      </c>
      <c r="E17" t="s">
        <v>214</v>
      </c>
      <c r="F17">
        <f>Trans_Demand!C301</f>
        <v>2070</v>
      </c>
      <c r="G17" s="11">
        <f>SUMIFS(Trans_Demand!D:D,Trans_Demand!A:A,B17,Trans_Demand!C:C,F17)</f>
        <v>51.80787747749153</v>
      </c>
    </row>
    <row r="18" spans="2:7">
      <c r="B18" t="str">
        <f>Trans_Demand!A302</f>
        <v>RESAPALOOldDMD</v>
      </c>
      <c r="C18" t="str">
        <f>"DEMAND - "&amp;_xlfn.XLOOKUP(B18,Demand!E:E,Demand!A:A)&amp;" "&amp;_xlfn.XLOOKUP(B18,Demand!E:E,Demand!B:B)&amp;" "&amp;_xlfn.XLOOKUP(B18,Demand!E:E,Demand!C:C)&amp;" "&amp;_xlfn.XLOOKUP(B18,Demand!E:E,Demand!D:D)</f>
        <v>DEMAND - Residential Apartment Low Income Old</v>
      </c>
      <c r="D18" t="str">
        <f>_xlfn.XLOOKUP(B18,Trans_Demand!A:A,Trans_Demand!B:B)</f>
        <v>Mm2</v>
      </c>
      <c r="E18" t="s">
        <v>214</v>
      </c>
      <c r="F18">
        <f>Trans_Demand!C302</f>
        <v>2075</v>
      </c>
      <c r="G18" s="11">
        <f>SUMIFS(Trans_Demand!D:D,Trans_Demand!A:A,B18,Trans_Demand!C:C,F18)</f>
        <v>51.80787747749153</v>
      </c>
    </row>
    <row r="19" spans="2:7">
      <c r="B19" t="str">
        <f>Trans_Demand!A303</f>
        <v>RESAPALOOldDMD</v>
      </c>
      <c r="C19" t="str">
        <f>"DEMAND - "&amp;_xlfn.XLOOKUP(B19,Demand!E:E,Demand!A:A)&amp;" "&amp;_xlfn.XLOOKUP(B19,Demand!E:E,Demand!B:B)&amp;" "&amp;_xlfn.XLOOKUP(B19,Demand!E:E,Demand!C:C)&amp;" "&amp;_xlfn.XLOOKUP(B19,Demand!E:E,Demand!D:D)</f>
        <v>DEMAND - Residential Apartment Low Income Old</v>
      </c>
      <c r="D19" t="str">
        <f>_xlfn.XLOOKUP(B19,Trans_Demand!A:A,Trans_Demand!B:B)</f>
        <v>Mm2</v>
      </c>
      <c r="E19" t="s">
        <v>214</v>
      </c>
      <c r="F19">
        <f>Trans_Demand!C303</f>
        <v>2080</v>
      </c>
      <c r="G19" s="11">
        <f>SUMIFS(Trans_Demand!D:D,Trans_Demand!A:A,B19,Trans_Demand!C:C,F19)</f>
        <v>51.80787747749153</v>
      </c>
    </row>
    <row r="20" spans="2:7">
      <c r="B20" t="str">
        <f>Trans_Demand!A304</f>
        <v>RESAPALOOldDMD</v>
      </c>
      <c r="C20" t="str">
        <f>"DEMAND - "&amp;_xlfn.XLOOKUP(B20,Demand!E:E,Demand!A:A)&amp;" "&amp;_xlfn.XLOOKUP(B20,Demand!E:E,Demand!B:B)&amp;" "&amp;_xlfn.XLOOKUP(B20,Demand!E:E,Demand!C:C)&amp;" "&amp;_xlfn.XLOOKUP(B20,Demand!E:E,Demand!D:D)</f>
        <v>DEMAND - Residential Apartment Low Income Old</v>
      </c>
      <c r="D20" t="str">
        <f>_xlfn.XLOOKUP(B20,Trans_Demand!A:A,Trans_Demand!B:B)</f>
        <v>Mm2</v>
      </c>
      <c r="E20" t="s">
        <v>214</v>
      </c>
      <c r="F20">
        <f>Trans_Demand!C304</f>
        <v>2085</v>
      </c>
      <c r="G20" s="11">
        <f>SUMIFS(Trans_Demand!D:D,Trans_Demand!A:A,B20,Trans_Demand!C:C,F20)</f>
        <v>51.80787747749153</v>
      </c>
    </row>
    <row r="21" spans="2:7">
      <c r="B21" t="str">
        <f>Trans_Demand!A305</f>
        <v>RESAPALOOldDMD</v>
      </c>
      <c r="C21" t="str">
        <f>"DEMAND - "&amp;_xlfn.XLOOKUP(B21,Demand!E:E,Demand!A:A)&amp;" "&amp;_xlfn.XLOOKUP(B21,Demand!E:E,Demand!B:B)&amp;" "&amp;_xlfn.XLOOKUP(B21,Demand!E:E,Demand!C:C)&amp;" "&amp;_xlfn.XLOOKUP(B21,Demand!E:E,Demand!D:D)</f>
        <v>DEMAND - Residential Apartment Low Income Old</v>
      </c>
      <c r="D21" t="str">
        <f>_xlfn.XLOOKUP(B21,Trans_Demand!A:A,Trans_Demand!B:B)</f>
        <v>Mm2</v>
      </c>
      <c r="E21" t="s">
        <v>214</v>
      </c>
      <c r="F21">
        <f>Trans_Demand!C305</f>
        <v>2090</v>
      </c>
      <c r="G21" s="11">
        <f>SUMIFS(Trans_Demand!D:D,Trans_Demand!A:A,B21,Trans_Demand!C:C,F21)</f>
        <v>51.80787747749153</v>
      </c>
    </row>
    <row r="22" spans="2:7">
      <c r="B22" t="str">
        <f>Trans_Demand!A306</f>
        <v>RESAPALOOldDMD</v>
      </c>
      <c r="C22" t="str">
        <f>"DEMAND - "&amp;_xlfn.XLOOKUP(B22,Demand!E:E,Demand!A:A)&amp;" "&amp;_xlfn.XLOOKUP(B22,Demand!E:E,Demand!B:B)&amp;" "&amp;_xlfn.XLOOKUP(B22,Demand!E:E,Demand!C:C)&amp;" "&amp;_xlfn.XLOOKUP(B22,Demand!E:E,Demand!D:D)</f>
        <v>DEMAND - Residential Apartment Low Income Old</v>
      </c>
      <c r="D22" t="str">
        <f>_xlfn.XLOOKUP(B22,Trans_Demand!A:A,Trans_Demand!B:B)</f>
        <v>Mm2</v>
      </c>
      <c r="E22" t="s">
        <v>214</v>
      </c>
      <c r="F22">
        <f>Trans_Demand!C306</f>
        <v>2095</v>
      </c>
      <c r="G22" s="11">
        <f>SUMIFS(Trans_Demand!D:D,Trans_Demand!A:A,B22,Trans_Demand!C:C,F22)</f>
        <v>51.80787747749153</v>
      </c>
    </row>
    <row r="23" spans="2:7">
      <c r="B23" t="str">
        <f>Trans_Demand!A307</f>
        <v>RESAPALOOldDMD</v>
      </c>
      <c r="C23" t="str">
        <f>"DEMAND - "&amp;_xlfn.XLOOKUP(B23,Demand!E:E,Demand!A:A)&amp;" "&amp;_xlfn.XLOOKUP(B23,Demand!E:E,Demand!B:B)&amp;" "&amp;_xlfn.XLOOKUP(B23,Demand!E:E,Demand!C:C)&amp;" "&amp;_xlfn.XLOOKUP(B23,Demand!E:E,Demand!D:D)</f>
        <v>DEMAND - Residential Apartment Low Income Old</v>
      </c>
      <c r="D23" t="str">
        <f>_xlfn.XLOOKUP(B23,Trans_Demand!A:A,Trans_Demand!B:B)</f>
        <v>Mm2</v>
      </c>
      <c r="E23" t="s">
        <v>214</v>
      </c>
      <c r="F23">
        <f>Trans_Demand!C307</f>
        <v>2100</v>
      </c>
      <c r="G23" s="11">
        <f>SUMIFS(Trans_Demand!D:D,Trans_Demand!A:A,B23,Trans_Demand!C:C,F23)</f>
        <v>51.80787747749153</v>
      </c>
    </row>
    <row r="24" spans="2:7">
      <c r="B24" t="str">
        <f>Trans_Demand!A308</f>
        <v>RESHOULOOldDMD</v>
      </c>
      <c r="C24" t="str">
        <f>"DEMAND - "&amp;_xlfn.XLOOKUP(B24,Demand!E:E,Demand!A:A)&amp;" "&amp;_xlfn.XLOOKUP(B24,Demand!E:E,Demand!B:B)&amp;" "&amp;_xlfn.XLOOKUP(B24,Demand!E:E,Demand!C:C)&amp;" "&amp;_xlfn.XLOOKUP(B24,Demand!E:E,Demand!D:D)</f>
        <v>DEMAND - Residential House Low Income Old</v>
      </c>
      <c r="D24" t="str">
        <f>_xlfn.XLOOKUP(B24,Trans_Demand!A:A,Trans_Demand!B:B)</f>
        <v>Mm2</v>
      </c>
      <c r="E24" t="s">
        <v>214</v>
      </c>
      <c r="F24">
        <f>Trans_Demand!C308</f>
        <v>2019</v>
      </c>
      <c r="G24" s="11">
        <f>SUMIFS(Trans_Demand!D:D,Trans_Demand!A:A,B24,Trans_Demand!C:C,F24)</f>
        <v>14.956798014988321</v>
      </c>
    </row>
    <row r="25" spans="2:7">
      <c r="B25" t="str">
        <f>Trans_Demand!A309</f>
        <v>RESHOULOOldDMD</v>
      </c>
      <c r="C25" t="str">
        <f>"DEMAND - "&amp;_xlfn.XLOOKUP(B25,Demand!E:E,Demand!A:A)&amp;" "&amp;_xlfn.XLOOKUP(B25,Demand!E:E,Demand!B:B)&amp;" "&amp;_xlfn.XLOOKUP(B25,Demand!E:E,Demand!C:C)&amp;" "&amp;_xlfn.XLOOKUP(B25,Demand!E:E,Demand!D:D)</f>
        <v>DEMAND - Residential House Low Income Old</v>
      </c>
      <c r="D25" t="str">
        <f>_xlfn.XLOOKUP(B25,Trans_Demand!A:A,Trans_Demand!B:B)</f>
        <v>Mm2</v>
      </c>
      <c r="E25" t="s">
        <v>214</v>
      </c>
      <c r="F25">
        <f>Trans_Demand!C309</f>
        <v>2020</v>
      </c>
      <c r="G25" s="11">
        <f>SUMIFS(Trans_Demand!D:D,Trans_Demand!A:A,B25,Trans_Demand!C:C,F25)</f>
        <v>14.956798014988321</v>
      </c>
    </row>
    <row r="26" spans="2:7">
      <c r="B26" t="str">
        <f>Trans_Demand!A310</f>
        <v>RESHOULOOldDMD</v>
      </c>
      <c r="C26" t="str">
        <f>"DEMAND - "&amp;_xlfn.XLOOKUP(B26,Demand!E:E,Demand!A:A)&amp;" "&amp;_xlfn.XLOOKUP(B26,Demand!E:E,Demand!B:B)&amp;" "&amp;_xlfn.XLOOKUP(B26,Demand!E:E,Demand!C:C)&amp;" "&amp;_xlfn.XLOOKUP(B26,Demand!E:E,Demand!D:D)</f>
        <v>DEMAND - Residential House Low Income Old</v>
      </c>
      <c r="D26" t="str">
        <f>_xlfn.XLOOKUP(B26,Trans_Demand!A:A,Trans_Demand!B:B)</f>
        <v>Mm2</v>
      </c>
      <c r="E26" t="s">
        <v>214</v>
      </c>
      <c r="F26">
        <f>Trans_Demand!C310</f>
        <v>2025</v>
      </c>
      <c r="G26" s="11">
        <f>SUMIFS(Trans_Demand!D:D,Trans_Demand!A:A,B26,Trans_Demand!C:C,F26)</f>
        <v>14.956798014988321</v>
      </c>
    </row>
    <row r="27" spans="2:7">
      <c r="B27" t="str">
        <f>Trans_Demand!A311</f>
        <v>RESHOULOOldDMD</v>
      </c>
      <c r="C27" t="str">
        <f>"DEMAND - "&amp;_xlfn.XLOOKUP(B27,Demand!E:E,Demand!A:A)&amp;" "&amp;_xlfn.XLOOKUP(B27,Demand!E:E,Demand!B:B)&amp;" "&amp;_xlfn.XLOOKUP(B27,Demand!E:E,Demand!C:C)&amp;" "&amp;_xlfn.XLOOKUP(B27,Demand!E:E,Demand!D:D)</f>
        <v>DEMAND - Residential House Low Income Old</v>
      </c>
      <c r="D27" t="str">
        <f>_xlfn.XLOOKUP(B27,Trans_Demand!A:A,Trans_Demand!B:B)</f>
        <v>Mm2</v>
      </c>
      <c r="E27" t="s">
        <v>214</v>
      </c>
      <c r="F27">
        <f>Trans_Demand!C311</f>
        <v>2030</v>
      </c>
      <c r="G27" s="11">
        <f>SUMIFS(Trans_Demand!D:D,Trans_Demand!A:A,B27,Trans_Demand!C:C,F27)</f>
        <v>14.956798014988321</v>
      </c>
    </row>
    <row r="28" spans="2:7">
      <c r="B28" t="str">
        <f>Trans_Demand!A312</f>
        <v>RESHOULOOldDMD</v>
      </c>
      <c r="C28" t="str">
        <f>"DEMAND - "&amp;_xlfn.XLOOKUP(B28,Demand!E:E,Demand!A:A)&amp;" "&amp;_xlfn.XLOOKUP(B28,Demand!E:E,Demand!B:B)&amp;" "&amp;_xlfn.XLOOKUP(B28,Demand!E:E,Demand!C:C)&amp;" "&amp;_xlfn.XLOOKUP(B28,Demand!E:E,Demand!D:D)</f>
        <v>DEMAND - Residential House Low Income Old</v>
      </c>
      <c r="D28" t="str">
        <f>_xlfn.XLOOKUP(B28,Trans_Demand!A:A,Trans_Demand!B:B)</f>
        <v>Mm2</v>
      </c>
      <c r="E28" t="s">
        <v>214</v>
      </c>
      <c r="F28">
        <f>Trans_Demand!C312</f>
        <v>2035</v>
      </c>
      <c r="G28" s="11">
        <f>SUMIFS(Trans_Demand!D:D,Trans_Demand!A:A,B28,Trans_Demand!C:C,F28)</f>
        <v>14.956798014988321</v>
      </c>
    </row>
    <row r="29" spans="2:7">
      <c r="B29" t="str">
        <f>Trans_Demand!A313</f>
        <v>RESHOULOOldDMD</v>
      </c>
      <c r="C29" t="str">
        <f>"DEMAND - "&amp;_xlfn.XLOOKUP(B29,Demand!E:E,Demand!A:A)&amp;" "&amp;_xlfn.XLOOKUP(B29,Demand!E:E,Demand!B:B)&amp;" "&amp;_xlfn.XLOOKUP(B29,Demand!E:E,Demand!C:C)&amp;" "&amp;_xlfn.XLOOKUP(B29,Demand!E:E,Demand!D:D)</f>
        <v>DEMAND - Residential House Low Income Old</v>
      </c>
      <c r="D29" t="str">
        <f>_xlfn.XLOOKUP(B29,Trans_Demand!A:A,Trans_Demand!B:B)</f>
        <v>Mm2</v>
      </c>
      <c r="E29" t="s">
        <v>214</v>
      </c>
      <c r="F29">
        <f>Trans_Demand!C313</f>
        <v>2040</v>
      </c>
      <c r="G29" s="11">
        <f>SUMIFS(Trans_Demand!D:D,Trans_Demand!A:A,B29,Trans_Demand!C:C,F29)</f>
        <v>14.956798014988321</v>
      </c>
    </row>
    <row r="30" spans="2:7">
      <c r="B30" t="str">
        <f>Trans_Demand!A314</f>
        <v>RESHOULOOldDMD</v>
      </c>
      <c r="C30" t="str">
        <f>"DEMAND - "&amp;_xlfn.XLOOKUP(B30,Demand!E:E,Demand!A:A)&amp;" "&amp;_xlfn.XLOOKUP(B30,Demand!E:E,Demand!B:B)&amp;" "&amp;_xlfn.XLOOKUP(B30,Demand!E:E,Demand!C:C)&amp;" "&amp;_xlfn.XLOOKUP(B30,Demand!E:E,Demand!D:D)</f>
        <v>DEMAND - Residential House Low Income Old</v>
      </c>
      <c r="D30" t="str">
        <f>_xlfn.XLOOKUP(B30,Trans_Demand!A:A,Trans_Demand!B:B)</f>
        <v>Mm2</v>
      </c>
      <c r="E30" t="s">
        <v>214</v>
      </c>
      <c r="F30">
        <f>Trans_Demand!C314</f>
        <v>2045</v>
      </c>
      <c r="G30" s="11">
        <f>SUMIFS(Trans_Demand!D:D,Trans_Demand!A:A,B30,Trans_Demand!C:C,F30)</f>
        <v>14.956798014988321</v>
      </c>
    </row>
    <row r="31" spans="2:7">
      <c r="B31" t="str">
        <f>Trans_Demand!A315</f>
        <v>RESHOULOOldDMD</v>
      </c>
      <c r="C31" t="str">
        <f>"DEMAND - "&amp;_xlfn.XLOOKUP(B31,Demand!E:E,Demand!A:A)&amp;" "&amp;_xlfn.XLOOKUP(B31,Demand!E:E,Demand!B:B)&amp;" "&amp;_xlfn.XLOOKUP(B31,Demand!E:E,Demand!C:C)&amp;" "&amp;_xlfn.XLOOKUP(B31,Demand!E:E,Demand!D:D)</f>
        <v>DEMAND - Residential House Low Income Old</v>
      </c>
      <c r="D31" t="str">
        <f>_xlfn.XLOOKUP(B31,Trans_Demand!A:A,Trans_Demand!B:B)</f>
        <v>Mm2</v>
      </c>
      <c r="E31" t="s">
        <v>214</v>
      </c>
      <c r="F31">
        <f>Trans_Demand!C315</f>
        <v>2050</v>
      </c>
      <c r="G31" s="11">
        <f>SUMIFS(Trans_Demand!D:D,Trans_Demand!A:A,B31,Trans_Demand!C:C,F31)</f>
        <v>14.956798014988321</v>
      </c>
    </row>
    <row r="32" spans="2:7">
      <c r="B32" t="str">
        <f>Trans_Demand!A316</f>
        <v>RESHOULOOldDMD</v>
      </c>
      <c r="C32" t="str">
        <f>"DEMAND - "&amp;_xlfn.XLOOKUP(B32,Demand!E:E,Demand!A:A)&amp;" "&amp;_xlfn.XLOOKUP(B32,Demand!E:E,Demand!B:B)&amp;" "&amp;_xlfn.XLOOKUP(B32,Demand!E:E,Demand!C:C)&amp;" "&amp;_xlfn.XLOOKUP(B32,Demand!E:E,Demand!D:D)</f>
        <v>DEMAND - Residential House Low Income Old</v>
      </c>
      <c r="D32" t="str">
        <f>_xlfn.XLOOKUP(B32,Trans_Demand!A:A,Trans_Demand!B:B)</f>
        <v>Mm2</v>
      </c>
      <c r="E32" t="s">
        <v>214</v>
      </c>
      <c r="F32">
        <f>Trans_Demand!C316</f>
        <v>2055</v>
      </c>
      <c r="G32" s="11">
        <f>SUMIFS(Trans_Demand!D:D,Trans_Demand!A:A,B32,Trans_Demand!C:C,F32)</f>
        <v>14.956798014988321</v>
      </c>
    </row>
    <row r="33" spans="2:7">
      <c r="B33" t="str">
        <f>Trans_Demand!A317</f>
        <v>RESHOULOOldDMD</v>
      </c>
      <c r="C33" t="str">
        <f>"DEMAND - "&amp;_xlfn.XLOOKUP(B33,Demand!E:E,Demand!A:A)&amp;" "&amp;_xlfn.XLOOKUP(B33,Demand!E:E,Demand!B:B)&amp;" "&amp;_xlfn.XLOOKUP(B33,Demand!E:E,Demand!C:C)&amp;" "&amp;_xlfn.XLOOKUP(B33,Demand!E:E,Demand!D:D)</f>
        <v>DEMAND - Residential House Low Income Old</v>
      </c>
      <c r="D33" t="str">
        <f>_xlfn.XLOOKUP(B33,Trans_Demand!A:A,Trans_Demand!B:B)</f>
        <v>Mm2</v>
      </c>
      <c r="E33" t="s">
        <v>214</v>
      </c>
      <c r="F33">
        <f>Trans_Demand!C317</f>
        <v>2060</v>
      </c>
      <c r="G33" s="11">
        <f>SUMIFS(Trans_Demand!D:D,Trans_Demand!A:A,B33,Trans_Demand!C:C,F33)</f>
        <v>14.956798014988321</v>
      </c>
    </row>
    <row r="34" spans="2:7">
      <c r="B34" t="str">
        <f>Trans_Demand!A318</f>
        <v>RESHOULOOldDMD</v>
      </c>
      <c r="C34" t="str">
        <f>"DEMAND - "&amp;_xlfn.XLOOKUP(B34,Demand!E:E,Demand!A:A)&amp;" "&amp;_xlfn.XLOOKUP(B34,Demand!E:E,Demand!B:B)&amp;" "&amp;_xlfn.XLOOKUP(B34,Demand!E:E,Demand!C:C)&amp;" "&amp;_xlfn.XLOOKUP(B34,Demand!E:E,Demand!D:D)</f>
        <v>DEMAND - Residential House Low Income Old</v>
      </c>
      <c r="D34" t="str">
        <f>_xlfn.XLOOKUP(B34,Trans_Demand!A:A,Trans_Demand!B:B)</f>
        <v>Mm2</v>
      </c>
      <c r="E34" t="s">
        <v>214</v>
      </c>
      <c r="F34">
        <f>Trans_Demand!C318</f>
        <v>2065</v>
      </c>
      <c r="G34" s="11">
        <f>SUMIFS(Trans_Demand!D:D,Trans_Demand!A:A,B34,Trans_Demand!C:C,F34)</f>
        <v>14.956798014988321</v>
      </c>
    </row>
    <row r="35" spans="2:7">
      <c r="B35" t="str">
        <f>Trans_Demand!A319</f>
        <v>RESHOULOOldDMD</v>
      </c>
      <c r="C35" t="str">
        <f>"DEMAND - "&amp;_xlfn.XLOOKUP(B35,Demand!E:E,Demand!A:A)&amp;" "&amp;_xlfn.XLOOKUP(B35,Demand!E:E,Demand!B:B)&amp;" "&amp;_xlfn.XLOOKUP(B35,Demand!E:E,Demand!C:C)&amp;" "&amp;_xlfn.XLOOKUP(B35,Demand!E:E,Demand!D:D)</f>
        <v>DEMAND - Residential House Low Income Old</v>
      </c>
      <c r="D35" t="str">
        <f>_xlfn.XLOOKUP(B35,Trans_Demand!A:A,Trans_Demand!B:B)</f>
        <v>Mm2</v>
      </c>
      <c r="E35" t="s">
        <v>214</v>
      </c>
      <c r="F35">
        <f>Trans_Demand!C319</f>
        <v>2070</v>
      </c>
      <c r="G35" s="11">
        <f>SUMIFS(Trans_Demand!D:D,Trans_Demand!A:A,B35,Trans_Demand!C:C,F35)</f>
        <v>14.956798014988321</v>
      </c>
    </row>
    <row r="36" spans="2:7">
      <c r="B36" t="str">
        <f>Trans_Demand!A320</f>
        <v>RESHOULOOldDMD</v>
      </c>
      <c r="C36" t="str">
        <f>"DEMAND - "&amp;_xlfn.XLOOKUP(B36,Demand!E:E,Demand!A:A)&amp;" "&amp;_xlfn.XLOOKUP(B36,Demand!E:E,Demand!B:B)&amp;" "&amp;_xlfn.XLOOKUP(B36,Demand!E:E,Demand!C:C)&amp;" "&amp;_xlfn.XLOOKUP(B36,Demand!E:E,Demand!D:D)</f>
        <v>DEMAND - Residential House Low Income Old</v>
      </c>
      <c r="D36" t="str">
        <f>_xlfn.XLOOKUP(B36,Trans_Demand!A:A,Trans_Demand!B:B)</f>
        <v>Mm2</v>
      </c>
      <c r="E36" t="s">
        <v>214</v>
      </c>
      <c r="F36">
        <f>Trans_Demand!C320</f>
        <v>2075</v>
      </c>
      <c r="G36" s="11">
        <f>SUMIFS(Trans_Demand!D:D,Trans_Demand!A:A,B36,Trans_Demand!C:C,F36)</f>
        <v>14.956798014988321</v>
      </c>
    </row>
    <row r="37" spans="2:7">
      <c r="B37" t="str">
        <f>Trans_Demand!A321</f>
        <v>RESHOULOOldDMD</v>
      </c>
      <c r="C37" t="str">
        <f>"DEMAND - "&amp;_xlfn.XLOOKUP(B37,Demand!E:E,Demand!A:A)&amp;" "&amp;_xlfn.XLOOKUP(B37,Demand!E:E,Demand!B:B)&amp;" "&amp;_xlfn.XLOOKUP(B37,Demand!E:E,Demand!C:C)&amp;" "&amp;_xlfn.XLOOKUP(B37,Demand!E:E,Demand!D:D)</f>
        <v>DEMAND - Residential House Low Income Old</v>
      </c>
      <c r="D37" t="str">
        <f>_xlfn.XLOOKUP(B37,Trans_Demand!A:A,Trans_Demand!B:B)</f>
        <v>Mm2</v>
      </c>
      <c r="E37" t="s">
        <v>214</v>
      </c>
      <c r="F37">
        <f>Trans_Demand!C321</f>
        <v>2080</v>
      </c>
      <c r="G37" s="11">
        <f>SUMIFS(Trans_Demand!D:D,Trans_Demand!A:A,B37,Trans_Demand!C:C,F37)</f>
        <v>14.956798014988321</v>
      </c>
    </row>
    <row r="38" spans="2:7">
      <c r="B38" t="str">
        <f>Trans_Demand!A322</f>
        <v>RESHOULOOldDMD</v>
      </c>
      <c r="C38" t="str">
        <f>"DEMAND - "&amp;_xlfn.XLOOKUP(B38,Demand!E:E,Demand!A:A)&amp;" "&amp;_xlfn.XLOOKUP(B38,Demand!E:E,Demand!B:B)&amp;" "&amp;_xlfn.XLOOKUP(B38,Demand!E:E,Demand!C:C)&amp;" "&amp;_xlfn.XLOOKUP(B38,Demand!E:E,Demand!D:D)</f>
        <v>DEMAND - Residential House Low Income Old</v>
      </c>
      <c r="D38" t="str">
        <f>_xlfn.XLOOKUP(B38,Trans_Demand!A:A,Trans_Demand!B:B)</f>
        <v>Mm2</v>
      </c>
      <c r="E38" t="s">
        <v>214</v>
      </c>
      <c r="F38">
        <f>Trans_Demand!C322</f>
        <v>2085</v>
      </c>
      <c r="G38" s="11">
        <f>SUMIFS(Trans_Demand!D:D,Trans_Demand!A:A,B38,Trans_Demand!C:C,F38)</f>
        <v>14.956798014988321</v>
      </c>
    </row>
    <row r="39" spans="2:7">
      <c r="B39" t="str">
        <f>Trans_Demand!A323</f>
        <v>RESHOULOOldDMD</v>
      </c>
      <c r="C39" t="str">
        <f>"DEMAND - "&amp;_xlfn.XLOOKUP(B39,Demand!E:E,Demand!A:A)&amp;" "&amp;_xlfn.XLOOKUP(B39,Demand!E:E,Demand!B:B)&amp;" "&amp;_xlfn.XLOOKUP(B39,Demand!E:E,Demand!C:C)&amp;" "&amp;_xlfn.XLOOKUP(B39,Demand!E:E,Demand!D:D)</f>
        <v>DEMAND - Residential House Low Income Old</v>
      </c>
      <c r="D39" t="str">
        <f>_xlfn.XLOOKUP(B39,Trans_Demand!A:A,Trans_Demand!B:B)</f>
        <v>Mm2</v>
      </c>
      <c r="E39" t="s">
        <v>214</v>
      </c>
      <c r="F39">
        <f>Trans_Demand!C323</f>
        <v>2090</v>
      </c>
      <c r="G39" s="11">
        <f>SUMIFS(Trans_Demand!D:D,Trans_Demand!A:A,B39,Trans_Demand!C:C,F39)</f>
        <v>14.956798014988321</v>
      </c>
    </row>
    <row r="40" spans="2:7">
      <c r="B40" t="str">
        <f>Trans_Demand!A324</f>
        <v>RESHOULOOldDMD</v>
      </c>
      <c r="C40" t="str">
        <f>"DEMAND - "&amp;_xlfn.XLOOKUP(B40,Demand!E:E,Demand!A:A)&amp;" "&amp;_xlfn.XLOOKUP(B40,Demand!E:E,Demand!B:B)&amp;" "&amp;_xlfn.XLOOKUP(B40,Demand!E:E,Demand!C:C)&amp;" "&amp;_xlfn.XLOOKUP(B40,Demand!E:E,Demand!D:D)</f>
        <v>DEMAND - Residential House Low Income Old</v>
      </c>
      <c r="D40" t="str">
        <f>_xlfn.XLOOKUP(B40,Trans_Demand!A:A,Trans_Demand!B:B)</f>
        <v>Mm2</v>
      </c>
      <c r="E40" t="s">
        <v>214</v>
      </c>
      <c r="F40">
        <f>Trans_Demand!C324</f>
        <v>2095</v>
      </c>
      <c r="G40" s="11">
        <f>SUMIFS(Trans_Demand!D:D,Trans_Demand!A:A,B40,Trans_Demand!C:C,F40)</f>
        <v>14.956798014988321</v>
      </c>
    </row>
    <row r="41" spans="2:7">
      <c r="B41" t="str">
        <f>Trans_Demand!A325</f>
        <v>RESHOULOOldDMD</v>
      </c>
      <c r="C41" t="str">
        <f>"DEMAND - "&amp;_xlfn.XLOOKUP(B41,Demand!E:E,Demand!A:A)&amp;" "&amp;_xlfn.XLOOKUP(B41,Demand!E:E,Demand!B:B)&amp;" "&amp;_xlfn.XLOOKUP(B41,Demand!E:E,Demand!C:C)&amp;" "&amp;_xlfn.XLOOKUP(B41,Demand!E:E,Demand!D:D)</f>
        <v>DEMAND - Residential House Low Income Old</v>
      </c>
      <c r="D41" t="str">
        <f>_xlfn.XLOOKUP(B41,Trans_Demand!A:A,Trans_Demand!B:B)</f>
        <v>Mm2</v>
      </c>
      <c r="E41" t="s">
        <v>214</v>
      </c>
      <c r="F41">
        <f>Trans_Demand!C325</f>
        <v>2100</v>
      </c>
      <c r="G41" s="11">
        <f>SUMIFS(Trans_Demand!D:D,Trans_Demand!A:A,B41,Trans_Demand!C:C,F41)</f>
        <v>14.956798014988321</v>
      </c>
    </row>
    <row r="42" spans="2:7">
      <c r="B42" t="str">
        <f>Trans_Demand!A326</f>
        <v>RESAPALMOldDMD</v>
      </c>
      <c r="C42" t="str">
        <f>"DEMAND - "&amp;_xlfn.XLOOKUP(B42,Demand!E:E,Demand!A:A)&amp;" "&amp;_xlfn.XLOOKUP(B42,Demand!E:E,Demand!B:B)&amp;" "&amp;_xlfn.XLOOKUP(B42,Demand!E:E,Demand!C:C)&amp;" "&amp;_xlfn.XLOOKUP(B42,Demand!E:E,Demand!D:D)</f>
        <v>DEMAND - Residential Apartment Lower-Middle Income Old</v>
      </c>
      <c r="D42" t="str">
        <f>_xlfn.XLOOKUP(B42,Trans_Demand!A:A,Trans_Demand!B:B)</f>
        <v>Mm2</v>
      </c>
      <c r="E42" t="s">
        <v>214</v>
      </c>
      <c r="F42">
        <f>Trans_Demand!C326</f>
        <v>2019</v>
      </c>
      <c r="G42" s="11">
        <f>SUMIFS(Trans_Demand!D:D,Trans_Demand!A:A,B42,Trans_Demand!C:C,F42)</f>
        <v>57.121976335841403</v>
      </c>
    </row>
    <row r="43" spans="2:7">
      <c r="B43" t="str">
        <f>Trans_Demand!A327</f>
        <v>RESAPALMOldDMD</v>
      </c>
      <c r="C43" t="str">
        <f>"DEMAND - "&amp;_xlfn.XLOOKUP(B43,Demand!E:E,Demand!A:A)&amp;" "&amp;_xlfn.XLOOKUP(B43,Demand!E:E,Demand!B:B)&amp;" "&amp;_xlfn.XLOOKUP(B43,Demand!E:E,Demand!C:C)&amp;" "&amp;_xlfn.XLOOKUP(B43,Demand!E:E,Demand!D:D)</f>
        <v>DEMAND - Residential Apartment Lower-Middle Income Old</v>
      </c>
      <c r="D43" t="str">
        <f>_xlfn.XLOOKUP(B43,Trans_Demand!A:A,Trans_Demand!B:B)</f>
        <v>Mm2</v>
      </c>
      <c r="E43" t="s">
        <v>214</v>
      </c>
      <c r="F43">
        <f>Trans_Demand!C327</f>
        <v>2020</v>
      </c>
      <c r="G43" s="11">
        <f>SUMIFS(Trans_Demand!D:D,Trans_Demand!A:A,B43,Trans_Demand!C:C,F43)</f>
        <v>57.121976335841403</v>
      </c>
    </row>
    <row r="44" spans="2:7">
      <c r="B44" t="str">
        <f>Trans_Demand!A328</f>
        <v>RESAPALMOldDMD</v>
      </c>
      <c r="C44" t="str">
        <f>"DEMAND - "&amp;_xlfn.XLOOKUP(B44,Demand!E:E,Demand!A:A)&amp;" "&amp;_xlfn.XLOOKUP(B44,Demand!E:E,Demand!B:B)&amp;" "&amp;_xlfn.XLOOKUP(B44,Demand!E:E,Demand!C:C)&amp;" "&amp;_xlfn.XLOOKUP(B44,Demand!E:E,Demand!D:D)</f>
        <v>DEMAND - Residential Apartment Lower-Middle Income Old</v>
      </c>
      <c r="D44" t="str">
        <f>_xlfn.XLOOKUP(B44,Trans_Demand!A:A,Trans_Demand!B:B)</f>
        <v>Mm2</v>
      </c>
      <c r="E44" t="s">
        <v>214</v>
      </c>
      <c r="F44">
        <f>Trans_Demand!C328</f>
        <v>2025</v>
      </c>
      <c r="G44" s="11">
        <f>SUMIFS(Trans_Demand!D:D,Trans_Demand!A:A,B44,Trans_Demand!C:C,F44)</f>
        <v>57.121976335841403</v>
      </c>
    </row>
    <row r="45" spans="2:7">
      <c r="B45" t="str">
        <f>Trans_Demand!A329</f>
        <v>RESAPALMOldDMD</v>
      </c>
      <c r="C45" t="str">
        <f>"DEMAND - "&amp;_xlfn.XLOOKUP(B45,Demand!E:E,Demand!A:A)&amp;" "&amp;_xlfn.XLOOKUP(B45,Demand!E:E,Demand!B:B)&amp;" "&amp;_xlfn.XLOOKUP(B45,Demand!E:E,Demand!C:C)&amp;" "&amp;_xlfn.XLOOKUP(B45,Demand!E:E,Demand!D:D)</f>
        <v>DEMAND - Residential Apartment Lower-Middle Income Old</v>
      </c>
      <c r="D45" t="str">
        <f>_xlfn.XLOOKUP(B45,Trans_Demand!A:A,Trans_Demand!B:B)</f>
        <v>Mm2</v>
      </c>
      <c r="E45" t="s">
        <v>214</v>
      </c>
      <c r="F45">
        <f>Trans_Demand!C329</f>
        <v>2030</v>
      </c>
      <c r="G45" s="11">
        <f>SUMIFS(Trans_Demand!D:D,Trans_Demand!A:A,B45,Trans_Demand!C:C,F45)</f>
        <v>57.121976335841403</v>
      </c>
    </row>
    <row r="46" spans="2:7">
      <c r="B46" t="str">
        <f>Trans_Demand!A330</f>
        <v>RESAPALMOldDMD</v>
      </c>
      <c r="C46" t="str">
        <f>"DEMAND - "&amp;_xlfn.XLOOKUP(B46,Demand!E:E,Demand!A:A)&amp;" "&amp;_xlfn.XLOOKUP(B46,Demand!E:E,Demand!B:B)&amp;" "&amp;_xlfn.XLOOKUP(B46,Demand!E:E,Demand!C:C)&amp;" "&amp;_xlfn.XLOOKUP(B46,Demand!E:E,Demand!D:D)</f>
        <v>DEMAND - Residential Apartment Lower-Middle Income Old</v>
      </c>
      <c r="D46" t="str">
        <f>_xlfn.XLOOKUP(B46,Trans_Demand!A:A,Trans_Demand!B:B)</f>
        <v>Mm2</v>
      </c>
      <c r="E46" t="s">
        <v>214</v>
      </c>
      <c r="F46">
        <f>Trans_Demand!C330</f>
        <v>2035</v>
      </c>
      <c r="G46" s="11">
        <f>SUMIFS(Trans_Demand!D:D,Trans_Demand!A:A,B46,Trans_Demand!C:C,F46)</f>
        <v>57.121976335841403</v>
      </c>
    </row>
    <row r="47" spans="2:7">
      <c r="B47" t="str">
        <f>Trans_Demand!A331</f>
        <v>RESAPALMOldDMD</v>
      </c>
      <c r="C47" t="str">
        <f>"DEMAND - "&amp;_xlfn.XLOOKUP(B47,Demand!E:E,Demand!A:A)&amp;" "&amp;_xlfn.XLOOKUP(B47,Demand!E:E,Demand!B:B)&amp;" "&amp;_xlfn.XLOOKUP(B47,Demand!E:E,Demand!C:C)&amp;" "&amp;_xlfn.XLOOKUP(B47,Demand!E:E,Demand!D:D)</f>
        <v>DEMAND - Residential Apartment Lower-Middle Income Old</v>
      </c>
      <c r="D47" t="str">
        <f>_xlfn.XLOOKUP(B47,Trans_Demand!A:A,Trans_Demand!B:B)</f>
        <v>Mm2</v>
      </c>
      <c r="E47" t="s">
        <v>214</v>
      </c>
      <c r="F47">
        <f>Trans_Demand!C331</f>
        <v>2040</v>
      </c>
      <c r="G47" s="11">
        <f>SUMIFS(Trans_Demand!D:D,Trans_Demand!A:A,B47,Trans_Demand!C:C,F47)</f>
        <v>57.121976335841403</v>
      </c>
    </row>
    <row r="48" spans="2:7">
      <c r="B48" t="str">
        <f>Trans_Demand!A332</f>
        <v>RESAPALMOldDMD</v>
      </c>
      <c r="C48" t="str">
        <f>"DEMAND - "&amp;_xlfn.XLOOKUP(B48,Demand!E:E,Demand!A:A)&amp;" "&amp;_xlfn.XLOOKUP(B48,Demand!E:E,Demand!B:B)&amp;" "&amp;_xlfn.XLOOKUP(B48,Demand!E:E,Demand!C:C)&amp;" "&amp;_xlfn.XLOOKUP(B48,Demand!E:E,Demand!D:D)</f>
        <v>DEMAND - Residential Apartment Lower-Middle Income Old</v>
      </c>
      <c r="D48" t="str">
        <f>_xlfn.XLOOKUP(B48,Trans_Demand!A:A,Trans_Demand!B:B)</f>
        <v>Mm2</v>
      </c>
      <c r="E48" t="s">
        <v>214</v>
      </c>
      <c r="F48">
        <f>Trans_Demand!C332</f>
        <v>2045</v>
      </c>
      <c r="G48" s="11">
        <f>SUMIFS(Trans_Demand!D:D,Trans_Demand!A:A,B48,Trans_Demand!C:C,F48)</f>
        <v>57.121976335841403</v>
      </c>
    </row>
    <row r="49" spans="2:7">
      <c r="B49" t="str">
        <f>Trans_Demand!A333</f>
        <v>RESAPALMOldDMD</v>
      </c>
      <c r="C49" t="str">
        <f>"DEMAND - "&amp;_xlfn.XLOOKUP(B49,Demand!E:E,Demand!A:A)&amp;" "&amp;_xlfn.XLOOKUP(B49,Demand!E:E,Demand!B:B)&amp;" "&amp;_xlfn.XLOOKUP(B49,Demand!E:E,Demand!C:C)&amp;" "&amp;_xlfn.XLOOKUP(B49,Demand!E:E,Demand!D:D)</f>
        <v>DEMAND - Residential Apartment Lower-Middle Income Old</v>
      </c>
      <c r="D49" t="str">
        <f>_xlfn.XLOOKUP(B49,Trans_Demand!A:A,Trans_Demand!B:B)</f>
        <v>Mm2</v>
      </c>
      <c r="E49" t="s">
        <v>214</v>
      </c>
      <c r="F49">
        <f>Trans_Demand!C333</f>
        <v>2050</v>
      </c>
      <c r="G49" s="11">
        <f>SUMIFS(Trans_Demand!D:D,Trans_Demand!A:A,B49,Trans_Demand!C:C,F49)</f>
        <v>57.121976335841403</v>
      </c>
    </row>
    <row r="50" spans="2:7">
      <c r="B50" t="str">
        <f>Trans_Demand!A334</f>
        <v>RESAPALMOldDMD</v>
      </c>
      <c r="C50" t="str">
        <f>"DEMAND - "&amp;_xlfn.XLOOKUP(B50,Demand!E:E,Demand!A:A)&amp;" "&amp;_xlfn.XLOOKUP(B50,Demand!E:E,Demand!B:B)&amp;" "&amp;_xlfn.XLOOKUP(B50,Demand!E:E,Demand!C:C)&amp;" "&amp;_xlfn.XLOOKUP(B50,Demand!E:E,Demand!D:D)</f>
        <v>DEMAND - Residential Apartment Lower-Middle Income Old</v>
      </c>
      <c r="D50" t="str">
        <f>_xlfn.XLOOKUP(B50,Trans_Demand!A:A,Trans_Demand!B:B)</f>
        <v>Mm2</v>
      </c>
      <c r="E50" t="s">
        <v>214</v>
      </c>
      <c r="F50">
        <f>Trans_Demand!C334</f>
        <v>2055</v>
      </c>
      <c r="G50" s="11">
        <f>SUMIFS(Trans_Demand!D:D,Trans_Demand!A:A,B50,Trans_Demand!C:C,F50)</f>
        <v>57.121976335841403</v>
      </c>
    </row>
    <row r="51" spans="2:7">
      <c r="B51" t="str">
        <f>Trans_Demand!A335</f>
        <v>RESAPALMOldDMD</v>
      </c>
      <c r="C51" t="str">
        <f>"DEMAND - "&amp;_xlfn.XLOOKUP(B51,Demand!E:E,Demand!A:A)&amp;" "&amp;_xlfn.XLOOKUP(B51,Demand!E:E,Demand!B:B)&amp;" "&amp;_xlfn.XLOOKUP(B51,Demand!E:E,Demand!C:C)&amp;" "&amp;_xlfn.XLOOKUP(B51,Demand!E:E,Demand!D:D)</f>
        <v>DEMAND - Residential Apartment Lower-Middle Income Old</v>
      </c>
      <c r="D51" t="str">
        <f>_xlfn.XLOOKUP(B51,Trans_Demand!A:A,Trans_Demand!B:B)</f>
        <v>Mm2</v>
      </c>
      <c r="E51" t="s">
        <v>214</v>
      </c>
      <c r="F51">
        <f>Trans_Demand!C335</f>
        <v>2060</v>
      </c>
      <c r="G51" s="11">
        <f>SUMIFS(Trans_Demand!D:D,Trans_Demand!A:A,B51,Trans_Demand!C:C,F51)</f>
        <v>57.121976335841403</v>
      </c>
    </row>
    <row r="52" spans="2:7">
      <c r="B52" t="str">
        <f>Trans_Demand!A336</f>
        <v>RESAPALMOldDMD</v>
      </c>
      <c r="C52" t="str">
        <f>"DEMAND - "&amp;_xlfn.XLOOKUP(B52,Demand!E:E,Demand!A:A)&amp;" "&amp;_xlfn.XLOOKUP(B52,Demand!E:E,Demand!B:B)&amp;" "&amp;_xlfn.XLOOKUP(B52,Demand!E:E,Demand!C:C)&amp;" "&amp;_xlfn.XLOOKUP(B52,Demand!E:E,Demand!D:D)</f>
        <v>DEMAND - Residential Apartment Lower-Middle Income Old</v>
      </c>
      <c r="D52" t="str">
        <f>_xlfn.XLOOKUP(B52,Trans_Demand!A:A,Trans_Demand!B:B)</f>
        <v>Mm2</v>
      </c>
      <c r="E52" t="s">
        <v>214</v>
      </c>
      <c r="F52">
        <f>Trans_Demand!C336</f>
        <v>2065</v>
      </c>
      <c r="G52" s="11">
        <f>SUMIFS(Trans_Demand!D:D,Trans_Demand!A:A,B52,Trans_Demand!C:C,F52)</f>
        <v>57.121976335841403</v>
      </c>
    </row>
    <row r="53" spans="2:7">
      <c r="B53" t="str">
        <f>Trans_Demand!A337</f>
        <v>RESAPALMOldDMD</v>
      </c>
      <c r="C53" t="str">
        <f>"DEMAND - "&amp;_xlfn.XLOOKUP(B53,Demand!E:E,Demand!A:A)&amp;" "&amp;_xlfn.XLOOKUP(B53,Demand!E:E,Demand!B:B)&amp;" "&amp;_xlfn.XLOOKUP(B53,Demand!E:E,Demand!C:C)&amp;" "&amp;_xlfn.XLOOKUP(B53,Demand!E:E,Demand!D:D)</f>
        <v>DEMAND - Residential Apartment Lower-Middle Income Old</v>
      </c>
      <c r="D53" t="str">
        <f>_xlfn.XLOOKUP(B53,Trans_Demand!A:A,Trans_Demand!B:B)</f>
        <v>Mm2</v>
      </c>
      <c r="E53" t="s">
        <v>214</v>
      </c>
      <c r="F53">
        <f>Trans_Demand!C337</f>
        <v>2070</v>
      </c>
      <c r="G53" s="11">
        <f>SUMIFS(Trans_Demand!D:D,Trans_Demand!A:A,B53,Trans_Demand!C:C,F53)</f>
        <v>57.121976335841403</v>
      </c>
    </row>
    <row r="54" spans="2:7">
      <c r="B54" t="str">
        <f>Trans_Demand!A338</f>
        <v>RESAPALMOldDMD</v>
      </c>
      <c r="C54" t="str">
        <f>"DEMAND - "&amp;_xlfn.XLOOKUP(B54,Demand!E:E,Demand!A:A)&amp;" "&amp;_xlfn.XLOOKUP(B54,Demand!E:E,Demand!B:B)&amp;" "&amp;_xlfn.XLOOKUP(B54,Demand!E:E,Demand!C:C)&amp;" "&amp;_xlfn.XLOOKUP(B54,Demand!E:E,Demand!D:D)</f>
        <v>DEMAND - Residential Apartment Lower-Middle Income Old</v>
      </c>
      <c r="D54" t="str">
        <f>_xlfn.XLOOKUP(B54,Trans_Demand!A:A,Trans_Demand!B:B)</f>
        <v>Mm2</v>
      </c>
      <c r="E54" t="s">
        <v>214</v>
      </c>
      <c r="F54">
        <f>Trans_Demand!C338</f>
        <v>2075</v>
      </c>
      <c r="G54" s="11">
        <f>SUMIFS(Trans_Demand!D:D,Trans_Demand!A:A,B54,Trans_Demand!C:C,F54)</f>
        <v>57.121976335841403</v>
      </c>
    </row>
    <row r="55" spans="2:7">
      <c r="B55" t="str">
        <f>Trans_Demand!A339</f>
        <v>RESAPALMOldDMD</v>
      </c>
      <c r="C55" t="str">
        <f>"DEMAND - "&amp;_xlfn.XLOOKUP(B55,Demand!E:E,Demand!A:A)&amp;" "&amp;_xlfn.XLOOKUP(B55,Demand!E:E,Demand!B:B)&amp;" "&amp;_xlfn.XLOOKUP(B55,Demand!E:E,Demand!C:C)&amp;" "&amp;_xlfn.XLOOKUP(B55,Demand!E:E,Demand!D:D)</f>
        <v>DEMAND - Residential Apartment Lower-Middle Income Old</v>
      </c>
      <c r="D55" t="str">
        <f>_xlfn.XLOOKUP(B55,Trans_Demand!A:A,Trans_Demand!B:B)</f>
        <v>Mm2</v>
      </c>
      <c r="E55" t="s">
        <v>214</v>
      </c>
      <c r="F55">
        <f>Trans_Demand!C339</f>
        <v>2080</v>
      </c>
      <c r="G55" s="11">
        <f>SUMIFS(Trans_Demand!D:D,Trans_Demand!A:A,B55,Trans_Demand!C:C,F55)</f>
        <v>57.121976335841403</v>
      </c>
    </row>
    <row r="56" spans="2:7">
      <c r="B56" t="str">
        <f>Trans_Demand!A340</f>
        <v>RESAPALMOldDMD</v>
      </c>
      <c r="C56" t="str">
        <f>"DEMAND - "&amp;_xlfn.XLOOKUP(B56,Demand!E:E,Demand!A:A)&amp;" "&amp;_xlfn.XLOOKUP(B56,Demand!E:E,Demand!B:B)&amp;" "&amp;_xlfn.XLOOKUP(B56,Demand!E:E,Demand!C:C)&amp;" "&amp;_xlfn.XLOOKUP(B56,Demand!E:E,Demand!D:D)</f>
        <v>DEMAND - Residential Apartment Lower-Middle Income Old</v>
      </c>
      <c r="D56" t="str">
        <f>_xlfn.XLOOKUP(B56,Trans_Demand!A:A,Trans_Demand!B:B)</f>
        <v>Mm2</v>
      </c>
      <c r="E56" t="s">
        <v>214</v>
      </c>
      <c r="F56">
        <f>Trans_Demand!C340</f>
        <v>2085</v>
      </c>
      <c r="G56" s="11">
        <f>SUMIFS(Trans_Demand!D:D,Trans_Demand!A:A,B56,Trans_Demand!C:C,F56)</f>
        <v>57.121976335841403</v>
      </c>
    </row>
    <row r="57" spans="2:7">
      <c r="B57" t="str">
        <f>Trans_Demand!A341</f>
        <v>RESAPALMOldDMD</v>
      </c>
      <c r="C57" t="str">
        <f>"DEMAND - "&amp;_xlfn.XLOOKUP(B57,Demand!E:E,Demand!A:A)&amp;" "&amp;_xlfn.XLOOKUP(B57,Demand!E:E,Demand!B:B)&amp;" "&amp;_xlfn.XLOOKUP(B57,Demand!E:E,Demand!C:C)&amp;" "&amp;_xlfn.XLOOKUP(B57,Demand!E:E,Demand!D:D)</f>
        <v>DEMAND - Residential Apartment Lower-Middle Income Old</v>
      </c>
      <c r="D57" t="str">
        <f>_xlfn.XLOOKUP(B57,Trans_Demand!A:A,Trans_Demand!B:B)</f>
        <v>Mm2</v>
      </c>
      <c r="E57" t="s">
        <v>214</v>
      </c>
      <c r="F57">
        <f>Trans_Demand!C341</f>
        <v>2090</v>
      </c>
      <c r="G57" s="11">
        <f>SUMIFS(Trans_Demand!D:D,Trans_Demand!A:A,B57,Trans_Demand!C:C,F57)</f>
        <v>57.121976335841403</v>
      </c>
    </row>
    <row r="58" spans="2:7">
      <c r="B58" t="str">
        <f>Trans_Demand!A342</f>
        <v>RESAPALMOldDMD</v>
      </c>
      <c r="C58" t="str">
        <f>"DEMAND - "&amp;_xlfn.XLOOKUP(B58,Demand!E:E,Demand!A:A)&amp;" "&amp;_xlfn.XLOOKUP(B58,Demand!E:E,Demand!B:B)&amp;" "&amp;_xlfn.XLOOKUP(B58,Demand!E:E,Demand!C:C)&amp;" "&amp;_xlfn.XLOOKUP(B58,Demand!E:E,Demand!D:D)</f>
        <v>DEMAND - Residential Apartment Lower-Middle Income Old</v>
      </c>
      <c r="D58" t="str">
        <f>_xlfn.XLOOKUP(B58,Trans_Demand!A:A,Trans_Demand!B:B)</f>
        <v>Mm2</v>
      </c>
      <c r="E58" t="s">
        <v>214</v>
      </c>
      <c r="F58">
        <f>Trans_Demand!C342</f>
        <v>2095</v>
      </c>
      <c r="G58" s="11">
        <f>SUMIFS(Trans_Demand!D:D,Trans_Demand!A:A,B58,Trans_Demand!C:C,F58)</f>
        <v>57.121976335841403</v>
      </c>
    </row>
    <row r="59" spans="2:7">
      <c r="B59" t="str">
        <f>Trans_Demand!A343</f>
        <v>RESAPALMOldDMD</v>
      </c>
      <c r="C59" t="str">
        <f>"DEMAND - "&amp;_xlfn.XLOOKUP(B59,Demand!E:E,Demand!A:A)&amp;" "&amp;_xlfn.XLOOKUP(B59,Demand!E:E,Demand!B:B)&amp;" "&amp;_xlfn.XLOOKUP(B59,Demand!E:E,Demand!C:C)&amp;" "&amp;_xlfn.XLOOKUP(B59,Demand!E:E,Demand!D:D)</f>
        <v>DEMAND - Residential Apartment Lower-Middle Income Old</v>
      </c>
      <c r="D59" t="str">
        <f>_xlfn.XLOOKUP(B59,Trans_Demand!A:A,Trans_Demand!B:B)</f>
        <v>Mm2</v>
      </c>
      <c r="E59" t="s">
        <v>214</v>
      </c>
      <c r="F59">
        <f>Trans_Demand!C343</f>
        <v>2100</v>
      </c>
      <c r="G59" s="11">
        <f>SUMIFS(Trans_Demand!D:D,Trans_Demand!A:A,B59,Trans_Demand!C:C,F59)</f>
        <v>57.121976335841403</v>
      </c>
    </row>
    <row r="60" spans="2:7">
      <c r="B60" t="str">
        <f>Trans_Demand!A344</f>
        <v>RESHOULMOldDMD</v>
      </c>
      <c r="C60" t="str">
        <f>"DEMAND - "&amp;_xlfn.XLOOKUP(B60,Demand!E:E,Demand!A:A)&amp;" "&amp;_xlfn.XLOOKUP(B60,Demand!E:E,Demand!B:B)&amp;" "&amp;_xlfn.XLOOKUP(B60,Demand!E:E,Demand!C:C)&amp;" "&amp;_xlfn.XLOOKUP(B60,Demand!E:E,Demand!D:D)</f>
        <v>DEMAND - Residential House Lower-Middle Income Old</v>
      </c>
      <c r="D60" t="str">
        <f>_xlfn.XLOOKUP(B60,Trans_Demand!A:A,Trans_Demand!B:B)</f>
        <v>Mm2</v>
      </c>
      <c r="E60" t="s">
        <v>214</v>
      </c>
      <c r="F60">
        <f>Trans_Demand!C344</f>
        <v>2019</v>
      </c>
      <c r="G60" s="11">
        <f>SUMIFS(Trans_Demand!D:D,Trans_Demand!A:A,B60,Trans_Demand!C:C,F60)</f>
        <v>38.299258577539533</v>
      </c>
    </row>
    <row r="61" spans="2:7">
      <c r="B61" t="str">
        <f>Trans_Demand!A345</f>
        <v>RESHOULMOldDMD</v>
      </c>
      <c r="C61" t="str">
        <f>"DEMAND - "&amp;_xlfn.XLOOKUP(B61,Demand!E:E,Demand!A:A)&amp;" "&amp;_xlfn.XLOOKUP(B61,Demand!E:E,Demand!B:B)&amp;" "&amp;_xlfn.XLOOKUP(B61,Demand!E:E,Demand!C:C)&amp;" "&amp;_xlfn.XLOOKUP(B61,Demand!E:E,Demand!D:D)</f>
        <v>DEMAND - Residential House Lower-Middle Income Old</v>
      </c>
      <c r="D61" t="str">
        <f>_xlfn.XLOOKUP(B61,Trans_Demand!A:A,Trans_Demand!B:B)</f>
        <v>Mm2</v>
      </c>
      <c r="E61" t="s">
        <v>214</v>
      </c>
      <c r="F61">
        <f>Trans_Demand!C345</f>
        <v>2020</v>
      </c>
      <c r="G61" s="11">
        <f>SUMIFS(Trans_Demand!D:D,Trans_Demand!A:A,B61,Trans_Demand!C:C,F61)</f>
        <v>38.299258577539533</v>
      </c>
    </row>
    <row r="62" spans="2:7">
      <c r="B62" t="str">
        <f>Trans_Demand!A346</f>
        <v>RESHOULMOldDMD</v>
      </c>
      <c r="C62" t="str">
        <f>"DEMAND - "&amp;_xlfn.XLOOKUP(B62,Demand!E:E,Demand!A:A)&amp;" "&amp;_xlfn.XLOOKUP(B62,Demand!E:E,Demand!B:B)&amp;" "&amp;_xlfn.XLOOKUP(B62,Demand!E:E,Demand!C:C)&amp;" "&amp;_xlfn.XLOOKUP(B62,Demand!E:E,Demand!D:D)</f>
        <v>DEMAND - Residential House Lower-Middle Income Old</v>
      </c>
      <c r="D62" t="str">
        <f>_xlfn.XLOOKUP(B62,Trans_Demand!A:A,Trans_Demand!B:B)</f>
        <v>Mm2</v>
      </c>
      <c r="E62" t="s">
        <v>214</v>
      </c>
      <c r="F62">
        <f>Trans_Demand!C346</f>
        <v>2025</v>
      </c>
      <c r="G62" s="11">
        <f>SUMIFS(Trans_Demand!D:D,Trans_Demand!A:A,B62,Trans_Demand!C:C,F62)</f>
        <v>38.299258577539533</v>
      </c>
    </row>
    <row r="63" spans="2:7">
      <c r="B63" t="str">
        <f>Trans_Demand!A347</f>
        <v>RESHOULMOldDMD</v>
      </c>
      <c r="C63" t="str">
        <f>"DEMAND - "&amp;_xlfn.XLOOKUP(B63,Demand!E:E,Demand!A:A)&amp;" "&amp;_xlfn.XLOOKUP(B63,Demand!E:E,Demand!B:B)&amp;" "&amp;_xlfn.XLOOKUP(B63,Demand!E:E,Demand!C:C)&amp;" "&amp;_xlfn.XLOOKUP(B63,Demand!E:E,Demand!D:D)</f>
        <v>DEMAND - Residential House Lower-Middle Income Old</v>
      </c>
      <c r="D63" t="str">
        <f>_xlfn.XLOOKUP(B63,Trans_Demand!A:A,Trans_Demand!B:B)</f>
        <v>Mm2</v>
      </c>
      <c r="E63" t="s">
        <v>214</v>
      </c>
      <c r="F63">
        <f>Trans_Demand!C347</f>
        <v>2030</v>
      </c>
      <c r="G63" s="11">
        <f>SUMIFS(Trans_Demand!D:D,Trans_Demand!A:A,B63,Trans_Demand!C:C,F63)</f>
        <v>38.299258577539533</v>
      </c>
    </row>
    <row r="64" spans="2:7">
      <c r="B64" t="str">
        <f>Trans_Demand!A348</f>
        <v>RESHOULMOldDMD</v>
      </c>
      <c r="C64" t="str">
        <f>"DEMAND - "&amp;_xlfn.XLOOKUP(B64,Demand!E:E,Demand!A:A)&amp;" "&amp;_xlfn.XLOOKUP(B64,Demand!E:E,Demand!B:B)&amp;" "&amp;_xlfn.XLOOKUP(B64,Demand!E:E,Demand!C:C)&amp;" "&amp;_xlfn.XLOOKUP(B64,Demand!E:E,Demand!D:D)</f>
        <v>DEMAND - Residential House Lower-Middle Income Old</v>
      </c>
      <c r="D64" t="str">
        <f>_xlfn.XLOOKUP(B64,Trans_Demand!A:A,Trans_Demand!B:B)</f>
        <v>Mm2</v>
      </c>
      <c r="E64" t="s">
        <v>214</v>
      </c>
      <c r="F64">
        <f>Trans_Demand!C348</f>
        <v>2035</v>
      </c>
      <c r="G64" s="11">
        <f>SUMIFS(Trans_Demand!D:D,Trans_Demand!A:A,B64,Trans_Demand!C:C,F64)</f>
        <v>38.299258577539533</v>
      </c>
    </row>
    <row r="65" spans="2:7">
      <c r="B65" t="str">
        <f>Trans_Demand!A349</f>
        <v>RESHOULMOldDMD</v>
      </c>
      <c r="C65" t="str">
        <f>"DEMAND - "&amp;_xlfn.XLOOKUP(B65,Demand!E:E,Demand!A:A)&amp;" "&amp;_xlfn.XLOOKUP(B65,Demand!E:E,Demand!B:B)&amp;" "&amp;_xlfn.XLOOKUP(B65,Demand!E:E,Demand!C:C)&amp;" "&amp;_xlfn.XLOOKUP(B65,Demand!E:E,Demand!D:D)</f>
        <v>DEMAND - Residential House Lower-Middle Income Old</v>
      </c>
      <c r="D65" t="str">
        <f>_xlfn.XLOOKUP(B65,Trans_Demand!A:A,Trans_Demand!B:B)</f>
        <v>Mm2</v>
      </c>
      <c r="E65" t="s">
        <v>214</v>
      </c>
      <c r="F65">
        <f>Trans_Demand!C349</f>
        <v>2040</v>
      </c>
      <c r="G65" s="11">
        <f>SUMIFS(Trans_Demand!D:D,Trans_Demand!A:A,B65,Trans_Demand!C:C,F65)</f>
        <v>38.299258577539533</v>
      </c>
    </row>
    <row r="66" spans="2:7">
      <c r="B66" t="str">
        <f>Trans_Demand!A350</f>
        <v>RESHOULMOldDMD</v>
      </c>
      <c r="C66" t="str">
        <f>"DEMAND - "&amp;_xlfn.XLOOKUP(B66,Demand!E:E,Demand!A:A)&amp;" "&amp;_xlfn.XLOOKUP(B66,Demand!E:E,Demand!B:B)&amp;" "&amp;_xlfn.XLOOKUP(B66,Demand!E:E,Demand!C:C)&amp;" "&amp;_xlfn.XLOOKUP(B66,Demand!E:E,Demand!D:D)</f>
        <v>DEMAND - Residential House Lower-Middle Income Old</v>
      </c>
      <c r="D66" t="str">
        <f>_xlfn.XLOOKUP(B66,Trans_Demand!A:A,Trans_Demand!B:B)</f>
        <v>Mm2</v>
      </c>
      <c r="E66" t="s">
        <v>214</v>
      </c>
      <c r="F66">
        <f>Trans_Demand!C350</f>
        <v>2045</v>
      </c>
      <c r="G66" s="11">
        <f>SUMIFS(Trans_Demand!D:D,Trans_Demand!A:A,B66,Trans_Demand!C:C,F66)</f>
        <v>38.299258577539533</v>
      </c>
    </row>
    <row r="67" spans="2:7">
      <c r="B67" t="str">
        <f>Trans_Demand!A351</f>
        <v>RESHOULMOldDMD</v>
      </c>
      <c r="C67" t="str">
        <f>"DEMAND - "&amp;_xlfn.XLOOKUP(B67,Demand!E:E,Demand!A:A)&amp;" "&amp;_xlfn.XLOOKUP(B67,Demand!E:E,Demand!B:B)&amp;" "&amp;_xlfn.XLOOKUP(B67,Demand!E:E,Demand!C:C)&amp;" "&amp;_xlfn.XLOOKUP(B67,Demand!E:E,Demand!D:D)</f>
        <v>DEMAND - Residential House Lower-Middle Income Old</v>
      </c>
      <c r="D67" t="str">
        <f>_xlfn.XLOOKUP(B67,Trans_Demand!A:A,Trans_Demand!B:B)</f>
        <v>Mm2</v>
      </c>
      <c r="E67" t="s">
        <v>214</v>
      </c>
      <c r="F67">
        <f>Trans_Demand!C351</f>
        <v>2050</v>
      </c>
      <c r="G67" s="11">
        <f>SUMIFS(Trans_Demand!D:D,Trans_Demand!A:A,B67,Trans_Demand!C:C,F67)</f>
        <v>38.299258577539533</v>
      </c>
    </row>
    <row r="68" spans="2:7">
      <c r="B68" t="str">
        <f>Trans_Demand!A352</f>
        <v>RESHOULMOldDMD</v>
      </c>
      <c r="C68" t="str">
        <f>"DEMAND - "&amp;_xlfn.XLOOKUP(B68,Demand!E:E,Demand!A:A)&amp;" "&amp;_xlfn.XLOOKUP(B68,Demand!E:E,Demand!B:B)&amp;" "&amp;_xlfn.XLOOKUP(B68,Demand!E:E,Demand!C:C)&amp;" "&amp;_xlfn.XLOOKUP(B68,Demand!E:E,Demand!D:D)</f>
        <v>DEMAND - Residential House Lower-Middle Income Old</v>
      </c>
      <c r="D68" t="str">
        <f>_xlfn.XLOOKUP(B68,Trans_Demand!A:A,Trans_Demand!B:B)</f>
        <v>Mm2</v>
      </c>
      <c r="E68" t="s">
        <v>214</v>
      </c>
      <c r="F68">
        <f>Trans_Demand!C352</f>
        <v>2055</v>
      </c>
      <c r="G68" s="11">
        <f>SUMIFS(Trans_Demand!D:D,Trans_Demand!A:A,B68,Trans_Demand!C:C,F68)</f>
        <v>38.299258577539533</v>
      </c>
    </row>
    <row r="69" spans="2:7">
      <c r="B69" t="str">
        <f>Trans_Demand!A353</f>
        <v>RESHOULMOldDMD</v>
      </c>
      <c r="C69" t="str">
        <f>"DEMAND - "&amp;_xlfn.XLOOKUP(B69,Demand!E:E,Demand!A:A)&amp;" "&amp;_xlfn.XLOOKUP(B69,Demand!E:E,Demand!B:B)&amp;" "&amp;_xlfn.XLOOKUP(B69,Demand!E:E,Demand!C:C)&amp;" "&amp;_xlfn.XLOOKUP(B69,Demand!E:E,Demand!D:D)</f>
        <v>DEMAND - Residential House Lower-Middle Income Old</v>
      </c>
      <c r="D69" t="str">
        <f>_xlfn.XLOOKUP(B69,Trans_Demand!A:A,Trans_Demand!B:B)</f>
        <v>Mm2</v>
      </c>
      <c r="E69" t="s">
        <v>214</v>
      </c>
      <c r="F69">
        <f>Trans_Demand!C353</f>
        <v>2060</v>
      </c>
      <c r="G69" s="11">
        <f>SUMIFS(Trans_Demand!D:D,Trans_Demand!A:A,B69,Trans_Demand!C:C,F69)</f>
        <v>38.299258577539533</v>
      </c>
    </row>
    <row r="70" spans="2:7">
      <c r="B70" t="str">
        <f>Trans_Demand!A354</f>
        <v>RESHOULMOldDMD</v>
      </c>
      <c r="C70" t="str">
        <f>"DEMAND - "&amp;_xlfn.XLOOKUP(B70,Demand!E:E,Demand!A:A)&amp;" "&amp;_xlfn.XLOOKUP(B70,Demand!E:E,Demand!B:B)&amp;" "&amp;_xlfn.XLOOKUP(B70,Demand!E:E,Demand!C:C)&amp;" "&amp;_xlfn.XLOOKUP(B70,Demand!E:E,Demand!D:D)</f>
        <v>DEMAND - Residential House Lower-Middle Income Old</v>
      </c>
      <c r="D70" t="str">
        <f>_xlfn.XLOOKUP(B70,Trans_Demand!A:A,Trans_Demand!B:B)</f>
        <v>Mm2</v>
      </c>
      <c r="E70" t="s">
        <v>214</v>
      </c>
      <c r="F70">
        <f>Trans_Demand!C354</f>
        <v>2065</v>
      </c>
      <c r="G70" s="11">
        <f>SUMIFS(Trans_Demand!D:D,Trans_Demand!A:A,B70,Trans_Demand!C:C,F70)</f>
        <v>38.299258577539533</v>
      </c>
    </row>
    <row r="71" spans="2:7">
      <c r="B71" t="str">
        <f>Trans_Demand!A355</f>
        <v>RESHOULMOldDMD</v>
      </c>
      <c r="C71" t="str">
        <f>"DEMAND - "&amp;_xlfn.XLOOKUP(B71,Demand!E:E,Demand!A:A)&amp;" "&amp;_xlfn.XLOOKUP(B71,Demand!E:E,Demand!B:B)&amp;" "&amp;_xlfn.XLOOKUP(B71,Demand!E:E,Demand!C:C)&amp;" "&amp;_xlfn.XLOOKUP(B71,Demand!E:E,Demand!D:D)</f>
        <v>DEMAND - Residential House Lower-Middle Income Old</v>
      </c>
      <c r="D71" t="str">
        <f>_xlfn.XLOOKUP(B71,Trans_Demand!A:A,Trans_Demand!B:B)</f>
        <v>Mm2</v>
      </c>
      <c r="E71" t="s">
        <v>214</v>
      </c>
      <c r="F71">
        <f>Trans_Demand!C355</f>
        <v>2070</v>
      </c>
      <c r="G71" s="11">
        <f>SUMIFS(Trans_Demand!D:D,Trans_Demand!A:A,B71,Trans_Demand!C:C,F71)</f>
        <v>38.299258577539533</v>
      </c>
    </row>
    <row r="72" spans="2:7">
      <c r="B72" t="str">
        <f>Trans_Demand!A356</f>
        <v>RESHOULMOldDMD</v>
      </c>
      <c r="C72" t="str">
        <f>"DEMAND - "&amp;_xlfn.XLOOKUP(B72,Demand!E:E,Demand!A:A)&amp;" "&amp;_xlfn.XLOOKUP(B72,Demand!E:E,Demand!B:B)&amp;" "&amp;_xlfn.XLOOKUP(B72,Demand!E:E,Demand!C:C)&amp;" "&amp;_xlfn.XLOOKUP(B72,Demand!E:E,Demand!D:D)</f>
        <v>DEMAND - Residential House Lower-Middle Income Old</v>
      </c>
      <c r="D72" t="str">
        <f>_xlfn.XLOOKUP(B72,Trans_Demand!A:A,Trans_Demand!B:B)</f>
        <v>Mm2</v>
      </c>
      <c r="E72" t="s">
        <v>214</v>
      </c>
      <c r="F72">
        <f>Trans_Demand!C356</f>
        <v>2075</v>
      </c>
      <c r="G72" s="11">
        <f>SUMIFS(Trans_Demand!D:D,Trans_Demand!A:A,B72,Trans_Demand!C:C,F72)</f>
        <v>38.299258577539533</v>
      </c>
    </row>
    <row r="73" spans="2:7">
      <c r="B73" t="str">
        <f>Trans_Demand!A357</f>
        <v>RESHOULMOldDMD</v>
      </c>
      <c r="C73" t="str">
        <f>"DEMAND - "&amp;_xlfn.XLOOKUP(B73,Demand!E:E,Demand!A:A)&amp;" "&amp;_xlfn.XLOOKUP(B73,Demand!E:E,Demand!B:B)&amp;" "&amp;_xlfn.XLOOKUP(B73,Demand!E:E,Demand!C:C)&amp;" "&amp;_xlfn.XLOOKUP(B73,Demand!E:E,Demand!D:D)</f>
        <v>DEMAND - Residential House Lower-Middle Income Old</v>
      </c>
      <c r="D73" t="str">
        <f>_xlfn.XLOOKUP(B73,Trans_Demand!A:A,Trans_Demand!B:B)</f>
        <v>Mm2</v>
      </c>
      <c r="E73" t="s">
        <v>214</v>
      </c>
      <c r="F73">
        <f>Trans_Demand!C357</f>
        <v>2080</v>
      </c>
      <c r="G73" s="11">
        <f>SUMIFS(Trans_Demand!D:D,Trans_Demand!A:A,B73,Trans_Demand!C:C,F73)</f>
        <v>38.299258577539533</v>
      </c>
    </row>
    <row r="74" spans="2:7">
      <c r="B74" t="str">
        <f>Trans_Demand!A358</f>
        <v>RESHOULMOldDMD</v>
      </c>
      <c r="C74" t="str">
        <f>"DEMAND - "&amp;_xlfn.XLOOKUP(B74,Demand!E:E,Demand!A:A)&amp;" "&amp;_xlfn.XLOOKUP(B74,Demand!E:E,Demand!B:B)&amp;" "&amp;_xlfn.XLOOKUP(B74,Demand!E:E,Demand!C:C)&amp;" "&amp;_xlfn.XLOOKUP(B74,Demand!E:E,Demand!D:D)</f>
        <v>DEMAND - Residential House Lower-Middle Income Old</v>
      </c>
      <c r="D74" t="str">
        <f>_xlfn.XLOOKUP(B74,Trans_Demand!A:A,Trans_Demand!B:B)</f>
        <v>Mm2</v>
      </c>
      <c r="E74" t="s">
        <v>214</v>
      </c>
      <c r="F74">
        <f>Trans_Demand!C358</f>
        <v>2085</v>
      </c>
      <c r="G74" s="11">
        <f>SUMIFS(Trans_Demand!D:D,Trans_Demand!A:A,B74,Trans_Demand!C:C,F74)</f>
        <v>38.299258577539533</v>
      </c>
    </row>
    <row r="75" spans="2:7">
      <c r="B75" t="str">
        <f>Trans_Demand!A359</f>
        <v>RESHOULMOldDMD</v>
      </c>
      <c r="C75" t="str">
        <f>"DEMAND - "&amp;_xlfn.XLOOKUP(B75,Demand!E:E,Demand!A:A)&amp;" "&amp;_xlfn.XLOOKUP(B75,Demand!E:E,Demand!B:B)&amp;" "&amp;_xlfn.XLOOKUP(B75,Demand!E:E,Demand!C:C)&amp;" "&amp;_xlfn.XLOOKUP(B75,Demand!E:E,Demand!D:D)</f>
        <v>DEMAND - Residential House Lower-Middle Income Old</v>
      </c>
      <c r="D75" t="str">
        <f>_xlfn.XLOOKUP(B75,Trans_Demand!A:A,Trans_Demand!B:B)</f>
        <v>Mm2</v>
      </c>
      <c r="E75" t="s">
        <v>214</v>
      </c>
      <c r="F75">
        <f>Trans_Demand!C359</f>
        <v>2090</v>
      </c>
      <c r="G75" s="11">
        <f>SUMIFS(Trans_Demand!D:D,Trans_Demand!A:A,B75,Trans_Demand!C:C,F75)</f>
        <v>38.299258577539533</v>
      </c>
    </row>
    <row r="76" spans="2:7">
      <c r="B76" t="str">
        <f>Trans_Demand!A360</f>
        <v>RESHOULMOldDMD</v>
      </c>
      <c r="C76" t="str">
        <f>"DEMAND - "&amp;_xlfn.XLOOKUP(B76,Demand!E:E,Demand!A:A)&amp;" "&amp;_xlfn.XLOOKUP(B76,Demand!E:E,Demand!B:B)&amp;" "&amp;_xlfn.XLOOKUP(B76,Demand!E:E,Demand!C:C)&amp;" "&amp;_xlfn.XLOOKUP(B76,Demand!E:E,Demand!D:D)</f>
        <v>DEMAND - Residential House Lower-Middle Income Old</v>
      </c>
      <c r="D76" t="str">
        <f>_xlfn.XLOOKUP(B76,Trans_Demand!A:A,Trans_Demand!B:B)</f>
        <v>Mm2</v>
      </c>
      <c r="E76" t="s">
        <v>214</v>
      </c>
      <c r="F76">
        <f>Trans_Demand!C360</f>
        <v>2095</v>
      </c>
      <c r="G76" s="11">
        <f>SUMIFS(Trans_Demand!D:D,Trans_Demand!A:A,B76,Trans_Demand!C:C,F76)</f>
        <v>38.299258577539533</v>
      </c>
    </row>
    <row r="77" spans="2:7">
      <c r="B77" t="str">
        <f>Trans_Demand!A361</f>
        <v>RESHOULMOldDMD</v>
      </c>
      <c r="C77" t="str">
        <f>"DEMAND - "&amp;_xlfn.XLOOKUP(B77,Demand!E:E,Demand!A:A)&amp;" "&amp;_xlfn.XLOOKUP(B77,Demand!E:E,Demand!B:B)&amp;" "&amp;_xlfn.XLOOKUP(B77,Demand!E:E,Demand!C:C)&amp;" "&amp;_xlfn.XLOOKUP(B77,Demand!E:E,Demand!D:D)</f>
        <v>DEMAND - Residential House Lower-Middle Income Old</v>
      </c>
      <c r="D77" t="str">
        <f>_xlfn.XLOOKUP(B77,Trans_Demand!A:A,Trans_Demand!B:B)</f>
        <v>Mm2</v>
      </c>
      <c r="E77" t="s">
        <v>214</v>
      </c>
      <c r="F77">
        <f>Trans_Demand!C361</f>
        <v>2100</v>
      </c>
      <c r="G77" s="11">
        <f>SUMIFS(Trans_Demand!D:D,Trans_Demand!A:A,B77,Trans_Demand!C:C,F77)</f>
        <v>38.299258577539533</v>
      </c>
    </row>
    <row r="78" spans="2:7">
      <c r="B78" t="str">
        <f>Trans_Demand!A362</f>
        <v>RESAPAUMOldDMD</v>
      </c>
      <c r="C78" t="str">
        <f>"DEMAND - "&amp;_xlfn.XLOOKUP(B78,Demand!E:E,Demand!A:A)&amp;" "&amp;_xlfn.XLOOKUP(B78,Demand!E:E,Demand!B:B)&amp;" "&amp;_xlfn.XLOOKUP(B78,Demand!E:E,Demand!C:C)&amp;" "&amp;_xlfn.XLOOKUP(B78,Demand!E:E,Demand!D:D)</f>
        <v>DEMAND - Residential Apartment Upper-Middle Income Old</v>
      </c>
      <c r="D78" t="str">
        <f>_xlfn.XLOOKUP(B78,Trans_Demand!A:A,Trans_Demand!B:B)</f>
        <v>Mm2</v>
      </c>
      <c r="E78" t="s">
        <v>214</v>
      </c>
      <c r="F78">
        <f>Trans_Demand!C362</f>
        <v>2019</v>
      </c>
      <c r="G78" s="11">
        <f>SUMIFS(Trans_Demand!D:D,Trans_Demand!A:A,B78,Trans_Demand!C:C,F78)</f>
        <v>15.495887810194001</v>
      </c>
    </row>
    <row r="79" spans="2:7">
      <c r="B79" t="str">
        <f>Trans_Demand!A363</f>
        <v>RESAPAUMOldDMD</v>
      </c>
      <c r="C79" t="str">
        <f>"DEMAND - "&amp;_xlfn.XLOOKUP(B79,Demand!E:E,Demand!A:A)&amp;" "&amp;_xlfn.XLOOKUP(B79,Demand!E:E,Demand!B:B)&amp;" "&amp;_xlfn.XLOOKUP(B79,Demand!E:E,Demand!C:C)&amp;" "&amp;_xlfn.XLOOKUP(B79,Demand!E:E,Demand!D:D)</f>
        <v>DEMAND - Residential Apartment Upper-Middle Income Old</v>
      </c>
      <c r="D79" t="str">
        <f>_xlfn.XLOOKUP(B79,Trans_Demand!A:A,Trans_Demand!B:B)</f>
        <v>Mm2</v>
      </c>
      <c r="E79" t="s">
        <v>214</v>
      </c>
      <c r="F79">
        <f>Trans_Demand!C363</f>
        <v>2020</v>
      </c>
      <c r="G79" s="11">
        <f>SUMIFS(Trans_Demand!D:D,Trans_Demand!A:A,B79,Trans_Demand!C:C,F79)</f>
        <v>15.495887810194001</v>
      </c>
    </row>
    <row r="80" spans="2:7">
      <c r="B80" t="str">
        <f>Trans_Demand!A364</f>
        <v>RESAPAUMOldDMD</v>
      </c>
      <c r="C80" t="str">
        <f>"DEMAND - "&amp;_xlfn.XLOOKUP(B80,Demand!E:E,Demand!A:A)&amp;" "&amp;_xlfn.XLOOKUP(B80,Demand!E:E,Demand!B:B)&amp;" "&amp;_xlfn.XLOOKUP(B80,Demand!E:E,Demand!C:C)&amp;" "&amp;_xlfn.XLOOKUP(B80,Demand!E:E,Demand!D:D)</f>
        <v>DEMAND - Residential Apartment Upper-Middle Income Old</v>
      </c>
      <c r="D80" t="str">
        <f>_xlfn.XLOOKUP(B80,Trans_Demand!A:A,Trans_Demand!B:B)</f>
        <v>Mm2</v>
      </c>
      <c r="E80" t="s">
        <v>214</v>
      </c>
      <c r="F80">
        <f>Trans_Demand!C364</f>
        <v>2025</v>
      </c>
      <c r="G80" s="11">
        <f>SUMIFS(Trans_Demand!D:D,Trans_Demand!A:A,B80,Trans_Demand!C:C,F80)</f>
        <v>15.495887810194001</v>
      </c>
    </row>
    <row r="81" spans="2:7">
      <c r="B81" t="str">
        <f>Trans_Demand!A365</f>
        <v>RESAPAUMOldDMD</v>
      </c>
      <c r="C81" t="str">
        <f>"DEMAND - "&amp;_xlfn.XLOOKUP(B81,Demand!E:E,Demand!A:A)&amp;" "&amp;_xlfn.XLOOKUP(B81,Demand!E:E,Demand!B:B)&amp;" "&amp;_xlfn.XLOOKUP(B81,Demand!E:E,Demand!C:C)&amp;" "&amp;_xlfn.XLOOKUP(B81,Demand!E:E,Demand!D:D)</f>
        <v>DEMAND - Residential Apartment Upper-Middle Income Old</v>
      </c>
      <c r="D81" t="str">
        <f>_xlfn.XLOOKUP(B81,Trans_Demand!A:A,Trans_Demand!B:B)</f>
        <v>Mm2</v>
      </c>
      <c r="E81" t="s">
        <v>214</v>
      </c>
      <c r="F81">
        <f>Trans_Demand!C365</f>
        <v>2030</v>
      </c>
      <c r="G81" s="11">
        <f>SUMIFS(Trans_Demand!D:D,Trans_Demand!A:A,B81,Trans_Demand!C:C,F81)</f>
        <v>15.495887810194001</v>
      </c>
    </row>
    <row r="82" spans="2:7">
      <c r="B82" t="str">
        <f>Trans_Demand!A366</f>
        <v>RESAPAUMOldDMD</v>
      </c>
      <c r="C82" t="str">
        <f>"DEMAND - "&amp;_xlfn.XLOOKUP(B82,Demand!E:E,Demand!A:A)&amp;" "&amp;_xlfn.XLOOKUP(B82,Demand!E:E,Demand!B:B)&amp;" "&amp;_xlfn.XLOOKUP(B82,Demand!E:E,Demand!C:C)&amp;" "&amp;_xlfn.XLOOKUP(B82,Demand!E:E,Demand!D:D)</f>
        <v>DEMAND - Residential Apartment Upper-Middle Income Old</v>
      </c>
      <c r="D82" t="str">
        <f>_xlfn.XLOOKUP(B82,Trans_Demand!A:A,Trans_Demand!B:B)</f>
        <v>Mm2</v>
      </c>
      <c r="E82" t="s">
        <v>214</v>
      </c>
      <c r="F82">
        <f>Trans_Demand!C366</f>
        <v>2035</v>
      </c>
      <c r="G82" s="11">
        <f>SUMIFS(Trans_Demand!D:D,Trans_Demand!A:A,B82,Trans_Demand!C:C,F82)</f>
        <v>15.495887810194001</v>
      </c>
    </row>
    <row r="83" spans="2:7">
      <c r="B83" t="str">
        <f>Trans_Demand!A367</f>
        <v>RESAPAUMOldDMD</v>
      </c>
      <c r="C83" t="str">
        <f>"DEMAND - "&amp;_xlfn.XLOOKUP(B83,Demand!E:E,Demand!A:A)&amp;" "&amp;_xlfn.XLOOKUP(B83,Demand!E:E,Demand!B:B)&amp;" "&amp;_xlfn.XLOOKUP(B83,Demand!E:E,Demand!C:C)&amp;" "&amp;_xlfn.XLOOKUP(B83,Demand!E:E,Demand!D:D)</f>
        <v>DEMAND - Residential Apartment Upper-Middle Income Old</v>
      </c>
      <c r="D83" t="str">
        <f>_xlfn.XLOOKUP(B83,Trans_Demand!A:A,Trans_Demand!B:B)</f>
        <v>Mm2</v>
      </c>
      <c r="E83" t="s">
        <v>214</v>
      </c>
      <c r="F83">
        <f>Trans_Demand!C367</f>
        <v>2040</v>
      </c>
      <c r="G83" s="11">
        <f>SUMIFS(Trans_Demand!D:D,Trans_Demand!A:A,B83,Trans_Demand!C:C,F83)</f>
        <v>15.495887810194001</v>
      </c>
    </row>
    <row r="84" spans="2:7">
      <c r="B84" t="str">
        <f>Trans_Demand!A368</f>
        <v>RESAPAUMOldDMD</v>
      </c>
      <c r="C84" t="str">
        <f>"DEMAND - "&amp;_xlfn.XLOOKUP(B84,Demand!E:E,Demand!A:A)&amp;" "&amp;_xlfn.XLOOKUP(B84,Demand!E:E,Demand!B:B)&amp;" "&amp;_xlfn.XLOOKUP(B84,Demand!E:E,Demand!C:C)&amp;" "&amp;_xlfn.XLOOKUP(B84,Demand!E:E,Demand!D:D)</f>
        <v>DEMAND - Residential Apartment Upper-Middle Income Old</v>
      </c>
      <c r="D84" t="str">
        <f>_xlfn.XLOOKUP(B84,Trans_Demand!A:A,Trans_Demand!B:B)</f>
        <v>Mm2</v>
      </c>
      <c r="E84" t="s">
        <v>214</v>
      </c>
      <c r="F84">
        <f>Trans_Demand!C368</f>
        <v>2045</v>
      </c>
      <c r="G84" s="11">
        <f>SUMIFS(Trans_Demand!D:D,Trans_Demand!A:A,B84,Trans_Demand!C:C,F84)</f>
        <v>15.495887810194001</v>
      </c>
    </row>
    <row r="85" spans="2:7">
      <c r="B85" t="str">
        <f>Trans_Demand!A369</f>
        <v>RESAPAUMOldDMD</v>
      </c>
      <c r="C85" t="str">
        <f>"DEMAND - "&amp;_xlfn.XLOOKUP(B85,Demand!E:E,Demand!A:A)&amp;" "&amp;_xlfn.XLOOKUP(B85,Demand!E:E,Demand!B:B)&amp;" "&amp;_xlfn.XLOOKUP(B85,Demand!E:E,Demand!C:C)&amp;" "&amp;_xlfn.XLOOKUP(B85,Demand!E:E,Demand!D:D)</f>
        <v>DEMAND - Residential Apartment Upper-Middle Income Old</v>
      </c>
      <c r="D85" t="str">
        <f>_xlfn.XLOOKUP(B85,Trans_Demand!A:A,Trans_Demand!B:B)</f>
        <v>Mm2</v>
      </c>
      <c r="E85" t="s">
        <v>214</v>
      </c>
      <c r="F85">
        <f>Trans_Demand!C369</f>
        <v>2050</v>
      </c>
      <c r="G85" s="11">
        <f>SUMIFS(Trans_Demand!D:D,Trans_Demand!A:A,B85,Trans_Demand!C:C,F85)</f>
        <v>15.495887810194001</v>
      </c>
    </row>
    <row r="86" spans="2:7">
      <c r="B86" t="str">
        <f>Trans_Demand!A370</f>
        <v>RESAPAUMOldDMD</v>
      </c>
      <c r="C86" t="str">
        <f>"DEMAND - "&amp;_xlfn.XLOOKUP(B86,Demand!E:E,Demand!A:A)&amp;" "&amp;_xlfn.XLOOKUP(B86,Demand!E:E,Demand!B:B)&amp;" "&amp;_xlfn.XLOOKUP(B86,Demand!E:E,Demand!C:C)&amp;" "&amp;_xlfn.XLOOKUP(B86,Demand!E:E,Demand!D:D)</f>
        <v>DEMAND - Residential Apartment Upper-Middle Income Old</v>
      </c>
      <c r="D86" t="str">
        <f>_xlfn.XLOOKUP(B86,Trans_Demand!A:A,Trans_Demand!B:B)</f>
        <v>Mm2</v>
      </c>
      <c r="E86" t="s">
        <v>214</v>
      </c>
      <c r="F86">
        <f>Trans_Demand!C370</f>
        <v>2055</v>
      </c>
      <c r="G86" s="11">
        <f>SUMIFS(Trans_Demand!D:D,Trans_Demand!A:A,B86,Trans_Demand!C:C,F86)</f>
        <v>15.495887810194001</v>
      </c>
    </row>
    <row r="87" spans="2:7">
      <c r="B87" t="str">
        <f>Trans_Demand!A371</f>
        <v>RESAPAUMOldDMD</v>
      </c>
      <c r="C87" t="str">
        <f>"DEMAND - "&amp;_xlfn.XLOOKUP(B87,Demand!E:E,Demand!A:A)&amp;" "&amp;_xlfn.XLOOKUP(B87,Demand!E:E,Demand!B:B)&amp;" "&amp;_xlfn.XLOOKUP(B87,Demand!E:E,Demand!C:C)&amp;" "&amp;_xlfn.XLOOKUP(B87,Demand!E:E,Demand!D:D)</f>
        <v>DEMAND - Residential Apartment Upper-Middle Income Old</v>
      </c>
      <c r="D87" t="str">
        <f>_xlfn.XLOOKUP(B87,Trans_Demand!A:A,Trans_Demand!B:B)</f>
        <v>Mm2</v>
      </c>
      <c r="E87" t="s">
        <v>214</v>
      </c>
      <c r="F87">
        <f>Trans_Demand!C371</f>
        <v>2060</v>
      </c>
      <c r="G87" s="11">
        <f>SUMIFS(Trans_Demand!D:D,Trans_Demand!A:A,B87,Trans_Demand!C:C,F87)</f>
        <v>15.495887810194001</v>
      </c>
    </row>
    <row r="88" spans="2:7">
      <c r="B88" t="str">
        <f>Trans_Demand!A372</f>
        <v>RESAPAUMOldDMD</v>
      </c>
      <c r="C88" t="str">
        <f>"DEMAND - "&amp;_xlfn.XLOOKUP(B88,Demand!E:E,Demand!A:A)&amp;" "&amp;_xlfn.XLOOKUP(B88,Demand!E:E,Demand!B:B)&amp;" "&amp;_xlfn.XLOOKUP(B88,Demand!E:E,Demand!C:C)&amp;" "&amp;_xlfn.XLOOKUP(B88,Demand!E:E,Demand!D:D)</f>
        <v>DEMAND - Residential Apartment Upper-Middle Income Old</v>
      </c>
      <c r="D88" t="str">
        <f>_xlfn.XLOOKUP(B88,Trans_Demand!A:A,Trans_Demand!B:B)</f>
        <v>Mm2</v>
      </c>
      <c r="E88" t="s">
        <v>214</v>
      </c>
      <c r="F88">
        <f>Trans_Demand!C372</f>
        <v>2065</v>
      </c>
      <c r="G88" s="11">
        <f>SUMIFS(Trans_Demand!D:D,Trans_Demand!A:A,B88,Trans_Demand!C:C,F88)</f>
        <v>15.495887810194001</v>
      </c>
    </row>
    <row r="89" spans="2:7">
      <c r="B89" t="str">
        <f>Trans_Demand!A373</f>
        <v>RESAPAUMOldDMD</v>
      </c>
      <c r="C89" t="str">
        <f>"DEMAND - "&amp;_xlfn.XLOOKUP(B89,Demand!E:E,Demand!A:A)&amp;" "&amp;_xlfn.XLOOKUP(B89,Demand!E:E,Demand!B:B)&amp;" "&amp;_xlfn.XLOOKUP(B89,Demand!E:E,Demand!C:C)&amp;" "&amp;_xlfn.XLOOKUP(B89,Demand!E:E,Demand!D:D)</f>
        <v>DEMAND - Residential Apartment Upper-Middle Income Old</v>
      </c>
      <c r="D89" t="str">
        <f>_xlfn.XLOOKUP(B89,Trans_Demand!A:A,Trans_Demand!B:B)</f>
        <v>Mm2</v>
      </c>
      <c r="E89" t="s">
        <v>214</v>
      </c>
      <c r="F89">
        <f>Trans_Demand!C373</f>
        <v>2070</v>
      </c>
      <c r="G89" s="11">
        <f>SUMIFS(Trans_Demand!D:D,Trans_Demand!A:A,B89,Trans_Demand!C:C,F89)</f>
        <v>15.495887810194001</v>
      </c>
    </row>
    <row r="90" spans="2:7">
      <c r="B90" t="str">
        <f>Trans_Demand!A374</f>
        <v>RESAPAUMOldDMD</v>
      </c>
      <c r="C90" t="str">
        <f>"DEMAND - "&amp;_xlfn.XLOOKUP(B90,Demand!E:E,Demand!A:A)&amp;" "&amp;_xlfn.XLOOKUP(B90,Demand!E:E,Demand!B:B)&amp;" "&amp;_xlfn.XLOOKUP(B90,Demand!E:E,Demand!C:C)&amp;" "&amp;_xlfn.XLOOKUP(B90,Demand!E:E,Demand!D:D)</f>
        <v>DEMAND - Residential Apartment Upper-Middle Income Old</v>
      </c>
      <c r="D90" t="str">
        <f>_xlfn.XLOOKUP(B90,Trans_Demand!A:A,Trans_Demand!B:B)</f>
        <v>Mm2</v>
      </c>
      <c r="E90" t="s">
        <v>214</v>
      </c>
      <c r="F90">
        <f>Trans_Demand!C374</f>
        <v>2075</v>
      </c>
      <c r="G90" s="11">
        <f>SUMIFS(Trans_Demand!D:D,Trans_Demand!A:A,B90,Trans_Demand!C:C,F90)</f>
        <v>15.495887810194001</v>
      </c>
    </row>
    <row r="91" spans="2:7">
      <c r="B91" t="str">
        <f>Trans_Demand!A375</f>
        <v>RESAPAUMOldDMD</v>
      </c>
      <c r="C91" t="str">
        <f>"DEMAND - "&amp;_xlfn.XLOOKUP(B91,Demand!E:E,Demand!A:A)&amp;" "&amp;_xlfn.XLOOKUP(B91,Demand!E:E,Demand!B:B)&amp;" "&amp;_xlfn.XLOOKUP(B91,Demand!E:E,Demand!C:C)&amp;" "&amp;_xlfn.XLOOKUP(B91,Demand!E:E,Demand!D:D)</f>
        <v>DEMAND - Residential Apartment Upper-Middle Income Old</v>
      </c>
      <c r="D91" t="str">
        <f>_xlfn.XLOOKUP(B91,Trans_Demand!A:A,Trans_Demand!B:B)</f>
        <v>Mm2</v>
      </c>
      <c r="E91" t="s">
        <v>214</v>
      </c>
      <c r="F91">
        <f>Trans_Demand!C375</f>
        <v>2080</v>
      </c>
      <c r="G91" s="11">
        <f>SUMIFS(Trans_Demand!D:D,Trans_Demand!A:A,B91,Trans_Demand!C:C,F91)</f>
        <v>15.495887810194001</v>
      </c>
    </row>
    <row r="92" spans="2:7">
      <c r="B92" t="str">
        <f>Trans_Demand!A376</f>
        <v>RESAPAUMOldDMD</v>
      </c>
      <c r="C92" t="str">
        <f>"DEMAND - "&amp;_xlfn.XLOOKUP(B92,Demand!E:E,Demand!A:A)&amp;" "&amp;_xlfn.XLOOKUP(B92,Demand!E:E,Demand!B:B)&amp;" "&amp;_xlfn.XLOOKUP(B92,Demand!E:E,Demand!C:C)&amp;" "&amp;_xlfn.XLOOKUP(B92,Demand!E:E,Demand!D:D)</f>
        <v>DEMAND - Residential Apartment Upper-Middle Income Old</v>
      </c>
      <c r="D92" t="str">
        <f>_xlfn.XLOOKUP(B92,Trans_Demand!A:A,Trans_Demand!B:B)</f>
        <v>Mm2</v>
      </c>
      <c r="E92" t="s">
        <v>214</v>
      </c>
      <c r="F92">
        <f>Trans_Demand!C376</f>
        <v>2085</v>
      </c>
      <c r="G92" s="11">
        <f>SUMIFS(Trans_Demand!D:D,Trans_Demand!A:A,B92,Trans_Demand!C:C,F92)</f>
        <v>15.495887810194001</v>
      </c>
    </row>
    <row r="93" spans="2:7">
      <c r="B93" t="str">
        <f>Trans_Demand!A377</f>
        <v>RESAPAUMOldDMD</v>
      </c>
      <c r="C93" t="str">
        <f>"DEMAND - "&amp;_xlfn.XLOOKUP(B93,Demand!E:E,Demand!A:A)&amp;" "&amp;_xlfn.XLOOKUP(B93,Demand!E:E,Demand!B:B)&amp;" "&amp;_xlfn.XLOOKUP(B93,Demand!E:E,Demand!C:C)&amp;" "&amp;_xlfn.XLOOKUP(B93,Demand!E:E,Demand!D:D)</f>
        <v>DEMAND - Residential Apartment Upper-Middle Income Old</v>
      </c>
      <c r="D93" t="str">
        <f>_xlfn.XLOOKUP(B93,Trans_Demand!A:A,Trans_Demand!B:B)</f>
        <v>Mm2</v>
      </c>
      <c r="E93" t="s">
        <v>214</v>
      </c>
      <c r="F93">
        <f>Trans_Demand!C377</f>
        <v>2090</v>
      </c>
      <c r="G93" s="11">
        <f>SUMIFS(Trans_Demand!D:D,Trans_Demand!A:A,B93,Trans_Demand!C:C,F93)</f>
        <v>15.495887810194001</v>
      </c>
    </row>
    <row r="94" spans="2:7">
      <c r="B94" t="str">
        <f>Trans_Demand!A378</f>
        <v>RESAPAUMOldDMD</v>
      </c>
      <c r="C94" t="str">
        <f>"DEMAND - "&amp;_xlfn.XLOOKUP(B94,Demand!E:E,Demand!A:A)&amp;" "&amp;_xlfn.XLOOKUP(B94,Demand!E:E,Demand!B:B)&amp;" "&amp;_xlfn.XLOOKUP(B94,Demand!E:E,Demand!C:C)&amp;" "&amp;_xlfn.XLOOKUP(B94,Demand!E:E,Demand!D:D)</f>
        <v>DEMAND - Residential Apartment Upper-Middle Income Old</v>
      </c>
      <c r="D94" t="str">
        <f>_xlfn.XLOOKUP(B94,Trans_Demand!A:A,Trans_Demand!B:B)</f>
        <v>Mm2</v>
      </c>
      <c r="E94" t="s">
        <v>214</v>
      </c>
      <c r="F94">
        <f>Trans_Demand!C378</f>
        <v>2095</v>
      </c>
      <c r="G94" s="11">
        <f>SUMIFS(Trans_Demand!D:D,Trans_Demand!A:A,B94,Trans_Demand!C:C,F94)</f>
        <v>15.495887810194001</v>
      </c>
    </row>
    <row r="95" spans="2:7">
      <c r="B95" t="str">
        <f>Trans_Demand!A379</f>
        <v>RESAPAUMOldDMD</v>
      </c>
      <c r="C95" t="str">
        <f>"DEMAND - "&amp;_xlfn.XLOOKUP(B95,Demand!E:E,Demand!A:A)&amp;" "&amp;_xlfn.XLOOKUP(B95,Demand!E:E,Demand!B:B)&amp;" "&amp;_xlfn.XLOOKUP(B95,Demand!E:E,Demand!C:C)&amp;" "&amp;_xlfn.XLOOKUP(B95,Demand!E:E,Demand!D:D)</f>
        <v>DEMAND - Residential Apartment Upper-Middle Income Old</v>
      </c>
      <c r="D95" t="str">
        <f>_xlfn.XLOOKUP(B95,Trans_Demand!A:A,Trans_Demand!B:B)</f>
        <v>Mm2</v>
      </c>
      <c r="E95" t="s">
        <v>214</v>
      </c>
      <c r="F95">
        <f>Trans_Demand!C379</f>
        <v>2100</v>
      </c>
      <c r="G95" s="11">
        <f>SUMIFS(Trans_Demand!D:D,Trans_Demand!A:A,B95,Trans_Demand!C:C,F95)</f>
        <v>15.495887810194001</v>
      </c>
    </row>
    <row r="96" spans="2:7">
      <c r="B96" t="str">
        <f>Trans_Demand!A380</f>
        <v>RESHOUUMOldDMD</v>
      </c>
      <c r="C96" t="str">
        <f>"DEMAND - "&amp;_xlfn.XLOOKUP(B96,Demand!E:E,Demand!A:A)&amp;" "&amp;_xlfn.XLOOKUP(B96,Demand!E:E,Demand!B:B)&amp;" "&amp;_xlfn.XLOOKUP(B96,Demand!E:E,Demand!C:C)&amp;" "&amp;_xlfn.XLOOKUP(B96,Demand!E:E,Demand!D:D)</f>
        <v>DEMAND - Residential House Upper-Middle Income Old</v>
      </c>
      <c r="D96" t="str">
        <f>_xlfn.XLOOKUP(B96,Trans_Demand!A:A,Trans_Demand!B:B)</f>
        <v>Mm2</v>
      </c>
      <c r="E96" t="s">
        <v>214</v>
      </c>
      <c r="F96">
        <f>Trans_Demand!C380</f>
        <v>2019</v>
      </c>
      <c r="G96" s="11">
        <f>SUMIFS(Trans_Demand!D:D,Trans_Demand!A:A,B96,Trans_Demand!C:C,F96)</f>
        <v>19.187214429670199</v>
      </c>
    </row>
    <row r="97" spans="2:7">
      <c r="B97" t="str">
        <f>Trans_Demand!A381</f>
        <v>RESHOUUMOldDMD</v>
      </c>
      <c r="C97" t="str">
        <f>"DEMAND - "&amp;_xlfn.XLOOKUP(B97,Demand!E:E,Demand!A:A)&amp;" "&amp;_xlfn.XLOOKUP(B97,Demand!E:E,Demand!B:B)&amp;" "&amp;_xlfn.XLOOKUP(B97,Demand!E:E,Demand!C:C)&amp;" "&amp;_xlfn.XLOOKUP(B97,Demand!E:E,Demand!D:D)</f>
        <v>DEMAND - Residential House Upper-Middle Income Old</v>
      </c>
      <c r="D97" t="str">
        <f>_xlfn.XLOOKUP(B97,Trans_Demand!A:A,Trans_Demand!B:B)</f>
        <v>Mm2</v>
      </c>
      <c r="E97" t="s">
        <v>214</v>
      </c>
      <c r="F97">
        <f>Trans_Demand!C381</f>
        <v>2020</v>
      </c>
      <c r="G97" s="11">
        <f>SUMIFS(Trans_Demand!D:D,Trans_Demand!A:A,B97,Trans_Demand!C:C,F97)</f>
        <v>19.187214429670199</v>
      </c>
    </row>
    <row r="98" spans="2:7">
      <c r="B98" t="str">
        <f>Trans_Demand!A382</f>
        <v>RESHOUUMOldDMD</v>
      </c>
      <c r="C98" t="str">
        <f>"DEMAND - "&amp;_xlfn.XLOOKUP(B98,Demand!E:E,Demand!A:A)&amp;" "&amp;_xlfn.XLOOKUP(B98,Demand!E:E,Demand!B:B)&amp;" "&amp;_xlfn.XLOOKUP(B98,Demand!E:E,Demand!C:C)&amp;" "&amp;_xlfn.XLOOKUP(B98,Demand!E:E,Demand!D:D)</f>
        <v>DEMAND - Residential House Upper-Middle Income Old</v>
      </c>
      <c r="D98" t="str">
        <f>_xlfn.XLOOKUP(B98,Trans_Demand!A:A,Trans_Demand!B:B)</f>
        <v>Mm2</v>
      </c>
      <c r="E98" t="s">
        <v>214</v>
      </c>
      <c r="F98">
        <f>Trans_Demand!C382</f>
        <v>2025</v>
      </c>
      <c r="G98" s="11">
        <f>SUMIFS(Trans_Demand!D:D,Trans_Demand!A:A,B98,Trans_Demand!C:C,F98)</f>
        <v>19.187214429670199</v>
      </c>
    </row>
    <row r="99" spans="2:7">
      <c r="B99" t="str">
        <f>Trans_Demand!A383</f>
        <v>RESHOUUMOldDMD</v>
      </c>
      <c r="C99" t="str">
        <f>"DEMAND - "&amp;_xlfn.XLOOKUP(B99,Demand!E:E,Demand!A:A)&amp;" "&amp;_xlfn.XLOOKUP(B99,Demand!E:E,Demand!B:B)&amp;" "&amp;_xlfn.XLOOKUP(B99,Demand!E:E,Demand!C:C)&amp;" "&amp;_xlfn.XLOOKUP(B99,Demand!E:E,Demand!D:D)</f>
        <v>DEMAND - Residential House Upper-Middle Income Old</v>
      </c>
      <c r="D99" t="str">
        <f>_xlfn.XLOOKUP(B99,Trans_Demand!A:A,Trans_Demand!B:B)</f>
        <v>Mm2</v>
      </c>
      <c r="E99" t="s">
        <v>214</v>
      </c>
      <c r="F99">
        <f>Trans_Demand!C383</f>
        <v>2030</v>
      </c>
      <c r="G99" s="11">
        <f>SUMIFS(Trans_Demand!D:D,Trans_Demand!A:A,B99,Trans_Demand!C:C,F99)</f>
        <v>19.187214429670199</v>
      </c>
    </row>
    <row r="100" spans="2:7">
      <c r="B100" t="str">
        <f>Trans_Demand!A384</f>
        <v>RESHOUUMOldDMD</v>
      </c>
      <c r="C100" t="str">
        <f>"DEMAND - "&amp;_xlfn.XLOOKUP(B100,Demand!E:E,Demand!A:A)&amp;" "&amp;_xlfn.XLOOKUP(B100,Demand!E:E,Demand!B:B)&amp;" "&amp;_xlfn.XLOOKUP(B100,Demand!E:E,Demand!C:C)&amp;" "&amp;_xlfn.XLOOKUP(B100,Demand!E:E,Demand!D:D)</f>
        <v>DEMAND - Residential House Upper-Middle Income Old</v>
      </c>
      <c r="D100" t="str">
        <f>_xlfn.XLOOKUP(B100,Trans_Demand!A:A,Trans_Demand!B:B)</f>
        <v>Mm2</v>
      </c>
      <c r="E100" t="s">
        <v>214</v>
      </c>
      <c r="F100">
        <f>Trans_Demand!C384</f>
        <v>2035</v>
      </c>
      <c r="G100" s="11">
        <f>SUMIFS(Trans_Demand!D:D,Trans_Demand!A:A,B100,Trans_Demand!C:C,F100)</f>
        <v>19.187214429670199</v>
      </c>
    </row>
    <row r="101" spans="2:7">
      <c r="B101" t="str">
        <f>Trans_Demand!A385</f>
        <v>RESHOUUMOldDMD</v>
      </c>
      <c r="C101" t="str">
        <f>"DEMAND - "&amp;_xlfn.XLOOKUP(B101,Demand!E:E,Demand!A:A)&amp;" "&amp;_xlfn.XLOOKUP(B101,Demand!E:E,Demand!B:B)&amp;" "&amp;_xlfn.XLOOKUP(B101,Demand!E:E,Demand!C:C)&amp;" "&amp;_xlfn.XLOOKUP(B101,Demand!E:E,Demand!D:D)</f>
        <v>DEMAND - Residential House Upper-Middle Income Old</v>
      </c>
      <c r="D101" t="str">
        <f>_xlfn.XLOOKUP(B101,Trans_Demand!A:A,Trans_Demand!B:B)</f>
        <v>Mm2</v>
      </c>
      <c r="E101" t="s">
        <v>214</v>
      </c>
      <c r="F101">
        <f>Trans_Demand!C385</f>
        <v>2040</v>
      </c>
      <c r="G101" s="11">
        <f>SUMIFS(Trans_Demand!D:D,Trans_Demand!A:A,B101,Trans_Demand!C:C,F101)</f>
        <v>19.187214429670199</v>
      </c>
    </row>
    <row r="102" spans="2:7">
      <c r="B102" t="str">
        <f>Trans_Demand!A386</f>
        <v>RESHOUUMOldDMD</v>
      </c>
      <c r="C102" t="str">
        <f>"DEMAND - "&amp;_xlfn.XLOOKUP(B102,Demand!E:E,Demand!A:A)&amp;" "&amp;_xlfn.XLOOKUP(B102,Demand!E:E,Demand!B:B)&amp;" "&amp;_xlfn.XLOOKUP(B102,Demand!E:E,Demand!C:C)&amp;" "&amp;_xlfn.XLOOKUP(B102,Demand!E:E,Demand!D:D)</f>
        <v>DEMAND - Residential House Upper-Middle Income Old</v>
      </c>
      <c r="D102" t="str">
        <f>_xlfn.XLOOKUP(B102,Trans_Demand!A:A,Trans_Demand!B:B)</f>
        <v>Mm2</v>
      </c>
      <c r="E102" t="s">
        <v>214</v>
      </c>
      <c r="F102">
        <f>Trans_Demand!C386</f>
        <v>2045</v>
      </c>
      <c r="G102" s="11">
        <f>SUMIFS(Trans_Demand!D:D,Trans_Demand!A:A,B102,Trans_Demand!C:C,F102)</f>
        <v>19.187214429670199</v>
      </c>
    </row>
    <row r="103" spans="2:7">
      <c r="B103" t="str">
        <f>Trans_Demand!A387</f>
        <v>RESHOUUMOldDMD</v>
      </c>
      <c r="C103" t="str">
        <f>"DEMAND - "&amp;_xlfn.XLOOKUP(B103,Demand!E:E,Demand!A:A)&amp;" "&amp;_xlfn.XLOOKUP(B103,Demand!E:E,Demand!B:B)&amp;" "&amp;_xlfn.XLOOKUP(B103,Demand!E:E,Demand!C:C)&amp;" "&amp;_xlfn.XLOOKUP(B103,Demand!E:E,Demand!D:D)</f>
        <v>DEMAND - Residential House Upper-Middle Income Old</v>
      </c>
      <c r="D103" t="str">
        <f>_xlfn.XLOOKUP(B103,Trans_Demand!A:A,Trans_Demand!B:B)</f>
        <v>Mm2</v>
      </c>
      <c r="E103" t="s">
        <v>214</v>
      </c>
      <c r="F103">
        <f>Trans_Demand!C387</f>
        <v>2050</v>
      </c>
      <c r="G103" s="11">
        <f>SUMIFS(Trans_Demand!D:D,Trans_Demand!A:A,B103,Trans_Demand!C:C,F103)</f>
        <v>19.187214429670199</v>
      </c>
    </row>
    <row r="104" spans="2:7">
      <c r="B104" t="str">
        <f>Trans_Demand!A388</f>
        <v>RESHOUUMOldDMD</v>
      </c>
      <c r="C104" t="str">
        <f>"DEMAND - "&amp;_xlfn.XLOOKUP(B104,Demand!E:E,Demand!A:A)&amp;" "&amp;_xlfn.XLOOKUP(B104,Demand!E:E,Demand!B:B)&amp;" "&amp;_xlfn.XLOOKUP(B104,Demand!E:E,Demand!C:C)&amp;" "&amp;_xlfn.XLOOKUP(B104,Demand!E:E,Demand!D:D)</f>
        <v>DEMAND - Residential House Upper-Middle Income Old</v>
      </c>
      <c r="D104" t="str">
        <f>_xlfn.XLOOKUP(B104,Trans_Demand!A:A,Trans_Demand!B:B)</f>
        <v>Mm2</v>
      </c>
      <c r="E104" t="s">
        <v>214</v>
      </c>
      <c r="F104">
        <f>Trans_Demand!C388</f>
        <v>2055</v>
      </c>
      <c r="G104" s="11">
        <f>SUMIFS(Trans_Demand!D:D,Trans_Demand!A:A,B104,Trans_Demand!C:C,F104)</f>
        <v>19.187214429670199</v>
      </c>
    </row>
    <row r="105" spans="2:7">
      <c r="B105" t="str">
        <f>Trans_Demand!A389</f>
        <v>RESHOUUMOldDMD</v>
      </c>
      <c r="C105" t="str">
        <f>"DEMAND - "&amp;_xlfn.XLOOKUP(B105,Demand!E:E,Demand!A:A)&amp;" "&amp;_xlfn.XLOOKUP(B105,Demand!E:E,Demand!B:B)&amp;" "&amp;_xlfn.XLOOKUP(B105,Demand!E:E,Demand!C:C)&amp;" "&amp;_xlfn.XLOOKUP(B105,Demand!E:E,Demand!D:D)</f>
        <v>DEMAND - Residential House Upper-Middle Income Old</v>
      </c>
      <c r="D105" t="str">
        <f>_xlfn.XLOOKUP(B105,Trans_Demand!A:A,Trans_Demand!B:B)</f>
        <v>Mm2</v>
      </c>
      <c r="E105" t="s">
        <v>214</v>
      </c>
      <c r="F105">
        <f>Trans_Demand!C389</f>
        <v>2060</v>
      </c>
      <c r="G105" s="11">
        <f>SUMIFS(Trans_Demand!D:D,Trans_Demand!A:A,B105,Trans_Demand!C:C,F105)</f>
        <v>19.187214429670199</v>
      </c>
    </row>
    <row r="106" spans="2:7">
      <c r="B106" t="str">
        <f>Trans_Demand!A390</f>
        <v>RESHOUUMOldDMD</v>
      </c>
      <c r="C106" t="str">
        <f>"DEMAND - "&amp;_xlfn.XLOOKUP(B106,Demand!E:E,Demand!A:A)&amp;" "&amp;_xlfn.XLOOKUP(B106,Demand!E:E,Demand!B:B)&amp;" "&amp;_xlfn.XLOOKUP(B106,Demand!E:E,Demand!C:C)&amp;" "&amp;_xlfn.XLOOKUP(B106,Demand!E:E,Demand!D:D)</f>
        <v>DEMAND - Residential House Upper-Middle Income Old</v>
      </c>
      <c r="D106" t="str">
        <f>_xlfn.XLOOKUP(B106,Trans_Demand!A:A,Trans_Demand!B:B)</f>
        <v>Mm2</v>
      </c>
      <c r="E106" t="s">
        <v>214</v>
      </c>
      <c r="F106">
        <f>Trans_Demand!C390</f>
        <v>2065</v>
      </c>
      <c r="G106" s="11">
        <f>SUMIFS(Trans_Demand!D:D,Trans_Demand!A:A,B106,Trans_Demand!C:C,F106)</f>
        <v>19.187214429670199</v>
      </c>
    </row>
    <row r="107" spans="2:7">
      <c r="B107" t="str">
        <f>Trans_Demand!A391</f>
        <v>RESHOUUMOldDMD</v>
      </c>
      <c r="C107" t="str">
        <f>"DEMAND - "&amp;_xlfn.XLOOKUP(B107,Demand!E:E,Demand!A:A)&amp;" "&amp;_xlfn.XLOOKUP(B107,Demand!E:E,Demand!B:B)&amp;" "&amp;_xlfn.XLOOKUP(B107,Demand!E:E,Demand!C:C)&amp;" "&amp;_xlfn.XLOOKUP(B107,Demand!E:E,Demand!D:D)</f>
        <v>DEMAND - Residential House Upper-Middle Income Old</v>
      </c>
      <c r="D107" t="str">
        <f>_xlfn.XLOOKUP(B107,Trans_Demand!A:A,Trans_Demand!B:B)</f>
        <v>Mm2</v>
      </c>
      <c r="E107" t="s">
        <v>214</v>
      </c>
      <c r="F107">
        <f>Trans_Demand!C391</f>
        <v>2070</v>
      </c>
      <c r="G107" s="11">
        <f>SUMIFS(Trans_Demand!D:D,Trans_Demand!A:A,B107,Trans_Demand!C:C,F107)</f>
        <v>19.187214429670199</v>
      </c>
    </row>
    <row r="108" spans="2:7">
      <c r="B108" t="str">
        <f>Trans_Demand!A392</f>
        <v>RESHOUUMOldDMD</v>
      </c>
      <c r="C108" t="str">
        <f>"DEMAND - "&amp;_xlfn.XLOOKUP(B108,Demand!E:E,Demand!A:A)&amp;" "&amp;_xlfn.XLOOKUP(B108,Demand!E:E,Demand!B:B)&amp;" "&amp;_xlfn.XLOOKUP(B108,Demand!E:E,Demand!C:C)&amp;" "&amp;_xlfn.XLOOKUP(B108,Demand!E:E,Demand!D:D)</f>
        <v>DEMAND - Residential House Upper-Middle Income Old</v>
      </c>
      <c r="D108" t="str">
        <f>_xlfn.XLOOKUP(B108,Trans_Demand!A:A,Trans_Demand!B:B)</f>
        <v>Mm2</v>
      </c>
      <c r="E108" t="s">
        <v>214</v>
      </c>
      <c r="F108">
        <f>Trans_Demand!C392</f>
        <v>2075</v>
      </c>
      <c r="G108" s="11">
        <f>SUMIFS(Trans_Demand!D:D,Trans_Demand!A:A,B108,Trans_Demand!C:C,F108)</f>
        <v>19.187214429670199</v>
      </c>
    </row>
    <row r="109" spans="2:7">
      <c r="B109" t="str">
        <f>Trans_Demand!A393</f>
        <v>RESHOUUMOldDMD</v>
      </c>
      <c r="C109" t="str">
        <f>"DEMAND - "&amp;_xlfn.XLOOKUP(B109,Demand!E:E,Demand!A:A)&amp;" "&amp;_xlfn.XLOOKUP(B109,Demand!E:E,Demand!B:B)&amp;" "&amp;_xlfn.XLOOKUP(B109,Demand!E:E,Demand!C:C)&amp;" "&amp;_xlfn.XLOOKUP(B109,Demand!E:E,Demand!D:D)</f>
        <v>DEMAND - Residential House Upper-Middle Income Old</v>
      </c>
      <c r="D109" t="str">
        <f>_xlfn.XLOOKUP(B109,Trans_Demand!A:A,Trans_Demand!B:B)</f>
        <v>Mm2</v>
      </c>
      <c r="E109" t="s">
        <v>214</v>
      </c>
      <c r="F109">
        <f>Trans_Demand!C393</f>
        <v>2080</v>
      </c>
      <c r="G109" s="11">
        <f>SUMIFS(Trans_Demand!D:D,Trans_Demand!A:A,B109,Trans_Demand!C:C,F109)</f>
        <v>19.187214429670199</v>
      </c>
    </row>
    <row r="110" spans="2:7">
      <c r="B110" t="str">
        <f>Trans_Demand!A394</f>
        <v>RESHOUUMOldDMD</v>
      </c>
      <c r="C110" t="str">
        <f>"DEMAND - "&amp;_xlfn.XLOOKUP(B110,Demand!E:E,Demand!A:A)&amp;" "&amp;_xlfn.XLOOKUP(B110,Demand!E:E,Demand!B:B)&amp;" "&amp;_xlfn.XLOOKUP(B110,Demand!E:E,Demand!C:C)&amp;" "&amp;_xlfn.XLOOKUP(B110,Demand!E:E,Demand!D:D)</f>
        <v>DEMAND - Residential House Upper-Middle Income Old</v>
      </c>
      <c r="D110" t="str">
        <f>_xlfn.XLOOKUP(B110,Trans_Demand!A:A,Trans_Demand!B:B)</f>
        <v>Mm2</v>
      </c>
      <c r="E110" t="s">
        <v>214</v>
      </c>
      <c r="F110">
        <f>Trans_Demand!C394</f>
        <v>2085</v>
      </c>
      <c r="G110" s="11">
        <f>SUMIFS(Trans_Demand!D:D,Trans_Demand!A:A,B110,Trans_Demand!C:C,F110)</f>
        <v>19.187214429670199</v>
      </c>
    </row>
    <row r="111" spans="2:7">
      <c r="B111" t="str">
        <f>Trans_Demand!A395</f>
        <v>RESHOUUMOldDMD</v>
      </c>
      <c r="C111" t="str">
        <f>"DEMAND - "&amp;_xlfn.XLOOKUP(B111,Demand!E:E,Demand!A:A)&amp;" "&amp;_xlfn.XLOOKUP(B111,Demand!E:E,Demand!B:B)&amp;" "&amp;_xlfn.XLOOKUP(B111,Demand!E:E,Demand!C:C)&amp;" "&amp;_xlfn.XLOOKUP(B111,Demand!E:E,Demand!D:D)</f>
        <v>DEMAND - Residential House Upper-Middle Income Old</v>
      </c>
      <c r="D111" t="str">
        <f>_xlfn.XLOOKUP(B111,Trans_Demand!A:A,Trans_Demand!B:B)</f>
        <v>Mm2</v>
      </c>
      <c r="E111" t="s">
        <v>214</v>
      </c>
      <c r="F111">
        <f>Trans_Demand!C395</f>
        <v>2090</v>
      </c>
      <c r="G111" s="11">
        <f>SUMIFS(Trans_Demand!D:D,Trans_Demand!A:A,B111,Trans_Demand!C:C,F111)</f>
        <v>19.187214429670199</v>
      </c>
    </row>
    <row r="112" spans="2:7">
      <c r="B112" t="str">
        <f>Trans_Demand!A396</f>
        <v>RESHOUUMOldDMD</v>
      </c>
      <c r="C112" t="str">
        <f>"DEMAND - "&amp;_xlfn.XLOOKUP(B112,Demand!E:E,Demand!A:A)&amp;" "&amp;_xlfn.XLOOKUP(B112,Demand!E:E,Demand!B:B)&amp;" "&amp;_xlfn.XLOOKUP(B112,Demand!E:E,Demand!C:C)&amp;" "&amp;_xlfn.XLOOKUP(B112,Demand!E:E,Demand!D:D)</f>
        <v>DEMAND - Residential House Upper-Middle Income Old</v>
      </c>
      <c r="D112" t="str">
        <f>_xlfn.XLOOKUP(B112,Trans_Demand!A:A,Trans_Demand!B:B)</f>
        <v>Mm2</v>
      </c>
      <c r="E112" t="s">
        <v>214</v>
      </c>
      <c r="F112">
        <f>Trans_Demand!C396</f>
        <v>2095</v>
      </c>
      <c r="G112" s="11">
        <f>SUMIFS(Trans_Demand!D:D,Trans_Demand!A:A,B112,Trans_Demand!C:C,F112)</f>
        <v>19.187214429670199</v>
      </c>
    </row>
    <row r="113" spans="2:7">
      <c r="B113" t="str">
        <f>Trans_Demand!A397</f>
        <v>RESHOUUMOldDMD</v>
      </c>
      <c r="C113" t="str">
        <f>"DEMAND - "&amp;_xlfn.XLOOKUP(B113,Demand!E:E,Demand!A:A)&amp;" "&amp;_xlfn.XLOOKUP(B113,Demand!E:E,Demand!B:B)&amp;" "&amp;_xlfn.XLOOKUP(B113,Demand!E:E,Demand!C:C)&amp;" "&amp;_xlfn.XLOOKUP(B113,Demand!E:E,Demand!D:D)</f>
        <v>DEMAND - Residential House Upper-Middle Income Old</v>
      </c>
      <c r="D113" t="str">
        <f>_xlfn.XLOOKUP(B113,Trans_Demand!A:A,Trans_Demand!B:B)</f>
        <v>Mm2</v>
      </c>
      <c r="E113" t="s">
        <v>214</v>
      </c>
      <c r="F113">
        <f>Trans_Demand!C397</f>
        <v>2100</v>
      </c>
      <c r="G113" s="11">
        <f>SUMIFS(Trans_Demand!D:D,Trans_Demand!A:A,B113,Trans_Demand!C:C,F113)</f>
        <v>19.187214429670199</v>
      </c>
    </row>
    <row r="114" spans="2:7">
      <c r="B114" t="str">
        <f>Trans_Demand!A398</f>
        <v>RESAPAHIOldDMD</v>
      </c>
      <c r="C114" t="str">
        <f>"DEMAND - "&amp;_xlfn.XLOOKUP(B114,Demand!E:E,Demand!A:A)&amp;" "&amp;_xlfn.XLOOKUP(B114,Demand!E:E,Demand!B:B)&amp;" "&amp;_xlfn.XLOOKUP(B114,Demand!E:E,Demand!C:C)&amp;" "&amp;_xlfn.XLOOKUP(B114,Demand!E:E,Demand!D:D)</f>
        <v>DEMAND - Residential Apartment High Income Old</v>
      </c>
      <c r="D114" t="str">
        <f>_xlfn.XLOOKUP(B114,Trans_Demand!A:A,Trans_Demand!B:B)</f>
        <v>Mm2</v>
      </c>
      <c r="E114" t="s">
        <v>214</v>
      </c>
      <c r="F114">
        <f>Trans_Demand!C398</f>
        <v>2019</v>
      </c>
      <c r="G114" s="11">
        <f>SUMIFS(Trans_Demand!D:D,Trans_Demand!A:A,B114,Trans_Demand!C:C,F114)</f>
        <v>66.398717380854961</v>
      </c>
    </row>
    <row r="115" spans="2:7">
      <c r="B115" t="str">
        <f>Trans_Demand!A399</f>
        <v>RESAPAHIOldDMD</v>
      </c>
      <c r="C115" t="str">
        <f>"DEMAND - "&amp;_xlfn.XLOOKUP(B115,Demand!E:E,Demand!A:A)&amp;" "&amp;_xlfn.XLOOKUP(B115,Demand!E:E,Demand!B:B)&amp;" "&amp;_xlfn.XLOOKUP(B115,Demand!E:E,Demand!C:C)&amp;" "&amp;_xlfn.XLOOKUP(B115,Demand!E:E,Demand!D:D)</f>
        <v>DEMAND - Residential Apartment High Income Old</v>
      </c>
      <c r="D115" t="str">
        <f>_xlfn.XLOOKUP(B115,Trans_Demand!A:A,Trans_Demand!B:B)</f>
        <v>Mm2</v>
      </c>
      <c r="E115" t="s">
        <v>214</v>
      </c>
      <c r="F115">
        <f>Trans_Demand!C399</f>
        <v>2020</v>
      </c>
      <c r="G115" s="11">
        <f>SUMIFS(Trans_Demand!D:D,Trans_Demand!A:A,B115,Trans_Demand!C:C,F115)</f>
        <v>66.398717380854961</v>
      </c>
    </row>
    <row r="116" spans="2:7">
      <c r="B116" t="str">
        <f>Trans_Demand!A400</f>
        <v>RESAPAHIOldDMD</v>
      </c>
      <c r="C116" t="str">
        <f>"DEMAND - "&amp;_xlfn.XLOOKUP(B116,Demand!E:E,Demand!A:A)&amp;" "&amp;_xlfn.XLOOKUP(B116,Demand!E:E,Demand!B:B)&amp;" "&amp;_xlfn.XLOOKUP(B116,Demand!E:E,Demand!C:C)&amp;" "&amp;_xlfn.XLOOKUP(B116,Demand!E:E,Demand!D:D)</f>
        <v>DEMAND - Residential Apartment High Income Old</v>
      </c>
      <c r="D116" t="str">
        <f>_xlfn.XLOOKUP(B116,Trans_Demand!A:A,Trans_Demand!B:B)</f>
        <v>Mm2</v>
      </c>
      <c r="E116" t="s">
        <v>214</v>
      </c>
      <c r="F116">
        <f>Trans_Demand!C400</f>
        <v>2025</v>
      </c>
      <c r="G116" s="11">
        <f>SUMIFS(Trans_Demand!D:D,Trans_Demand!A:A,B116,Trans_Demand!C:C,F116)</f>
        <v>66.398717380854961</v>
      </c>
    </row>
    <row r="117" spans="2:7">
      <c r="B117" t="str">
        <f>Trans_Demand!A401</f>
        <v>RESAPAHIOldDMD</v>
      </c>
      <c r="C117" t="str">
        <f>"DEMAND - "&amp;_xlfn.XLOOKUP(B117,Demand!E:E,Demand!A:A)&amp;" "&amp;_xlfn.XLOOKUP(B117,Demand!E:E,Demand!B:B)&amp;" "&amp;_xlfn.XLOOKUP(B117,Demand!E:E,Demand!C:C)&amp;" "&amp;_xlfn.XLOOKUP(B117,Demand!E:E,Demand!D:D)</f>
        <v>DEMAND - Residential Apartment High Income Old</v>
      </c>
      <c r="D117" t="str">
        <f>_xlfn.XLOOKUP(B117,Trans_Demand!A:A,Trans_Demand!B:B)</f>
        <v>Mm2</v>
      </c>
      <c r="E117" t="s">
        <v>214</v>
      </c>
      <c r="F117">
        <f>Trans_Demand!C401</f>
        <v>2030</v>
      </c>
      <c r="G117" s="11">
        <f>SUMIFS(Trans_Demand!D:D,Trans_Demand!A:A,B117,Trans_Demand!C:C,F117)</f>
        <v>66.398717380854961</v>
      </c>
    </row>
    <row r="118" spans="2:7">
      <c r="B118" t="str">
        <f>Trans_Demand!A402</f>
        <v>RESAPAHIOldDMD</v>
      </c>
      <c r="C118" t="str">
        <f>"DEMAND - "&amp;_xlfn.XLOOKUP(B118,Demand!E:E,Demand!A:A)&amp;" "&amp;_xlfn.XLOOKUP(B118,Demand!E:E,Demand!B:B)&amp;" "&amp;_xlfn.XLOOKUP(B118,Demand!E:E,Demand!C:C)&amp;" "&amp;_xlfn.XLOOKUP(B118,Demand!E:E,Demand!D:D)</f>
        <v>DEMAND - Residential Apartment High Income Old</v>
      </c>
      <c r="D118" t="str">
        <f>_xlfn.XLOOKUP(B118,Trans_Demand!A:A,Trans_Demand!B:B)</f>
        <v>Mm2</v>
      </c>
      <c r="E118" t="s">
        <v>214</v>
      </c>
      <c r="F118">
        <f>Trans_Demand!C402</f>
        <v>2035</v>
      </c>
      <c r="G118" s="11">
        <f>SUMIFS(Trans_Demand!D:D,Trans_Demand!A:A,B118,Trans_Demand!C:C,F118)</f>
        <v>66.398717380854961</v>
      </c>
    </row>
    <row r="119" spans="2:7">
      <c r="B119" t="str">
        <f>Trans_Demand!A403</f>
        <v>RESAPAHIOldDMD</v>
      </c>
      <c r="C119" t="str">
        <f>"DEMAND - "&amp;_xlfn.XLOOKUP(B119,Demand!E:E,Demand!A:A)&amp;" "&amp;_xlfn.XLOOKUP(B119,Demand!E:E,Demand!B:B)&amp;" "&amp;_xlfn.XLOOKUP(B119,Demand!E:E,Demand!C:C)&amp;" "&amp;_xlfn.XLOOKUP(B119,Demand!E:E,Demand!D:D)</f>
        <v>DEMAND - Residential Apartment High Income Old</v>
      </c>
      <c r="D119" t="str">
        <f>_xlfn.XLOOKUP(B119,Trans_Demand!A:A,Trans_Demand!B:B)</f>
        <v>Mm2</v>
      </c>
      <c r="E119" t="s">
        <v>214</v>
      </c>
      <c r="F119">
        <f>Trans_Demand!C403</f>
        <v>2040</v>
      </c>
      <c r="G119" s="11">
        <f>SUMIFS(Trans_Demand!D:D,Trans_Demand!A:A,B119,Trans_Demand!C:C,F119)</f>
        <v>66.398717380854961</v>
      </c>
    </row>
    <row r="120" spans="2:7">
      <c r="B120" t="str">
        <f>Trans_Demand!A404</f>
        <v>RESAPAHIOldDMD</v>
      </c>
      <c r="C120" t="str">
        <f>"DEMAND - "&amp;_xlfn.XLOOKUP(B120,Demand!E:E,Demand!A:A)&amp;" "&amp;_xlfn.XLOOKUP(B120,Demand!E:E,Demand!B:B)&amp;" "&amp;_xlfn.XLOOKUP(B120,Demand!E:E,Demand!C:C)&amp;" "&amp;_xlfn.XLOOKUP(B120,Demand!E:E,Demand!D:D)</f>
        <v>DEMAND - Residential Apartment High Income Old</v>
      </c>
      <c r="D120" t="str">
        <f>_xlfn.XLOOKUP(B120,Trans_Demand!A:A,Trans_Demand!B:B)</f>
        <v>Mm2</v>
      </c>
      <c r="E120" t="s">
        <v>214</v>
      </c>
      <c r="F120">
        <f>Trans_Demand!C404</f>
        <v>2045</v>
      </c>
      <c r="G120" s="11">
        <f>SUMIFS(Trans_Demand!D:D,Trans_Demand!A:A,B120,Trans_Demand!C:C,F120)</f>
        <v>66.398717380854961</v>
      </c>
    </row>
    <row r="121" spans="2:7">
      <c r="B121" t="str">
        <f>Trans_Demand!A405</f>
        <v>RESAPAHIOldDMD</v>
      </c>
      <c r="C121" t="str">
        <f>"DEMAND - "&amp;_xlfn.XLOOKUP(B121,Demand!E:E,Demand!A:A)&amp;" "&amp;_xlfn.XLOOKUP(B121,Demand!E:E,Demand!B:B)&amp;" "&amp;_xlfn.XLOOKUP(B121,Demand!E:E,Demand!C:C)&amp;" "&amp;_xlfn.XLOOKUP(B121,Demand!E:E,Demand!D:D)</f>
        <v>DEMAND - Residential Apartment High Income Old</v>
      </c>
      <c r="D121" t="str">
        <f>_xlfn.XLOOKUP(B121,Trans_Demand!A:A,Trans_Demand!B:B)</f>
        <v>Mm2</v>
      </c>
      <c r="E121" t="s">
        <v>214</v>
      </c>
      <c r="F121">
        <f>Trans_Demand!C405</f>
        <v>2050</v>
      </c>
      <c r="G121" s="11">
        <f>SUMIFS(Trans_Demand!D:D,Trans_Demand!A:A,B121,Trans_Demand!C:C,F121)</f>
        <v>66.398717380854961</v>
      </c>
    </row>
    <row r="122" spans="2:7">
      <c r="B122" t="str">
        <f>Trans_Demand!A406</f>
        <v>RESAPAHIOldDMD</v>
      </c>
      <c r="C122" t="str">
        <f>"DEMAND - "&amp;_xlfn.XLOOKUP(B122,Demand!E:E,Demand!A:A)&amp;" "&amp;_xlfn.XLOOKUP(B122,Demand!E:E,Demand!B:B)&amp;" "&amp;_xlfn.XLOOKUP(B122,Demand!E:E,Demand!C:C)&amp;" "&amp;_xlfn.XLOOKUP(B122,Demand!E:E,Demand!D:D)</f>
        <v>DEMAND - Residential Apartment High Income Old</v>
      </c>
      <c r="D122" t="str">
        <f>_xlfn.XLOOKUP(B122,Trans_Demand!A:A,Trans_Demand!B:B)</f>
        <v>Mm2</v>
      </c>
      <c r="E122" t="s">
        <v>214</v>
      </c>
      <c r="F122">
        <f>Trans_Demand!C406</f>
        <v>2055</v>
      </c>
      <c r="G122" s="11">
        <f>SUMIFS(Trans_Demand!D:D,Trans_Demand!A:A,B122,Trans_Demand!C:C,F122)</f>
        <v>66.398717380854961</v>
      </c>
    </row>
    <row r="123" spans="2:7">
      <c r="B123" t="str">
        <f>Trans_Demand!A407</f>
        <v>RESAPAHIOldDMD</v>
      </c>
      <c r="C123" t="str">
        <f>"DEMAND - "&amp;_xlfn.XLOOKUP(B123,Demand!E:E,Demand!A:A)&amp;" "&amp;_xlfn.XLOOKUP(B123,Demand!E:E,Demand!B:B)&amp;" "&amp;_xlfn.XLOOKUP(B123,Demand!E:E,Demand!C:C)&amp;" "&amp;_xlfn.XLOOKUP(B123,Demand!E:E,Demand!D:D)</f>
        <v>DEMAND - Residential Apartment High Income Old</v>
      </c>
      <c r="D123" t="str">
        <f>_xlfn.XLOOKUP(B123,Trans_Demand!A:A,Trans_Demand!B:B)</f>
        <v>Mm2</v>
      </c>
      <c r="E123" t="s">
        <v>214</v>
      </c>
      <c r="F123">
        <f>Trans_Demand!C407</f>
        <v>2060</v>
      </c>
      <c r="G123" s="11">
        <f>SUMIFS(Trans_Demand!D:D,Trans_Demand!A:A,B123,Trans_Demand!C:C,F123)</f>
        <v>66.398717380854961</v>
      </c>
    </row>
    <row r="124" spans="2:7">
      <c r="B124" t="str">
        <f>Trans_Demand!A408</f>
        <v>RESAPAHIOldDMD</v>
      </c>
      <c r="C124" t="str">
        <f>"DEMAND - "&amp;_xlfn.XLOOKUP(B124,Demand!E:E,Demand!A:A)&amp;" "&amp;_xlfn.XLOOKUP(B124,Demand!E:E,Demand!B:B)&amp;" "&amp;_xlfn.XLOOKUP(B124,Demand!E:E,Demand!C:C)&amp;" "&amp;_xlfn.XLOOKUP(B124,Demand!E:E,Demand!D:D)</f>
        <v>DEMAND - Residential Apartment High Income Old</v>
      </c>
      <c r="D124" t="str">
        <f>_xlfn.XLOOKUP(B124,Trans_Demand!A:A,Trans_Demand!B:B)</f>
        <v>Mm2</v>
      </c>
      <c r="E124" t="s">
        <v>214</v>
      </c>
      <c r="F124">
        <f>Trans_Demand!C408</f>
        <v>2065</v>
      </c>
      <c r="G124" s="11">
        <f>SUMIFS(Trans_Demand!D:D,Trans_Demand!A:A,B124,Trans_Demand!C:C,F124)</f>
        <v>66.398717380854961</v>
      </c>
    </row>
    <row r="125" spans="2:7">
      <c r="B125" t="str">
        <f>Trans_Demand!A409</f>
        <v>RESAPAHIOldDMD</v>
      </c>
      <c r="C125" t="str">
        <f>"DEMAND - "&amp;_xlfn.XLOOKUP(B125,Demand!E:E,Demand!A:A)&amp;" "&amp;_xlfn.XLOOKUP(B125,Demand!E:E,Demand!B:B)&amp;" "&amp;_xlfn.XLOOKUP(B125,Demand!E:E,Demand!C:C)&amp;" "&amp;_xlfn.XLOOKUP(B125,Demand!E:E,Demand!D:D)</f>
        <v>DEMAND - Residential Apartment High Income Old</v>
      </c>
      <c r="D125" t="str">
        <f>_xlfn.XLOOKUP(B125,Trans_Demand!A:A,Trans_Demand!B:B)</f>
        <v>Mm2</v>
      </c>
      <c r="E125" t="s">
        <v>214</v>
      </c>
      <c r="F125">
        <f>Trans_Demand!C409</f>
        <v>2070</v>
      </c>
      <c r="G125" s="11">
        <f>SUMIFS(Trans_Demand!D:D,Trans_Demand!A:A,B125,Trans_Demand!C:C,F125)</f>
        <v>66.398717380854961</v>
      </c>
    </row>
    <row r="126" spans="2:7">
      <c r="B126" t="str">
        <f>Trans_Demand!A410</f>
        <v>RESAPAHIOldDMD</v>
      </c>
      <c r="C126" t="str">
        <f>"DEMAND - "&amp;_xlfn.XLOOKUP(B126,Demand!E:E,Demand!A:A)&amp;" "&amp;_xlfn.XLOOKUP(B126,Demand!E:E,Demand!B:B)&amp;" "&amp;_xlfn.XLOOKUP(B126,Demand!E:E,Demand!C:C)&amp;" "&amp;_xlfn.XLOOKUP(B126,Demand!E:E,Demand!D:D)</f>
        <v>DEMAND - Residential Apartment High Income Old</v>
      </c>
      <c r="D126" t="str">
        <f>_xlfn.XLOOKUP(B126,Trans_Demand!A:A,Trans_Demand!B:B)</f>
        <v>Mm2</v>
      </c>
      <c r="E126" t="s">
        <v>214</v>
      </c>
      <c r="F126">
        <f>Trans_Demand!C410</f>
        <v>2075</v>
      </c>
      <c r="G126" s="11">
        <f>SUMIFS(Trans_Demand!D:D,Trans_Demand!A:A,B126,Trans_Demand!C:C,F126)</f>
        <v>66.398717380854961</v>
      </c>
    </row>
    <row r="127" spans="2:7">
      <c r="B127" t="str">
        <f>Trans_Demand!A411</f>
        <v>RESAPAHIOldDMD</v>
      </c>
      <c r="C127" t="str">
        <f>"DEMAND - "&amp;_xlfn.XLOOKUP(B127,Demand!E:E,Demand!A:A)&amp;" "&amp;_xlfn.XLOOKUP(B127,Demand!E:E,Demand!B:B)&amp;" "&amp;_xlfn.XLOOKUP(B127,Demand!E:E,Demand!C:C)&amp;" "&amp;_xlfn.XLOOKUP(B127,Demand!E:E,Demand!D:D)</f>
        <v>DEMAND - Residential Apartment High Income Old</v>
      </c>
      <c r="D127" t="str">
        <f>_xlfn.XLOOKUP(B127,Trans_Demand!A:A,Trans_Demand!B:B)</f>
        <v>Mm2</v>
      </c>
      <c r="E127" t="s">
        <v>214</v>
      </c>
      <c r="F127">
        <f>Trans_Demand!C411</f>
        <v>2080</v>
      </c>
      <c r="G127" s="11">
        <f>SUMIFS(Trans_Demand!D:D,Trans_Demand!A:A,B127,Trans_Demand!C:C,F127)</f>
        <v>66.398717380854961</v>
      </c>
    </row>
    <row r="128" spans="2:7">
      <c r="B128" t="str">
        <f>Trans_Demand!A412</f>
        <v>RESAPAHIOldDMD</v>
      </c>
      <c r="C128" t="str">
        <f>"DEMAND - "&amp;_xlfn.XLOOKUP(B128,Demand!E:E,Demand!A:A)&amp;" "&amp;_xlfn.XLOOKUP(B128,Demand!E:E,Demand!B:B)&amp;" "&amp;_xlfn.XLOOKUP(B128,Demand!E:E,Demand!C:C)&amp;" "&amp;_xlfn.XLOOKUP(B128,Demand!E:E,Demand!D:D)</f>
        <v>DEMAND - Residential Apartment High Income Old</v>
      </c>
      <c r="D128" t="str">
        <f>_xlfn.XLOOKUP(B128,Trans_Demand!A:A,Trans_Demand!B:B)</f>
        <v>Mm2</v>
      </c>
      <c r="E128" t="s">
        <v>214</v>
      </c>
      <c r="F128">
        <f>Trans_Demand!C412</f>
        <v>2085</v>
      </c>
      <c r="G128" s="11">
        <f>SUMIFS(Trans_Demand!D:D,Trans_Demand!A:A,B128,Trans_Demand!C:C,F128)</f>
        <v>66.398717380854961</v>
      </c>
    </row>
    <row r="129" spans="2:7">
      <c r="B129" t="str">
        <f>Trans_Demand!A413</f>
        <v>RESAPAHIOldDMD</v>
      </c>
      <c r="C129" t="str">
        <f>"DEMAND - "&amp;_xlfn.XLOOKUP(B129,Demand!E:E,Demand!A:A)&amp;" "&amp;_xlfn.XLOOKUP(B129,Demand!E:E,Demand!B:B)&amp;" "&amp;_xlfn.XLOOKUP(B129,Demand!E:E,Demand!C:C)&amp;" "&amp;_xlfn.XLOOKUP(B129,Demand!E:E,Demand!D:D)</f>
        <v>DEMAND - Residential Apartment High Income Old</v>
      </c>
      <c r="D129" t="str">
        <f>_xlfn.XLOOKUP(B129,Trans_Demand!A:A,Trans_Demand!B:B)</f>
        <v>Mm2</v>
      </c>
      <c r="E129" t="s">
        <v>214</v>
      </c>
      <c r="F129">
        <f>Trans_Demand!C413</f>
        <v>2090</v>
      </c>
      <c r="G129" s="11">
        <f>SUMIFS(Trans_Demand!D:D,Trans_Demand!A:A,B129,Trans_Demand!C:C,F129)</f>
        <v>66.398717380854961</v>
      </c>
    </row>
    <row r="130" spans="2:7">
      <c r="B130" t="str">
        <f>Trans_Demand!A414</f>
        <v>RESAPAHIOldDMD</v>
      </c>
      <c r="C130" t="str">
        <f>"DEMAND - "&amp;_xlfn.XLOOKUP(B130,Demand!E:E,Demand!A:A)&amp;" "&amp;_xlfn.XLOOKUP(B130,Demand!E:E,Demand!B:B)&amp;" "&amp;_xlfn.XLOOKUP(B130,Demand!E:E,Demand!C:C)&amp;" "&amp;_xlfn.XLOOKUP(B130,Demand!E:E,Demand!D:D)</f>
        <v>DEMAND - Residential Apartment High Income Old</v>
      </c>
      <c r="D130" t="str">
        <f>_xlfn.XLOOKUP(B130,Trans_Demand!A:A,Trans_Demand!B:B)</f>
        <v>Mm2</v>
      </c>
      <c r="E130" t="s">
        <v>214</v>
      </c>
      <c r="F130">
        <f>Trans_Demand!C414</f>
        <v>2095</v>
      </c>
      <c r="G130" s="11">
        <f>SUMIFS(Trans_Demand!D:D,Trans_Demand!A:A,B130,Trans_Demand!C:C,F130)</f>
        <v>66.398717380854961</v>
      </c>
    </row>
    <row r="131" spans="2:7">
      <c r="B131" t="str">
        <f>Trans_Demand!A415</f>
        <v>RESAPAHIOldDMD</v>
      </c>
      <c r="C131" t="str">
        <f>"DEMAND - "&amp;_xlfn.XLOOKUP(B131,Demand!E:E,Demand!A:A)&amp;" "&amp;_xlfn.XLOOKUP(B131,Demand!E:E,Demand!B:B)&amp;" "&amp;_xlfn.XLOOKUP(B131,Demand!E:E,Demand!C:C)&amp;" "&amp;_xlfn.XLOOKUP(B131,Demand!E:E,Demand!D:D)</f>
        <v>DEMAND - Residential Apartment High Income Old</v>
      </c>
      <c r="D131" t="str">
        <f>_xlfn.XLOOKUP(B131,Trans_Demand!A:A,Trans_Demand!B:B)</f>
        <v>Mm2</v>
      </c>
      <c r="E131" t="s">
        <v>214</v>
      </c>
      <c r="F131">
        <f>Trans_Demand!C415</f>
        <v>2100</v>
      </c>
      <c r="G131" s="11">
        <f>SUMIFS(Trans_Demand!D:D,Trans_Demand!A:A,B131,Trans_Demand!C:C,F131)</f>
        <v>66.398717380854961</v>
      </c>
    </row>
    <row r="132" spans="2:7">
      <c r="B132" t="str">
        <f>Trans_Demand!A416</f>
        <v>RESHOUHIOldDMD</v>
      </c>
      <c r="C132" t="str">
        <f>"DEMAND - "&amp;_xlfn.XLOOKUP(B132,Demand!E:E,Demand!A:A)&amp;" "&amp;_xlfn.XLOOKUP(B132,Demand!E:E,Demand!B:B)&amp;" "&amp;_xlfn.XLOOKUP(B132,Demand!E:E,Demand!C:C)&amp;" "&amp;_xlfn.XLOOKUP(B132,Demand!E:E,Demand!D:D)</f>
        <v>DEMAND - Residential House High Income Old</v>
      </c>
      <c r="D132" t="str">
        <f>_xlfn.XLOOKUP(B132,Trans_Demand!A:A,Trans_Demand!B:B)</f>
        <v>Mm2</v>
      </c>
      <c r="E132" t="s">
        <v>214</v>
      </c>
      <c r="F132">
        <f>Trans_Demand!C416</f>
        <v>2019</v>
      </c>
      <c r="G132" s="11">
        <f>SUMIFS(Trans_Demand!D:D,Trans_Demand!A:A,B132,Trans_Demand!C:C,F132)</f>
        <v>96.552050846441404</v>
      </c>
    </row>
    <row r="133" spans="2:7">
      <c r="B133" t="str">
        <f>Trans_Demand!A417</f>
        <v>RESHOUHIOldDMD</v>
      </c>
      <c r="C133" t="str">
        <f>"DEMAND - "&amp;_xlfn.XLOOKUP(B133,Demand!E:E,Demand!A:A)&amp;" "&amp;_xlfn.XLOOKUP(B133,Demand!E:E,Demand!B:B)&amp;" "&amp;_xlfn.XLOOKUP(B133,Demand!E:E,Demand!C:C)&amp;" "&amp;_xlfn.XLOOKUP(B133,Demand!E:E,Demand!D:D)</f>
        <v>DEMAND - Residential House High Income Old</v>
      </c>
      <c r="D133" t="str">
        <f>_xlfn.XLOOKUP(B133,Trans_Demand!A:A,Trans_Demand!B:B)</f>
        <v>Mm2</v>
      </c>
      <c r="E133" t="s">
        <v>214</v>
      </c>
      <c r="F133">
        <f>Trans_Demand!C417</f>
        <v>2020</v>
      </c>
      <c r="G133" s="11">
        <f>SUMIFS(Trans_Demand!D:D,Trans_Demand!A:A,B133,Trans_Demand!C:C,F133)</f>
        <v>96.552050846441404</v>
      </c>
    </row>
    <row r="134" spans="2:7">
      <c r="B134" t="str">
        <f>Trans_Demand!A418</f>
        <v>RESHOUHIOldDMD</v>
      </c>
      <c r="C134" t="str">
        <f>"DEMAND - "&amp;_xlfn.XLOOKUP(B134,Demand!E:E,Demand!A:A)&amp;" "&amp;_xlfn.XLOOKUP(B134,Demand!E:E,Demand!B:B)&amp;" "&amp;_xlfn.XLOOKUP(B134,Demand!E:E,Demand!C:C)&amp;" "&amp;_xlfn.XLOOKUP(B134,Demand!E:E,Demand!D:D)</f>
        <v>DEMAND - Residential House High Income Old</v>
      </c>
      <c r="D134" t="str">
        <f>_xlfn.XLOOKUP(B134,Trans_Demand!A:A,Trans_Demand!B:B)</f>
        <v>Mm2</v>
      </c>
      <c r="E134" t="s">
        <v>214</v>
      </c>
      <c r="F134">
        <f>Trans_Demand!C418</f>
        <v>2025</v>
      </c>
      <c r="G134" s="11">
        <f>SUMIFS(Trans_Demand!D:D,Trans_Demand!A:A,B134,Trans_Demand!C:C,F134)</f>
        <v>96.552050846441404</v>
      </c>
    </row>
    <row r="135" spans="2:7">
      <c r="B135" t="str">
        <f>Trans_Demand!A419</f>
        <v>RESHOUHIOldDMD</v>
      </c>
      <c r="C135" t="str">
        <f>"DEMAND - "&amp;_xlfn.XLOOKUP(B135,Demand!E:E,Demand!A:A)&amp;" "&amp;_xlfn.XLOOKUP(B135,Demand!E:E,Demand!B:B)&amp;" "&amp;_xlfn.XLOOKUP(B135,Demand!E:E,Demand!C:C)&amp;" "&amp;_xlfn.XLOOKUP(B135,Demand!E:E,Demand!D:D)</f>
        <v>DEMAND - Residential House High Income Old</v>
      </c>
      <c r="D135" t="str">
        <f>_xlfn.XLOOKUP(B135,Trans_Demand!A:A,Trans_Demand!B:B)</f>
        <v>Mm2</v>
      </c>
      <c r="E135" t="s">
        <v>214</v>
      </c>
      <c r="F135">
        <f>Trans_Demand!C419</f>
        <v>2030</v>
      </c>
      <c r="G135" s="11">
        <f>SUMIFS(Trans_Demand!D:D,Trans_Demand!A:A,B135,Trans_Demand!C:C,F135)</f>
        <v>96.552050846441404</v>
      </c>
    </row>
    <row r="136" spans="2:7">
      <c r="B136" t="str">
        <f>Trans_Demand!A420</f>
        <v>RESHOUHIOldDMD</v>
      </c>
      <c r="C136" t="str">
        <f>"DEMAND - "&amp;_xlfn.XLOOKUP(B136,Demand!E:E,Demand!A:A)&amp;" "&amp;_xlfn.XLOOKUP(B136,Demand!E:E,Demand!B:B)&amp;" "&amp;_xlfn.XLOOKUP(B136,Demand!E:E,Demand!C:C)&amp;" "&amp;_xlfn.XLOOKUP(B136,Demand!E:E,Demand!D:D)</f>
        <v>DEMAND - Residential House High Income Old</v>
      </c>
      <c r="D136" t="str">
        <f>_xlfn.XLOOKUP(B136,Trans_Demand!A:A,Trans_Demand!B:B)</f>
        <v>Mm2</v>
      </c>
      <c r="E136" t="s">
        <v>214</v>
      </c>
      <c r="F136">
        <f>Trans_Demand!C420</f>
        <v>2035</v>
      </c>
      <c r="G136" s="11">
        <f>SUMIFS(Trans_Demand!D:D,Trans_Demand!A:A,B136,Trans_Demand!C:C,F136)</f>
        <v>96.552050846441404</v>
      </c>
    </row>
    <row r="137" spans="2:7">
      <c r="B137" t="str">
        <f>Trans_Demand!A421</f>
        <v>RESHOUHIOldDMD</v>
      </c>
      <c r="C137" t="str">
        <f>"DEMAND - "&amp;_xlfn.XLOOKUP(B137,Demand!E:E,Demand!A:A)&amp;" "&amp;_xlfn.XLOOKUP(B137,Demand!E:E,Demand!B:B)&amp;" "&amp;_xlfn.XLOOKUP(B137,Demand!E:E,Demand!C:C)&amp;" "&amp;_xlfn.XLOOKUP(B137,Demand!E:E,Demand!D:D)</f>
        <v>DEMAND - Residential House High Income Old</v>
      </c>
      <c r="D137" t="str">
        <f>_xlfn.XLOOKUP(B137,Trans_Demand!A:A,Trans_Demand!B:B)</f>
        <v>Mm2</v>
      </c>
      <c r="E137" t="s">
        <v>214</v>
      </c>
      <c r="F137">
        <f>Trans_Demand!C421</f>
        <v>2040</v>
      </c>
      <c r="G137" s="11">
        <f>SUMIFS(Trans_Demand!D:D,Trans_Demand!A:A,B137,Trans_Demand!C:C,F137)</f>
        <v>96.552050846441404</v>
      </c>
    </row>
    <row r="138" spans="2:7">
      <c r="B138" t="str">
        <f>Trans_Demand!A422</f>
        <v>RESHOUHIOldDMD</v>
      </c>
      <c r="C138" t="str">
        <f>"DEMAND - "&amp;_xlfn.XLOOKUP(B138,Demand!E:E,Demand!A:A)&amp;" "&amp;_xlfn.XLOOKUP(B138,Demand!E:E,Demand!B:B)&amp;" "&amp;_xlfn.XLOOKUP(B138,Demand!E:E,Demand!C:C)&amp;" "&amp;_xlfn.XLOOKUP(B138,Demand!E:E,Demand!D:D)</f>
        <v>DEMAND - Residential House High Income Old</v>
      </c>
      <c r="D138" t="str">
        <f>_xlfn.XLOOKUP(B138,Trans_Demand!A:A,Trans_Demand!B:B)</f>
        <v>Mm2</v>
      </c>
      <c r="E138" t="s">
        <v>214</v>
      </c>
      <c r="F138">
        <f>Trans_Demand!C422</f>
        <v>2045</v>
      </c>
      <c r="G138" s="11">
        <f>SUMIFS(Trans_Demand!D:D,Trans_Demand!A:A,B138,Trans_Demand!C:C,F138)</f>
        <v>96.552050846441404</v>
      </c>
    </row>
    <row r="139" spans="2:7">
      <c r="B139" t="str">
        <f>Trans_Demand!A423</f>
        <v>RESHOUHIOldDMD</v>
      </c>
      <c r="C139" t="str">
        <f>"DEMAND - "&amp;_xlfn.XLOOKUP(B139,Demand!E:E,Demand!A:A)&amp;" "&amp;_xlfn.XLOOKUP(B139,Demand!E:E,Demand!B:B)&amp;" "&amp;_xlfn.XLOOKUP(B139,Demand!E:E,Demand!C:C)&amp;" "&amp;_xlfn.XLOOKUP(B139,Demand!E:E,Demand!D:D)</f>
        <v>DEMAND - Residential House High Income Old</v>
      </c>
      <c r="D139" t="str">
        <f>_xlfn.XLOOKUP(B139,Trans_Demand!A:A,Trans_Demand!B:B)</f>
        <v>Mm2</v>
      </c>
      <c r="E139" t="s">
        <v>214</v>
      </c>
      <c r="F139">
        <f>Trans_Demand!C423</f>
        <v>2050</v>
      </c>
      <c r="G139" s="11">
        <f>SUMIFS(Trans_Demand!D:D,Trans_Demand!A:A,B139,Trans_Demand!C:C,F139)</f>
        <v>96.552050846441404</v>
      </c>
    </row>
    <row r="140" spans="2:7">
      <c r="B140" t="str">
        <f>Trans_Demand!A424</f>
        <v>RESHOUHIOldDMD</v>
      </c>
      <c r="C140" t="str">
        <f>"DEMAND - "&amp;_xlfn.XLOOKUP(B140,Demand!E:E,Demand!A:A)&amp;" "&amp;_xlfn.XLOOKUP(B140,Demand!E:E,Demand!B:B)&amp;" "&amp;_xlfn.XLOOKUP(B140,Demand!E:E,Demand!C:C)&amp;" "&amp;_xlfn.XLOOKUP(B140,Demand!E:E,Demand!D:D)</f>
        <v>DEMAND - Residential House High Income Old</v>
      </c>
      <c r="D140" t="str">
        <f>_xlfn.XLOOKUP(B140,Trans_Demand!A:A,Trans_Demand!B:B)</f>
        <v>Mm2</v>
      </c>
      <c r="E140" t="s">
        <v>214</v>
      </c>
      <c r="F140">
        <f>Trans_Demand!C424</f>
        <v>2055</v>
      </c>
      <c r="G140" s="11">
        <f>SUMIFS(Trans_Demand!D:D,Trans_Demand!A:A,B140,Trans_Demand!C:C,F140)</f>
        <v>96.552050846441404</v>
      </c>
    </row>
    <row r="141" spans="2:7">
      <c r="B141" t="str">
        <f>Trans_Demand!A425</f>
        <v>RESHOUHIOldDMD</v>
      </c>
      <c r="C141" t="str">
        <f>"DEMAND - "&amp;_xlfn.XLOOKUP(B141,Demand!E:E,Demand!A:A)&amp;" "&amp;_xlfn.XLOOKUP(B141,Demand!E:E,Demand!B:B)&amp;" "&amp;_xlfn.XLOOKUP(B141,Demand!E:E,Demand!C:C)&amp;" "&amp;_xlfn.XLOOKUP(B141,Demand!E:E,Demand!D:D)</f>
        <v>DEMAND - Residential House High Income Old</v>
      </c>
      <c r="D141" t="str">
        <f>_xlfn.XLOOKUP(B141,Trans_Demand!A:A,Trans_Demand!B:B)</f>
        <v>Mm2</v>
      </c>
      <c r="E141" t="s">
        <v>214</v>
      </c>
      <c r="F141">
        <f>Trans_Demand!C425</f>
        <v>2060</v>
      </c>
      <c r="G141" s="11">
        <f>SUMIFS(Trans_Demand!D:D,Trans_Demand!A:A,B141,Trans_Demand!C:C,F141)</f>
        <v>96.552050846441404</v>
      </c>
    </row>
    <row r="142" spans="2:7">
      <c r="B142" t="str">
        <f>Trans_Demand!A426</f>
        <v>RESHOUHIOldDMD</v>
      </c>
      <c r="C142" t="str">
        <f>"DEMAND - "&amp;_xlfn.XLOOKUP(B142,Demand!E:E,Demand!A:A)&amp;" "&amp;_xlfn.XLOOKUP(B142,Demand!E:E,Demand!B:B)&amp;" "&amp;_xlfn.XLOOKUP(B142,Demand!E:E,Demand!C:C)&amp;" "&amp;_xlfn.XLOOKUP(B142,Demand!E:E,Demand!D:D)</f>
        <v>DEMAND - Residential House High Income Old</v>
      </c>
      <c r="D142" t="str">
        <f>_xlfn.XLOOKUP(B142,Trans_Demand!A:A,Trans_Demand!B:B)</f>
        <v>Mm2</v>
      </c>
      <c r="E142" t="s">
        <v>214</v>
      </c>
      <c r="F142">
        <f>Trans_Demand!C426</f>
        <v>2065</v>
      </c>
      <c r="G142" s="11">
        <f>SUMIFS(Trans_Demand!D:D,Trans_Demand!A:A,B142,Trans_Demand!C:C,F142)</f>
        <v>96.552050846441404</v>
      </c>
    </row>
    <row r="143" spans="2:7">
      <c r="B143" t="str">
        <f>Trans_Demand!A427</f>
        <v>RESHOUHIOldDMD</v>
      </c>
      <c r="C143" t="str">
        <f>"DEMAND - "&amp;_xlfn.XLOOKUP(B143,Demand!E:E,Demand!A:A)&amp;" "&amp;_xlfn.XLOOKUP(B143,Demand!E:E,Demand!B:B)&amp;" "&amp;_xlfn.XLOOKUP(B143,Demand!E:E,Demand!C:C)&amp;" "&amp;_xlfn.XLOOKUP(B143,Demand!E:E,Demand!D:D)</f>
        <v>DEMAND - Residential House High Income Old</v>
      </c>
      <c r="D143" t="str">
        <f>_xlfn.XLOOKUP(B143,Trans_Demand!A:A,Trans_Demand!B:B)</f>
        <v>Mm2</v>
      </c>
      <c r="E143" t="s">
        <v>214</v>
      </c>
      <c r="F143">
        <f>Trans_Demand!C427</f>
        <v>2070</v>
      </c>
      <c r="G143" s="11">
        <f>SUMIFS(Trans_Demand!D:D,Trans_Demand!A:A,B143,Trans_Demand!C:C,F143)</f>
        <v>96.552050846441404</v>
      </c>
    </row>
    <row r="144" spans="2:7">
      <c r="B144" t="str">
        <f>Trans_Demand!A428</f>
        <v>RESHOUHIOldDMD</v>
      </c>
      <c r="C144" t="str">
        <f>"DEMAND - "&amp;_xlfn.XLOOKUP(B144,Demand!E:E,Demand!A:A)&amp;" "&amp;_xlfn.XLOOKUP(B144,Demand!E:E,Demand!B:B)&amp;" "&amp;_xlfn.XLOOKUP(B144,Demand!E:E,Demand!C:C)&amp;" "&amp;_xlfn.XLOOKUP(B144,Demand!E:E,Demand!D:D)</f>
        <v>DEMAND - Residential House High Income Old</v>
      </c>
      <c r="D144" t="str">
        <f>_xlfn.XLOOKUP(B144,Trans_Demand!A:A,Trans_Demand!B:B)</f>
        <v>Mm2</v>
      </c>
      <c r="E144" t="s">
        <v>214</v>
      </c>
      <c r="F144">
        <f>Trans_Demand!C428</f>
        <v>2075</v>
      </c>
      <c r="G144" s="11">
        <f>SUMIFS(Trans_Demand!D:D,Trans_Demand!A:A,B144,Trans_Demand!C:C,F144)</f>
        <v>96.552050846441404</v>
      </c>
    </row>
    <row r="145" spans="2:7">
      <c r="B145" t="str">
        <f>Trans_Demand!A429</f>
        <v>RESHOUHIOldDMD</v>
      </c>
      <c r="C145" t="str">
        <f>"DEMAND - "&amp;_xlfn.XLOOKUP(B145,Demand!E:E,Demand!A:A)&amp;" "&amp;_xlfn.XLOOKUP(B145,Demand!E:E,Demand!B:B)&amp;" "&amp;_xlfn.XLOOKUP(B145,Demand!E:E,Demand!C:C)&amp;" "&amp;_xlfn.XLOOKUP(B145,Demand!E:E,Demand!D:D)</f>
        <v>DEMAND - Residential House High Income Old</v>
      </c>
      <c r="D145" t="str">
        <f>_xlfn.XLOOKUP(B145,Trans_Demand!A:A,Trans_Demand!B:B)</f>
        <v>Mm2</v>
      </c>
      <c r="E145" t="s">
        <v>214</v>
      </c>
      <c r="F145">
        <f>Trans_Demand!C429</f>
        <v>2080</v>
      </c>
      <c r="G145" s="11">
        <f>SUMIFS(Trans_Demand!D:D,Trans_Demand!A:A,B145,Trans_Demand!C:C,F145)</f>
        <v>96.552050846441404</v>
      </c>
    </row>
    <row r="146" spans="2:7">
      <c r="B146" t="str">
        <f>Trans_Demand!A430</f>
        <v>RESHOUHIOldDMD</v>
      </c>
      <c r="C146" t="str">
        <f>"DEMAND - "&amp;_xlfn.XLOOKUP(B146,Demand!E:E,Demand!A:A)&amp;" "&amp;_xlfn.XLOOKUP(B146,Demand!E:E,Demand!B:B)&amp;" "&amp;_xlfn.XLOOKUP(B146,Demand!E:E,Demand!C:C)&amp;" "&amp;_xlfn.XLOOKUP(B146,Demand!E:E,Demand!D:D)</f>
        <v>DEMAND - Residential House High Income Old</v>
      </c>
      <c r="D146" t="str">
        <f>_xlfn.XLOOKUP(B146,Trans_Demand!A:A,Trans_Demand!B:B)</f>
        <v>Mm2</v>
      </c>
      <c r="E146" t="s">
        <v>214</v>
      </c>
      <c r="F146">
        <f>Trans_Demand!C430</f>
        <v>2085</v>
      </c>
      <c r="G146" s="11">
        <f>SUMIFS(Trans_Demand!D:D,Trans_Demand!A:A,B146,Trans_Demand!C:C,F146)</f>
        <v>96.552050846441404</v>
      </c>
    </row>
    <row r="147" spans="2:7">
      <c r="B147" t="str">
        <f>Trans_Demand!A431</f>
        <v>RESHOUHIOldDMD</v>
      </c>
      <c r="C147" t="str">
        <f>"DEMAND - "&amp;_xlfn.XLOOKUP(B147,Demand!E:E,Demand!A:A)&amp;" "&amp;_xlfn.XLOOKUP(B147,Demand!E:E,Demand!B:B)&amp;" "&amp;_xlfn.XLOOKUP(B147,Demand!E:E,Demand!C:C)&amp;" "&amp;_xlfn.XLOOKUP(B147,Demand!E:E,Demand!D:D)</f>
        <v>DEMAND - Residential House High Income Old</v>
      </c>
      <c r="D147" t="str">
        <f>_xlfn.XLOOKUP(B147,Trans_Demand!A:A,Trans_Demand!B:B)</f>
        <v>Mm2</v>
      </c>
      <c r="E147" t="s">
        <v>214</v>
      </c>
      <c r="F147">
        <f>Trans_Demand!C431</f>
        <v>2090</v>
      </c>
      <c r="G147" s="11">
        <f>SUMIFS(Trans_Demand!D:D,Trans_Demand!A:A,B147,Trans_Demand!C:C,F147)</f>
        <v>96.552050846441404</v>
      </c>
    </row>
    <row r="148" spans="2:7">
      <c r="B148" t="str">
        <f>Trans_Demand!A432</f>
        <v>RESHOUHIOldDMD</v>
      </c>
      <c r="C148" t="str">
        <f>"DEMAND - "&amp;_xlfn.XLOOKUP(B148,Demand!E:E,Demand!A:A)&amp;" "&amp;_xlfn.XLOOKUP(B148,Demand!E:E,Demand!B:B)&amp;" "&amp;_xlfn.XLOOKUP(B148,Demand!E:E,Demand!C:C)&amp;" "&amp;_xlfn.XLOOKUP(B148,Demand!E:E,Demand!D:D)</f>
        <v>DEMAND - Residential House High Income Old</v>
      </c>
      <c r="D148" t="str">
        <f>_xlfn.XLOOKUP(B148,Trans_Demand!A:A,Trans_Demand!B:B)</f>
        <v>Mm2</v>
      </c>
      <c r="E148" t="s">
        <v>214</v>
      </c>
      <c r="F148">
        <f>Trans_Demand!C432</f>
        <v>2095</v>
      </c>
      <c r="G148" s="11">
        <f>SUMIFS(Trans_Demand!D:D,Trans_Demand!A:A,B148,Trans_Demand!C:C,F148)</f>
        <v>96.552050846441404</v>
      </c>
    </row>
    <row r="149" spans="2:7">
      <c r="B149" t="str">
        <f>Trans_Demand!A433</f>
        <v>RESHOUHIOldDMD</v>
      </c>
      <c r="C149" t="str">
        <f>"DEMAND - "&amp;_xlfn.XLOOKUP(B149,Demand!E:E,Demand!A:A)&amp;" "&amp;_xlfn.XLOOKUP(B149,Demand!E:E,Demand!B:B)&amp;" "&amp;_xlfn.XLOOKUP(B149,Demand!E:E,Demand!C:C)&amp;" "&amp;_xlfn.XLOOKUP(B149,Demand!E:E,Demand!D:D)</f>
        <v>DEMAND - Residential House High Income Old</v>
      </c>
      <c r="D149" t="str">
        <f>_xlfn.XLOOKUP(B149,Trans_Demand!A:A,Trans_Demand!B:B)</f>
        <v>Mm2</v>
      </c>
      <c r="E149" t="s">
        <v>214</v>
      </c>
      <c r="F149">
        <f>Trans_Demand!C433</f>
        <v>2100</v>
      </c>
      <c r="G149" s="11">
        <f>SUMIFS(Trans_Demand!D:D,Trans_Demand!A:A,B149,Trans_Demand!C:C,F149)</f>
        <v>96.552050846441404</v>
      </c>
    </row>
    <row r="150" spans="2:7">
      <c r="B150" t="str">
        <f>Trans_Demand!A434</f>
        <v>RESAPALONewDMD</v>
      </c>
      <c r="C150" t="str">
        <f>"DEMAND - "&amp;_xlfn.XLOOKUP(B150,Demand!E:E,Demand!A:A)&amp;" "&amp;_xlfn.XLOOKUP(B150,Demand!E:E,Demand!B:B)&amp;" "&amp;_xlfn.XLOOKUP(B150,Demand!E:E,Demand!C:C)&amp;" "&amp;_xlfn.XLOOKUP(B150,Demand!E:E,Demand!D:D)</f>
        <v>DEMAND - Residential Apartment Low Income New</v>
      </c>
      <c r="D150" t="str">
        <f>_xlfn.XLOOKUP(B150,Trans_Demand!A:A,Trans_Demand!B:B)</f>
        <v>Mm2</v>
      </c>
      <c r="E150" t="s">
        <v>214</v>
      </c>
      <c r="F150">
        <f>Trans_Demand!C434</f>
        <v>2019</v>
      </c>
      <c r="G150" s="11">
        <f>SUMIFS(Trans_Demand!D:D,Trans_Demand!A:A,B150,Trans_Demand!C:C,F150)</f>
        <v>0</v>
      </c>
    </row>
    <row r="151" spans="2:7">
      <c r="B151" t="str">
        <f>Trans_Demand!A435</f>
        <v>RESAPALONewDMD</v>
      </c>
      <c r="C151" t="str">
        <f>"DEMAND - "&amp;_xlfn.XLOOKUP(B151,Demand!E:E,Demand!A:A)&amp;" "&amp;_xlfn.XLOOKUP(B151,Demand!E:E,Demand!B:B)&amp;" "&amp;_xlfn.XLOOKUP(B151,Demand!E:E,Demand!C:C)&amp;" "&amp;_xlfn.XLOOKUP(B151,Demand!E:E,Demand!D:D)</f>
        <v>DEMAND - Residential Apartment Low Income New</v>
      </c>
      <c r="D151" t="str">
        <f>_xlfn.XLOOKUP(B151,Trans_Demand!A:A,Trans_Demand!B:B)</f>
        <v>Mm2</v>
      </c>
      <c r="E151" t="s">
        <v>214</v>
      </c>
      <c r="F151">
        <f>Trans_Demand!C435</f>
        <v>2020</v>
      </c>
      <c r="G151" s="11">
        <f>SUMIFS(Trans_Demand!D:D,Trans_Demand!A:A,B151,Trans_Demand!C:C,F151)</f>
        <v>0.25903938738745758</v>
      </c>
    </row>
    <row r="152" spans="2:7">
      <c r="B152" t="str">
        <f>Trans_Demand!A436</f>
        <v>RESAPALONewDMD</v>
      </c>
      <c r="C152" t="str">
        <f>"DEMAND - "&amp;_xlfn.XLOOKUP(B152,Demand!E:E,Demand!A:A)&amp;" "&amp;_xlfn.XLOOKUP(B152,Demand!E:E,Demand!B:B)&amp;" "&amp;_xlfn.XLOOKUP(B152,Demand!E:E,Demand!C:C)&amp;" "&amp;_xlfn.XLOOKUP(B152,Demand!E:E,Demand!D:D)</f>
        <v>DEMAND - Residential Apartment Low Income New</v>
      </c>
      <c r="D152" t="str">
        <f>_xlfn.XLOOKUP(B152,Trans_Demand!A:A,Trans_Demand!B:B)</f>
        <v>Mm2</v>
      </c>
      <c r="E152" t="s">
        <v>214</v>
      </c>
      <c r="F152">
        <f>Trans_Demand!C436</f>
        <v>2025</v>
      </c>
      <c r="G152" s="11">
        <f>SUMIFS(Trans_Demand!D:D,Trans_Demand!A:A,B152,Trans_Demand!C:C,F152)</f>
        <v>1.5542363243247459</v>
      </c>
    </row>
    <row r="153" spans="2:7">
      <c r="B153" t="str">
        <f>Trans_Demand!A437</f>
        <v>RESAPALONewDMD</v>
      </c>
      <c r="C153" t="str">
        <f>"DEMAND - "&amp;_xlfn.XLOOKUP(B153,Demand!E:E,Demand!A:A)&amp;" "&amp;_xlfn.XLOOKUP(B153,Demand!E:E,Demand!B:B)&amp;" "&amp;_xlfn.XLOOKUP(B153,Demand!E:E,Demand!C:C)&amp;" "&amp;_xlfn.XLOOKUP(B153,Demand!E:E,Demand!D:D)</f>
        <v>DEMAND - Residential Apartment Low Income New</v>
      </c>
      <c r="D153" t="str">
        <f>_xlfn.XLOOKUP(B153,Trans_Demand!A:A,Trans_Demand!B:B)</f>
        <v>Mm2</v>
      </c>
      <c r="E153" t="s">
        <v>214</v>
      </c>
      <c r="F153">
        <f>Trans_Demand!C437</f>
        <v>2030</v>
      </c>
      <c r="G153" s="11">
        <f>SUMIFS(Trans_Demand!D:D,Trans_Demand!A:A,B153,Trans_Demand!C:C,F153)</f>
        <v>2.8494332612620341</v>
      </c>
    </row>
    <row r="154" spans="2:7">
      <c r="B154" t="str">
        <f>Trans_Demand!A438</f>
        <v>RESAPALONewDMD</v>
      </c>
      <c r="C154" t="str">
        <f>"DEMAND - "&amp;_xlfn.XLOOKUP(B154,Demand!E:E,Demand!A:A)&amp;" "&amp;_xlfn.XLOOKUP(B154,Demand!E:E,Demand!B:B)&amp;" "&amp;_xlfn.XLOOKUP(B154,Demand!E:E,Demand!C:C)&amp;" "&amp;_xlfn.XLOOKUP(B154,Demand!E:E,Demand!D:D)</f>
        <v>DEMAND - Residential Apartment Low Income New</v>
      </c>
      <c r="D154" t="str">
        <f>_xlfn.XLOOKUP(B154,Trans_Demand!A:A,Trans_Demand!B:B)</f>
        <v>Mm2</v>
      </c>
      <c r="E154" t="s">
        <v>214</v>
      </c>
      <c r="F154">
        <f>Trans_Demand!C438</f>
        <v>2035</v>
      </c>
      <c r="G154" s="11">
        <f>SUMIFS(Trans_Demand!D:D,Trans_Demand!A:A,B154,Trans_Demand!C:C,F154)</f>
        <v>4.1446301981993221</v>
      </c>
    </row>
    <row r="155" spans="2:7">
      <c r="B155" t="str">
        <f>Trans_Demand!A439</f>
        <v>RESAPALONewDMD</v>
      </c>
      <c r="C155" t="str">
        <f>"DEMAND - "&amp;_xlfn.XLOOKUP(B155,Demand!E:E,Demand!A:A)&amp;" "&amp;_xlfn.XLOOKUP(B155,Demand!E:E,Demand!B:B)&amp;" "&amp;_xlfn.XLOOKUP(B155,Demand!E:E,Demand!C:C)&amp;" "&amp;_xlfn.XLOOKUP(B155,Demand!E:E,Demand!D:D)</f>
        <v>DEMAND - Residential Apartment Low Income New</v>
      </c>
      <c r="D155" t="str">
        <f>_xlfn.XLOOKUP(B155,Trans_Demand!A:A,Trans_Demand!B:B)</f>
        <v>Mm2</v>
      </c>
      <c r="E155" t="s">
        <v>214</v>
      </c>
      <c r="F155">
        <f>Trans_Demand!C439</f>
        <v>2040</v>
      </c>
      <c r="G155" s="11">
        <f>SUMIFS(Trans_Demand!D:D,Trans_Demand!A:A,B155,Trans_Demand!C:C,F155)</f>
        <v>5.4398271351366114</v>
      </c>
    </row>
    <row r="156" spans="2:7">
      <c r="B156" t="str">
        <f>Trans_Demand!A440</f>
        <v>RESAPALONewDMD</v>
      </c>
      <c r="C156" t="str">
        <f>"DEMAND - "&amp;_xlfn.XLOOKUP(B156,Demand!E:E,Demand!A:A)&amp;" "&amp;_xlfn.XLOOKUP(B156,Demand!E:E,Demand!B:B)&amp;" "&amp;_xlfn.XLOOKUP(B156,Demand!E:E,Demand!C:C)&amp;" "&amp;_xlfn.XLOOKUP(B156,Demand!E:E,Demand!D:D)</f>
        <v>DEMAND - Residential Apartment Low Income New</v>
      </c>
      <c r="D156" t="str">
        <f>_xlfn.XLOOKUP(B156,Trans_Demand!A:A,Trans_Demand!B:B)</f>
        <v>Mm2</v>
      </c>
      <c r="E156" t="s">
        <v>214</v>
      </c>
      <c r="F156">
        <f>Trans_Demand!C440</f>
        <v>2045</v>
      </c>
      <c r="G156" s="11">
        <f>SUMIFS(Trans_Demand!D:D,Trans_Demand!A:A,B156,Trans_Demand!C:C,F156)</f>
        <v>6.735024072073899</v>
      </c>
    </row>
    <row r="157" spans="2:7">
      <c r="B157" t="str">
        <f>Trans_Demand!A441</f>
        <v>RESAPALONewDMD</v>
      </c>
      <c r="C157" t="str">
        <f>"DEMAND - "&amp;_xlfn.XLOOKUP(B157,Demand!E:E,Demand!A:A)&amp;" "&amp;_xlfn.XLOOKUP(B157,Demand!E:E,Demand!B:B)&amp;" "&amp;_xlfn.XLOOKUP(B157,Demand!E:E,Demand!C:C)&amp;" "&amp;_xlfn.XLOOKUP(B157,Demand!E:E,Demand!D:D)</f>
        <v>DEMAND - Residential Apartment Low Income New</v>
      </c>
      <c r="D157" t="str">
        <f>_xlfn.XLOOKUP(B157,Trans_Demand!A:A,Trans_Demand!B:B)</f>
        <v>Mm2</v>
      </c>
      <c r="E157" t="s">
        <v>214</v>
      </c>
      <c r="F157">
        <f>Trans_Demand!C441</f>
        <v>2050</v>
      </c>
      <c r="G157" s="11">
        <f>SUMIFS(Trans_Demand!D:D,Trans_Demand!A:A,B157,Trans_Demand!C:C,F157)</f>
        <v>8.0302210090111874</v>
      </c>
    </row>
    <row r="158" spans="2:7">
      <c r="B158" t="str">
        <f>Trans_Demand!A442</f>
        <v>RESAPALONewDMD</v>
      </c>
      <c r="C158" t="str">
        <f>"DEMAND - "&amp;_xlfn.XLOOKUP(B158,Demand!E:E,Demand!A:A)&amp;" "&amp;_xlfn.XLOOKUP(B158,Demand!E:E,Demand!B:B)&amp;" "&amp;_xlfn.XLOOKUP(B158,Demand!E:E,Demand!C:C)&amp;" "&amp;_xlfn.XLOOKUP(B158,Demand!E:E,Demand!D:D)</f>
        <v>DEMAND - Residential Apartment Low Income New</v>
      </c>
      <c r="D158" t="str">
        <f>_xlfn.XLOOKUP(B158,Trans_Demand!A:A,Trans_Demand!B:B)</f>
        <v>Mm2</v>
      </c>
      <c r="E158" t="s">
        <v>214</v>
      </c>
      <c r="F158">
        <f>Trans_Demand!C442</f>
        <v>2055</v>
      </c>
      <c r="G158" s="11">
        <f>SUMIFS(Trans_Demand!D:D,Trans_Demand!A:A,B158,Trans_Demand!C:C,F158)</f>
        <v>9.325417945948475</v>
      </c>
    </row>
    <row r="159" spans="2:7">
      <c r="B159" t="str">
        <f>Trans_Demand!A443</f>
        <v>RESAPALONewDMD</v>
      </c>
      <c r="C159" t="str">
        <f>"DEMAND - "&amp;_xlfn.XLOOKUP(B159,Demand!E:E,Demand!A:A)&amp;" "&amp;_xlfn.XLOOKUP(B159,Demand!E:E,Demand!B:B)&amp;" "&amp;_xlfn.XLOOKUP(B159,Demand!E:E,Demand!C:C)&amp;" "&amp;_xlfn.XLOOKUP(B159,Demand!E:E,Demand!D:D)</f>
        <v>DEMAND - Residential Apartment Low Income New</v>
      </c>
      <c r="D159" t="str">
        <f>_xlfn.XLOOKUP(B159,Trans_Demand!A:A,Trans_Demand!B:B)</f>
        <v>Mm2</v>
      </c>
      <c r="E159" t="s">
        <v>214</v>
      </c>
      <c r="F159">
        <f>Trans_Demand!C443</f>
        <v>2060</v>
      </c>
      <c r="G159" s="11">
        <f>SUMIFS(Trans_Demand!D:D,Trans_Demand!A:A,B159,Trans_Demand!C:C,F159)</f>
        <v>10.620614882885761</v>
      </c>
    </row>
    <row r="160" spans="2:7">
      <c r="B160" t="str">
        <f>Trans_Demand!A444</f>
        <v>RESAPALONewDMD</v>
      </c>
      <c r="C160" t="str">
        <f>"DEMAND - "&amp;_xlfn.XLOOKUP(B160,Demand!E:E,Demand!A:A)&amp;" "&amp;_xlfn.XLOOKUP(B160,Demand!E:E,Demand!B:B)&amp;" "&amp;_xlfn.XLOOKUP(B160,Demand!E:E,Demand!C:C)&amp;" "&amp;_xlfn.XLOOKUP(B160,Demand!E:E,Demand!D:D)</f>
        <v>DEMAND - Residential Apartment Low Income New</v>
      </c>
      <c r="D160" t="str">
        <f>_xlfn.XLOOKUP(B160,Trans_Demand!A:A,Trans_Demand!B:B)</f>
        <v>Mm2</v>
      </c>
      <c r="E160" t="s">
        <v>214</v>
      </c>
      <c r="F160">
        <f>Trans_Demand!C444</f>
        <v>2065</v>
      </c>
      <c r="G160" s="11">
        <f>SUMIFS(Trans_Demand!D:D,Trans_Demand!A:A,B160,Trans_Demand!C:C,F160)</f>
        <v>11.91581181982305</v>
      </c>
    </row>
    <row r="161" spans="2:7">
      <c r="B161" t="str">
        <f>Trans_Demand!A445</f>
        <v>RESAPALONewDMD</v>
      </c>
      <c r="C161" t="str">
        <f>"DEMAND - "&amp;_xlfn.XLOOKUP(B161,Demand!E:E,Demand!A:A)&amp;" "&amp;_xlfn.XLOOKUP(B161,Demand!E:E,Demand!B:B)&amp;" "&amp;_xlfn.XLOOKUP(B161,Demand!E:E,Demand!C:C)&amp;" "&amp;_xlfn.XLOOKUP(B161,Demand!E:E,Demand!D:D)</f>
        <v>DEMAND - Residential Apartment Low Income New</v>
      </c>
      <c r="D161" t="str">
        <f>_xlfn.XLOOKUP(B161,Trans_Demand!A:A,Trans_Demand!B:B)</f>
        <v>Mm2</v>
      </c>
      <c r="E161" t="s">
        <v>214</v>
      </c>
      <c r="F161">
        <f>Trans_Demand!C445</f>
        <v>2070</v>
      </c>
      <c r="G161" s="11">
        <f>SUMIFS(Trans_Demand!D:D,Trans_Demand!A:A,B161,Trans_Demand!C:C,F161)</f>
        <v>13.211008756760339</v>
      </c>
    </row>
    <row r="162" spans="2:7">
      <c r="B162" t="str">
        <f>Trans_Demand!A446</f>
        <v>RESAPALONewDMD</v>
      </c>
      <c r="C162" t="str">
        <f>"DEMAND - "&amp;_xlfn.XLOOKUP(B162,Demand!E:E,Demand!A:A)&amp;" "&amp;_xlfn.XLOOKUP(B162,Demand!E:E,Demand!B:B)&amp;" "&amp;_xlfn.XLOOKUP(B162,Demand!E:E,Demand!C:C)&amp;" "&amp;_xlfn.XLOOKUP(B162,Demand!E:E,Demand!D:D)</f>
        <v>DEMAND - Residential Apartment Low Income New</v>
      </c>
      <c r="D162" t="str">
        <f>_xlfn.XLOOKUP(B162,Trans_Demand!A:A,Trans_Demand!B:B)</f>
        <v>Mm2</v>
      </c>
      <c r="E162" t="s">
        <v>214</v>
      </c>
      <c r="F162">
        <f>Trans_Demand!C446</f>
        <v>2075</v>
      </c>
      <c r="G162" s="11">
        <f>SUMIFS(Trans_Demand!D:D,Trans_Demand!A:A,B162,Trans_Demand!C:C,F162)</f>
        <v>14.50620569369763</v>
      </c>
    </row>
    <row r="163" spans="2:7">
      <c r="B163" t="str">
        <f>Trans_Demand!A447</f>
        <v>RESAPALONewDMD</v>
      </c>
      <c r="C163" t="str">
        <f>"DEMAND - "&amp;_xlfn.XLOOKUP(B163,Demand!E:E,Demand!A:A)&amp;" "&amp;_xlfn.XLOOKUP(B163,Demand!E:E,Demand!B:B)&amp;" "&amp;_xlfn.XLOOKUP(B163,Demand!E:E,Demand!C:C)&amp;" "&amp;_xlfn.XLOOKUP(B163,Demand!E:E,Demand!D:D)</f>
        <v>DEMAND - Residential Apartment Low Income New</v>
      </c>
      <c r="D163" t="str">
        <f>_xlfn.XLOOKUP(B163,Trans_Demand!A:A,Trans_Demand!B:B)</f>
        <v>Mm2</v>
      </c>
      <c r="E163" t="s">
        <v>214</v>
      </c>
      <c r="F163">
        <f>Trans_Demand!C447</f>
        <v>2080</v>
      </c>
      <c r="G163" s="11">
        <f>SUMIFS(Trans_Demand!D:D,Trans_Demand!A:A,B163,Trans_Demand!C:C,F163)</f>
        <v>15.801402630634909</v>
      </c>
    </row>
    <row r="164" spans="2:7">
      <c r="B164" t="str">
        <f>Trans_Demand!A448</f>
        <v>RESAPALONewDMD</v>
      </c>
      <c r="C164" t="str">
        <f>"DEMAND - "&amp;_xlfn.XLOOKUP(B164,Demand!E:E,Demand!A:A)&amp;" "&amp;_xlfn.XLOOKUP(B164,Demand!E:E,Demand!B:B)&amp;" "&amp;_xlfn.XLOOKUP(B164,Demand!E:E,Demand!C:C)&amp;" "&amp;_xlfn.XLOOKUP(B164,Demand!E:E,Demand!D:D)</f>
        <v>DEMAND - Residential Apartment Low Income New</v>
      </c>
      <c r="D164" t="str">
        <f>_xlfn.XLOOKUP(B164,Trans_Demand!A:A,Trans_Demand!B:B)</f>
        <v>Mm2</v>
      </c>
      <c r="E164" t="s">
        <v>214</v>
      </c>
      <c r="F164">
        <f>Trans_Demand!C448</f>
        <v>2085</v>
      </c>
      <c r="G164" s="11">
        <f>SUMIFS(Trans_Demand!D:D,Trans_Demand!A:A,B164,Trans_Demand!C:C,F164)</f>
        <v>17.096599567572198</v>
      </c>
    </row>
    <row r="165" spans="2:7">
      <c r="B165" t="str">
        <f>Trans_Demand!A449</f>
        <v>RESAPALONewDMD</v>
      </c>
      <c r="C165" t="str">
        <f>"DEMAND - "&amp;_xlfn.XLOOKUP(B165,Demand!E:E,Demand!A:A)&amp;" "&amp;_xlfn.XLOOKUP(B165,Demand!E:E,Demand!B:B)&amp;" "&amp;_xlfn.XLOOKUP(B165,Demand!E:E,Demand!C:C)&amp;" "&amp;_xlfn.XLOOKUP(B165,Demand!E:E,Demand!D:D)</f>
        <v>DEMAND - Residential Apartment Low Income New</v>
      </c>
      <c r="D165" t="str">
        <f>_xlfn.XLOOKUP(B165,Trans_Demand!A:A,Trans_Demand!B:B)</f>
        <v>Mm2</v>
      </c>
      <c r="E165" t="s">
        <v>214</v>
      </c>
      <c r="F165">
        <f>Trans_Demand!C449</f>
        <v>2090</v>
      </c>
      <c r="G165" s="11">
        <f>SUMIFS(Trans_Demand!D:D,Trans_Demand!A:A,B165,Trans_Demand!C:C,F165)</f>
        <v>18.39179650450949</v>
      </c>
    </row>
    <row r="166" spans="2:7">
      <c r="B166" t="str">
        <f>Trans_Demand!A450</f>
        <v>RESAPALONewDMD</v>
      </c>
      <c r="C166" t="str">
        <f>"DEMAND - "&amp;_xlfn.XLOOKUP(B166,Demand!E:E,Demand!A:A)&amp;" "&amp;_xlfn.XLOOKUP(B166,Demand!E:E,Demand!B:B)&amp;" "&amp;_xlfn.XLOOKUP(B166,Demand!E:E,Demand!C:C)&amp;" "&amp;_xlfn.XLOOKUP(B166,Demand!E:E,Demand!D:D)</f>
        <v>DEMAND - Residential Apartment Low Income New</v>
      </c>
      <c r="D166" t="str">
        <f>_xlfn.XLOOKUP(B166,Trans_Demand!A:A,Trans_Demand!B:B)</f>
        <v>Mm2</v>
      </c>
      <c r="E166" t="s">
        <v>214</v>
      </c>
      <c r="F166">
        <f>Trans_Demand!C450</f>
        <v>2095</v>
      </c>
      <c r="G166" s="11">
        <f>SUMIFS(Trans_Demand!D:D,Trans_Demand!A:A,B166,Trans_Demand!C:C,F166)</f>
        <v>19.686993441446781</v>
      </c>
    </row>
    <row r="167" spans="2:7">
      <c r="B167" t="str">
        <f>Trans_Demand!A451</f>
        <v>RESAPALONewDMD</v>
      </c>
      <c r="C167" t="str">
        <f>"DEMAND - "&amp;_xlfn.XLOOKUP(B167,Demand!E:E,Demand!A:A)&amp;" "&amp;_xlfn.XLOOKUP(B167,Demand!E:E,Demand!B:B)&amp;" "&amp;_xlfn.XLOOKUP(B167,Demand!E:E,Demand!C:C)&amp;" "&amp;_xlfn.XLOOKUP(B167,Demand!E:E,Demand!D:D)</f>
        <v>DEMAND - Residential Apartment Low Income New</v>
      </c>
      <c r="D167" t="str">
        <f>_xlfn.XLOOKUP(B167,Trans_Demand!A:A,Trans_Demand!B:B)</f>
        <v>Mm2</v>
      </c>
      <c r="E167" t="s">
        <v>214</v>
      </c>
      <c r="F167">
        <f>Trans_Demand!C451</f>
        <v>2100</v>
      </c>
      <c r="G167" s="11">
        <f>SUMIFS(Trans_Demand!D:D,Trans_Demand!A:A,B167,Trans_Demand!C:C,F167)</f>
        <v>20.982190378384061</v>
      </c>
    </row>
    <row r="168" spans="2:7">
      <c r="B168" t="str">
        <f>Trans_Demand!A452</f>
        <v>RESHOULONewDMD</v>
      </c>
      <c r="C168" t="str">
        <f>"DEMAND - "&amp;_xlfn.XLOOKUP(B168,Demand!E:E,Demand!A:A)&amp;" "&amp;_xlfn.XLOOKUP(B168,Demand!E:E,Demand!B:B)&amp;" "&amp;_xlfn.XLOOKUP(B168,Demand!E:E,Demand!C:C)&amp;" "&amp;_xlfn.XLOOKUP(B168,Demand!E:E,Demand!D:D)</f>
        <v>DEMAND - Residential House Low Income New</v>
      </c>
      <c r="D168" t="str">
        <f>_xlfn.XLOOKUP(B168,Trans_Demand!A:A,Trans_Demand!B:B)</f>
        <v>Mm2</v>
      </c>
      <c r="E168" t="s">
        <v>214</v>
      </c>
      <c r="F168">
        <f>Trans_Demand!C452</f>
        <v>2019</v>
      </c>
      <c r="G168" s="11">
        <f>SUMIFS(Trans_Demand!D:D,Trans_Demand!A:A,B168,Trans_Demand!C:C,F168)</f>
        <v>0</v>
      </c>
    </row>
    <row r="169" spans="2:7">
      <c r="B169" t="str">
        <f>Trans_Demand!A453</f>
        <v>RESHOULONewDMD</v>
      </c>
      <c r="C169" t="str">
        <f>"DEMAND - "&amp;_xlfn.XLOOKUP(B169,Demand!E:E,Demand!A:A)&amp;" "&amp;_xlfn.XLOOKUP(B169,Demand!E:E,Demand!B:B)&amp;" "&amp;_xlfn.XLOOKUP(B169,Demand!E:E,Demand!C:C)&amp;" "&amp;_xlfn.XLOOKUP(B169,Demand!E:E,Demand!D:D)</f>
        <v>DEMAND - Residential House Low Income New</v>
      </c>
      <c r="D169" t="str">
        <f>_xlfn.XLOOKUP(B169,Trans_Demand!A:A,Trans_Demand!B:B)</f>
        <v>Mm2</v>
      </c>
      <c r="E169" t="s">
        <v>214</v>
      </c>
      <c r="F169">
        <f>Trans_Demand!C453</f>
        <v>2020</v>
      </c>
      <c r="G169" s="11">
        <f>SUMIFS(Trans_Demand!D:D,Trans_Demand!A:A,B169,Trans_Demand!C:C,F169)</f>
        <v>7.4783990074941589E-2</v>
      </c>
    </row>
    <row r="170" spans="2:7">
      <c r="B170" t="str">
        <f>Trans_Demand!A454</f>
        <v>RESHOULONewDMD</v>
      </c>
      <c r="C170" t="str">
        <f>"DEMAND - "&amp;_xlfn.XLOOKUP(B170,Demand!E:E,Demand!A:A)&amp;" "&amp;_xlfn.XLOOKUP(B170,Demand!E:E,Demand!B:B)&amp;" "&amp;_xlfn.XLOOKUP(B170,Demand!E:E,Demand!C:C)&amp;" "&amp;_xlfn.XLOOKUP(B170,Demand!E:E,Demand!D:D)</f>
        <v>DEMAND - Residential House Low Income New</v>
      </c>
      <c r="D170" t="str">
        <f>_xlfn.XLOOKUP(B170,Trans_Demand!A:A,Trans_Demand!B:B)</f>
        <v>Mm2</v>
      </c>
      <c r="E170" t="s">
        <v>214</v>
      </c>
      <c r="F170">
        <f>Trans_Demand!C454</f>
        <v>2025</v>
      </c>
      <c r="G170" s="11">
        <f>SUMIFS(Trans_Demand!D:D,Trans_Demand!A:A,B170,Trans_Demand!C:C,F170)</f>
        <v>0.44870394044964951</v>
      </c>
    </row>
    <row r="171" spans="2:7">
      <c r="B171" t="str">
        <f>Trans_Demand!A455</f>
        <v>RESHOULONewDMD</v>
      </c>
      <c r="C171" t="str">
        <f>"DEMAND - "&amp;_xlfn.XLOOKUP(B171,Demand!E:E,Demand!A:A)&amp;" "&amp;_xlfn.XLOOKUP(B171,Demand!E:E,Demand!B:B)&amp;" "&amp;_xlfn.XLOOKUP(B171,Demand!E:E,Demand!C:C)&amp;" "&amp;_xlfn.XLOOKUP(B171,Demand!E:E,Demand!D:D)</f>
        <v>DEMAND - Residential House Low Income New</v>
      </c>
      <c r="D171" t="str">
        <f>_xlfn.XLOOKUP(B171,Trans_Demand!A:A,Trans_Demand!B:B)</f>
        <v>Mm2</v>
      </c>
      <c r="E171" t="s">
        <v>214</v>
      </c>
      <c r="F171">
        <f>Trans_Demand!C455</f>
        <v>2030</v>
      </c>
      <c r="G171" s="11">
        <f>SUMIFS(Trans_Demand!D:D,Trans_Demand!A:A,B171,Trans_Demand!C:C,F171)</f>
        <v>0.8226238908243575</v>
      </c>
    </row>
    <row r="172" spans="2:7">
      <c r="B172" t="str">
        <f>Trans_Demand!A456</f>
        <v>RESHOULONewDMD</v>
      </c>
      <c r="C172" t="str">
        <f>"DEMAND - "&amp;_xlfn.XLOOKUP(B172,Demand!E:E,Demand!A:A)&amp;" "&amp;_xlfn.XLOOKUP(B172,Demand!E:E,Demand!B:B)&amp;" "&amp;_xlfn.XLOOKUP(B172,Demand!E:E,Demand!C:C)&amp;" "&amp;_xlfn.XLOOKUP(B172,Demand!E:E,Demand!D:D)</f>
        <v>DEMAND - Residential House Low Income New</v>
      </c>
      <c r="D172" t="str">
        <f>_xlfn.XLOOKUP(B172,Trans_Demand!A:A,Trans_Demand!B:B)</f>
        <v>Mm2</v>
      </c>
      <c r="E172" t="s">
        <v>214</v>
      </c>
      <c r="F172">
        <f>Trans_Demand!C456</f>
        <v>2035</v>
      </c>
      <c r="G172" s="11">
        <f>SUMIFS(Trans_Demand!D:D,Trans_Demand!A:A,B172,Trans_Demand!C:C,F172)</f>
        <v>1.196543841199065</v>
      </c>
    </row>
    <row r="173" spans="2:7">
      <c r="B173" t="str">
        <f>Trans_Demand!A457</f>
        <v>RESHOULONewDMD</v>
      </c>
      <c r="C173" t="str">
        <f>"DEMAND - "&amp;_xlfn.XLOOKUP(B173,Demand!E:E,Demand!A:A)&amp;" "&amp;_xlfn.XLOOKUP(B173,Demand!E:E,Demand!B:B)&amp;" "&amp;_xlfn.XLOOKUP(B173,Demand!E:E,Demand!C:C)&amp;" "&amp;_xlfn.XLOOKUP(B173,Demand!E:E,Demand!D:D)</f>
        <v>DEMAND - Residential House Low Income New</v>
      </c>
      <c r="D173" t="str">
        <f>_xlfn.XLOOKUP(B173,Trans_Demand!A:A,Trans_Demand!B:B)</f>
        <v>Mm2</v>
      </c>
      <c r="E173" t="s">
        <v>214</v>
      </c>
      <c r="F173">
        <f>Trans_Demand!C457</f>
        <v>2040</v>
      </c>
      <c r="G173" s="11">
        <f>SUMIFS(Trans_Demand!D:D,Trans_Demand!A:A,B173,Trans_Demand!C:C,F173)</f>
        <v>1.5704637915737729</v>
      </c>
    </row>
    <row r="174" spans="2:7">
      <c r="B174" t="str">
        <f>Trans_Demand!A458</f>
        <v>RESHOULONewDMD</v>
      </c>
      <c r="C174" t="str">
        <f>"DEMAND - "&amp;_xlfn.XLOOKUP(B174,Demand!E:E,Demand!A:A)&amp;" "&amp;_xlfn.XLOOKUP(B174,Demand!E:E,Demand!B:B)&amp;" "&amp;_xlfn.XLOOKUP(B174,Demand!E:E,Demand!C:C)&amp;" "&amp;_xlfn.XLOOKUP(B174,Demand!E:E,Demand!D:D)</f>
        <v>DEMAND - Residential House Low Income New</v>
      </c>
      <c r="D174" t="str">
        <f>_xlfn.XLOOKUP(B174,Trans_Demand!A:A,Trans_Demand!B:B)</f>
        <v>Mm2</v>
      </c>
      <c r="E174" t="s">
        <v>214</v>
      </c>
      <c r="F174">
        <f>Trans_Demand!C458</f>
        <v>2045</v>
      </c>
      <c r="G174" s="11">
        <f>SUMIFS(Trans_Demand!D:D,Trans_Demand!A:A,B174,Trans_Demand!C:C,F174)</f>
        <v>1.9443837419484811</v>
      </c>
    </row>
    <row r="175" spans="2:7">
      <c r="B175" t="str">
        <f>Trans_Demand!A459</f>
        <v>RESHOULONewDMD</v>
      </c>
      <c r="C175" t="str">
        <f>"DEMAND - "&amp;_xlfn.XLOOKUP(B175,Demand!E:E,Demand!A:A)&amp;" "&amp;_xlfn.XLOOKUP(B175,Demand!E:E,Demand!B:B)&amp;" "&amp;_xlfn.XLOOKUP(B175,Demand!E:E,Demand!C:C)&amp;" "&amp;_xlfn.XLOOKUP(B175,Demand!E:E,Demand!D:D)</f>
        <v>DEMAND - Residential House Low Income New</v>
      </c>
      <c r="D175" t="str">
        <f>_xlfn.XLOOKUP(B175,Trans_Demand!A:A,Trans_Demand!B:B)</f>
        <v>Mm2</v>
      </c>
      <c r="E175" t="s">
        <v>214</v>
      </c>
      <c r="F175">
        <f>Trans_Demand!C459</f>
        <v>2050</v>
      </c>
      <c r="G175" s="11">
        <f>SUMIFS(Trans_Demand!D:D,Trans_Demand!A:A,B175,Trans_Demand!C:C,F175)</f>
        <v>2.3183036923231888</v>
      </c>
    </row>
    <row r="176" spans="2:7">
      <c r="B176" t="str">
        <f>Trans_Demand!A460</f>
        <v>RESHOULONewDMD</v>
      </c>
      <c r="C176" t="str">
        <f>"DEMAND - "&amp;_xlfn.XLOOKUP(B176,Demand!E:E,Demand!A:A)&amp;" "&amp;_xlfn.XLOOKUP(B176,Demand!E:E,Demand!B:B)&amp;" "&amp;_xlfn.XLOOKUP(B176,Demand!E:E,Demand!C:C)&amp;" "&amp;_xlfn.XLOOKUP(B176,Demand!E:E,Demand!D:D)</f>
        <v>DEMAND - Residential House Low Income New</v>
      </c>
      <c r="D176" t="str">
        <f>_xlfn.XLOOKUP(B176,Trans_Demand!A:A,Trans_Demand!B:B)</f>
        <v>Mm2</v>
      </c>
      <c r="E176" t="s">
        <v>214</v>
      </c>
      <c r="F176">
        <f>Trans_Demand!C460</f>
        <v>2055</v>
      </c>
      <c r="G176" s="11">
        <f>SUMIFS(Trans_Demand!D:D,Trans_Demand!A:A,B176,Trans_Demand!C:C,F176)</f>
        <v>2.6922236426978969</v>
      </c>
    </row>
    <row r="177" spans="2:7">
      <c r="B177" t="str">
        <f>Trans_Demand!A461</f>
        <v>RESHOULONewDMD</v>
      </c>
      <c r="C177" t="str">
        <f>"DEMAND - "&amp;_xlfn.XLOOKUP(B177,Demand!E:E,Demand!A:A)&amp;" "&amp;_xlfn.XLOOKUP(B177,Demand!E:E,Demand!B:B)&amp;" "&amp;_xlfn.XLOOKUP(B177,Demand!E:E,Demand!C:C)&amp;" "&amp;_xlfn.XLOOKUP(B177,Demand!E:E,Demand!D:D)</f>
        <v>DEMAND - Residential House Low Income New</v>
      </c>
      <c r="D177" t="str">
        <f>_xlfn.XLOOKUP(B177,Trans_Demand!A:A,Trans_Demand!B:B)</f>
        <v>Mm2</v>
      </c>
      <c r="E177" t="s">
        <v>214</v>
      </c>
      <c r="F177">
        <f>Trans_Demand!C461</f>
        <v>2060</v>
      </c>
      <c r="G177" s="11">
        <f>SUMIFS(Trans_Demand!D:D,Trans_Demand!A:A,B177,Trans_Demand!C:C,F177)</f>
        <v>3.0661435930726051</v>
      </c>
    </row>
    <row r="178" spans="2:7">
      <c r="B178" t="str">
        <f>Trans_Demand!A462</f>
        <v>RESHOULONewDMD</v>
      </c>
      <c r="C178" t="str">
        <f>"DEMAND - "&amp;_xlfn.XLOOKUP(B178,Demand!E:E,Demand!A:A)&amp;" "&amp;_xlfn.XLOOKUP(B178,Demand!E:E,Demand!B:B)&amp;" "&amp;_xlfn.XLOOKUP(B178,Demand!E:E,Demand!C:C)&amp;" "&amp;_xlfn.XLOOKUP(B178,Demand!E:E,Demand!D:D)</f>
        <v>DEMAND - Residential House Low Income New</v>
      </c>
      <c r="D178" t="str">
        <f>_xlfn.XLOOKUP(B178,Trans_Demand!A:A,Trans_Demand!B:B)</f>
        <v>Mm2</v>
      </c>
      <c r="E178" t="s">
        <v>214</v>
      </c>
      <c r="F178">
        <f>Trans_Demand!C462</f>
        <v>2065</v>
      </c>
      <c r="G178" s="11">
        <f>SUMIFS(Trans_Demand!D:D,Trans_Demand!A:A,B178,Trans_Demand!C:C,F178)</f>
        <v>3.4400635434473119</v>
      </c>
    </row>
    <row r="179" spans="2:7">
      <c r="B179" t="str">
        <f>Trans_Demand!A463</f>
        <v>RESHOULONewDMD</v>
      </c>
      <c r="C179" t="str">
        <f>"DEMAND - "&amp;_xlfn.XLOOKUP(B179,Demand!E:E,Demand!A:A)&amp;" "&amp;_xlfn.XLOOKUP(B179,Demand!E:E,Demand!B:B)&amp;" "&amp;_xlfn.XLOOKUP(B179,Demand!E:E,Demand!C:C)&amp;" "&amp;_xlfn.XLOOKUP(B179,Demand!E:E,Demand!D:D)</f>
        <v>DEMAND - Residential House Low Income New</v>
      </c>
      <c r="D179" t="str">
        <f>_xlfn.XLOOKUP(B179,Trans_Demand!A:A,Trans_Demand!B:B)</f>
        <v>Mm2</v>
      </c>
      <c r="E179" t="s">
        <v>214</v>
      </c>
      <c r="F179">
        <f>Trans_Demand!C463</f>
        <v>2070</v>
      </c>
      <c r="G179" s="11">
        <f>SUMIFS(Trans_Demand!D:D,Trans_Demand!A:A,B179,Trans_Demand!C:C,F179)</f>
        <v>3.8139834938220201</v>
      </c>
    </row>
    <row r="180" spans="2:7">
      <c r="B180" t="str">
        <f>Trans_Demand!A464</f>
        <v>RESHOULONewDMD</v>
      </c>
      <c r="C180" t="str">
        <f>"DEMAND - "&amp;_xlfn.XLOOKUP(B180,Demand!E:E,Demand!A:A)&amp;" "&amp;_xlfn.XLOOKUP(B180,Demand!E:E,Demand!B:B)&amp;" "&amp;_xlfn.XLOOKUP(B180,Demand!E:E,Demand!C:C)&amp;" "&amp;_xlfn.XLOOKUP(B180,Demand!E:E,Demand!D:D)</f>
        <v>DEMAND - Residential House Low Income New</v>
      </c>
      <c r="D180" t="str">
        <f>_xlfn.XLOOKUP(B180,Trans_Demand!A:A,Trans_Demand!B:B)</f>
        <v>Mm2</v>
      </c>
      <c r="E180" t="s">
        <v>214</v>
      </c>
      <c r="F180">
        <f>Trans_Demand!C464</f>
        <v>2075</v>
      </c>
      <c r="G180" s="11">
        <f>SUMIFS(Trans_Demand!D:D,Trans_Demand!A:A,B180,Trans_Demand!C:C,F180)</f>
        <v>4.1879034441967278</v>
      </c>
    </row>
    <row r="181" spans="2:7">
      <c r="B181" t="str">
        <f>Trans_Demand!A465</f>
        <v>RESHOULONewDMD</v>
      </c>
      <c r="C181" t="str">
        <f>"DEMAND - "&amp;_xlfn.XLOOKUP(B181,Demand!E:E,Demand!A:A)&amp;" "&amp;_xlfn.XLOOKUP(B181,Demand!E:E,Demand!B:B)&amp;" "&amp;_xlfn.XLOOKUP(B181,Demand!E:E,Demand!C:C)&amp;" "&amp;_xlfn.XLOOKUP(B181,Demand!E:E,Demand!D:D)</f>
        <v>DEMAND - Residential House Low Income New</v>
      </c>
      <c r="D181" t="str">
        <f>_xlfn.XLOOKUP(B181,Trans_Demand!A:A,Trans_Demand!B:B)</f>
        <v>Mm2</v>
      </c>
      <c r="E181" t="s">
        <v>214</v>
      </c>
      <c r="F181">
        <f>Trans_Demand!C465</f>
        <v>2080</v>
      </c>
      <c r="G181" s="11">
        <f>SUMIFS(Trans_Demand!D:D,Trans_Demand!A:A,B181,Trans_Demand!C:C,F181)</f>
        <v>4.5618233945714346</v>
      </c>
    </row>
    <row r="182" spans="2:7">
      <c r="B182" t="str">
        <f>Trans_Demand!A466</f>
        <v>RESHOULONewDMD</v>
      </c>
      <c r="C182" t="str">
        <f>"DEMAND - "&amp;_xlfn.XLOOKUP(B182,Demand!E:E,Demand!A:A)&amp;" "&amp;_xlfn.XLOOKUP(B182,Demand!E:E,Demand!B:B)&amp;" "&amp;_xlfn.XLOOKUP(B182,Demand!E:E,Demand!C:C)&amp;" "&amp;_xlfn.XLOOKUP(B182,Demand!E:E,Demand!D:D)</f>
        <v>DEMAND - Residential House Low Income New</v>
      </c>
      <c r="D182" t="str">
        <f>_xlfn.XLOOKUP(B182,Trans_Demand!A:A,Trans_Demand!B:B)</f>
        <v>Mm2</v>
      </c>
      <c r="E182" t="s">
        <v>214</v>
      </c>
      <c r="F182">
        <f>Trans_Demand!C466</f>
        <v>2085</v>
      </c>
      <c r="G182" s="11">
        <f>SUMIFS(Trans_Demand!D:D,Trans_Demand!A:A,B182,Trans_Demand!C:C,F182)</f>
        <v>4.9357433449461432</v>
      </c>
    </row>
    <row r="183" spans="2:7">
      <c r="B183" t="str">
        <f>Trans_Demand!A467</f>
        <v>RESHOULONewDMD</v>
      </c>
      <c r="C183" t="str">
        <f>"DEMAND - "&amp;_xlfn.XLOOKUP(B183,Demand!E:E,Demand!A:A)&amp;" "&amp;_xlfn.XLOOKUP(B183,Demand!E:E,Demand!B:B)&amp;" "&amp;_xlfn.XLOOKUP(B183,Demand!E:E,Demand!C:C)&amp;" "&amp;_xlfn.XLOOKUP(B183,Demand!E:E,Demand!D:D)</f>
        <v>DEMAND - Residential House Low Income New</v>
      </c>
      <c r="D183" t="str">
        <f>_xlfn.XLOOKUP(B183,Trans_Demand!A:A,Trans_Demand!B:B)</f>
        <v>Mm2</v>
      </c>
      <c r="E183" t="s">
        <v>214</v>
      </c>
      <c r="F183">
        <f>Trans_Demand!C467</f>
        <v>2090</v>
      </c>
      <c r="G183" s="11">
        <f>SUMIFS(Trans_Demand!D:D,Trans_Demand!A:A,B183,Trans_Demand!C:C,F183)</f>
        <v>5.3096632953208509</v>
      </c>
    </row>
    <row r="184" spans="2:7">
      <c r="B184" t="str">
        <f>Trans_Demand!A468</f>
        <v>RESHOULONewDMD</v>
      </c>
      <c r="C184" t="str">
        <f>"DEMAND - "&amp;_xlfn.XLOOKUP(B184,Demand!E:E,Demand!A:A)&amp;" "&amp;_xlfn.XLOOKUP(B184,Demand!E:E,Demand!B:B)&amp;" "&amp;_xlfn.XLOOKUP(B184,Demand!E:E,Demand!C:C)&amp;" "&amp;_xlfn.XLOOKUP(B184,Demand!E:E,Demand!D:D)</f>
        <v>DEMAND - Residential House Low Income New</v>
      </c>
      <c r="D184" t="str">
        <f>_xlfn.XLOOKUP(B184,Trans_Demand!A:A,Trans_Demand!B:B)</f>
        <v>Mm2</v>
      </c>
      <c r="E184" t="s">
        <v>214</v>
      </c>
      <c r="F184">
        <f>Trans_Demand!C468</f>
        <v>2095</v>
      </c>
      <c r="G184" s="11">
        <f>SUMIFS(Trans_Demand!D:D,Trans_Demand!A:A,B184,Trans_Demand!C:C,F184)</f>
        <v>5.6835832456955586</v>
      </c>
    </row>
    <row r="185" spans="2:7">
      <c r="B185" t="str">
        <f>Trans_Demand!A469</f>
        <v>RESHOULONewDMD</v>
      </c>
      <c r="C185" t="str">
        <f>"DEMAND - "&amp;_xlfn.XLOOKUP(B185,Demand!E:E,Demand!A:A)&amp;" "&amp;_xlfn.XLOOKUP(B185,Demand!E:E,Demand!B:B)&amp;" "&amp;_xlfn.XLOOKUP(B185,Demand!E:E,Demand!C:C)&amp;" "&amp;_xlfn.XLOOKUP(B185,Demand!E:E,Demand!D:D)</f>
        <v>DEMAND - Residential House Low Income New</v>
      </c>
      <c r="D185" t="str">
        <f>_xlfn.XLOOKUP(B185,Trans_Demand!A:A,Trans_Demand!B:B)</f>
        <v>Mm2</v>
      </c>
      <c r="E185" t="s">
        <v>214</v>
      </c>
      <c r="F185">
        <f>Trans_Demand!C469</f>
        <v>2100</v>
      </c>
      <c r="G185" s="11">
        <f>SUMIFS(Trans_Demand!D:D,Trans_Demand!A:A,B185,Trans_Demand!C:C,F185)</f>
        <v>6.0575031960702663</v>
      </c>
    </row>
    <row r="186" spans="2:7">
      <c r="B186" t="str">
        <f>Trans_Demand!A470</f>
        <v>RESAPALMNewDMD</v>
      </c>
      <c r="C186" t="str">
        <f>"DEMAND - "&amp;_xlfn.XLOOKUP(B186,Demand!E:E,Demand!A:A)&amp;" "&amp;_xlfn.XLOOKUP(B186,Demand!E:E,Demand!B:B)&amp;" "&amp;_xlfn.XLOOKUP(B186,Demand!E:E,Demand!C:C)&amp;" "&amp;_xlfn.XLOOKUP(B186,Demand!E:E,Demand!D:D)</f>
        <v>DEMAND - Residential Apartment Lower-Middle Income New</v>
      </c>
      <c r="D186" t="str">
        <f>_xlfn.XLOOKUP(B186,Trans_Demand!A:A,Trans_Demand!B:B)</f>
        <v>Mm2</v>
      </c>
      <c r="E186" t="s">
        <v>214</v>
      </c>
      <c r="F186">
        <f>Trans_Demand!C470</f>
        <v>2019</v>
      </c>
      <c r="G186" s="11">
        <f>SUMIFS(Trans_Demand!D:D,Trans_Demand!A:A,B186,Trans_Demand!C:C,F186)</f>
        <v>0</v>
      </c>
    </row>
    <row r="187" spans="2:7">
      <c r="B187" t="str">
        <f>Trans_Demand!A471</f>
        <v>RESAPALMNewDMD</v>
      </c>
      <c r="C187" t="str">
        <f>"DEMAND - "&amp;_xlfn.XLOOKUP(B187,Demand!E:E,Demand!A:A)&amp;" "&amp;_xlfn.XLOOKUP(B187,Demand!E:E,Demand!B:B)&amp;" "&amp;_xlfn.XLOOKUP(B187,Demand!E:E,Demand!C:C)&amp;" "&amp;_xlfn.XLOOKUP(B187,Demand!E:E,Demand!D:D)</f>
        <v>DEMAND - Residential Apartment Lower-Middle Income New</v>
      </c>
      <c r="D187" t="str">
        <f>_xlfn.XLOOKUP(B187,Trans_Demand!A:A,Trans_Demand!B:B)</f>
        <v>Mm2</v>
      </c>
      <c r="E187" t="s">
        <v>214</v>
      </c>
      <c r="F187">
        <f>Trans_Demand!C471</f>
        <v>2020</v>
      </c>
      <c r="G187" s="11">
        <f>SUMIFS(Trans_Demand!D:D,Trans_Demand!A:A,B187,Trans_Demand!C:C,F187)</f>
        <v>0.28560988167920698</v>
      </c>
    </row>
    <row r="188" spans="2:7">
      <c r="B188" t="str">
        <f>Trans_Demand!A472</f>
        <v>RESAPALMNewDMD</v>
      </c>
      <c r="C188" t="str">
        <f>"DEMAND - "&amp;_xlfn.XLOOKUP(B188,Demand!E:E,Demand!A:A)&amp;" "&amp;_xlfn.XLOOKUP(B188,Demand!E:E,Demand!B:B)&amp;" "&amp;_xlfn.XLOOKUP(B188,Demand!E:E,Demand!C:C)&amp;" "&amp;_xlfn.XLOOKUP(B188,Demand!E:E,Demand!D:D)</f>
        <v>DEMAND - Residential Apartment Lower-Middle Income New</v>
      </c>
      <c r="D188" t="str">
        <f>_xlfn.XLOOKUP(B188,Trans_Demand!A:A,Trans_Demand!B:B)</f>
        <v>Mm2</v>
      </c>
      <c r="E188" t="s">
        <v>214</v>
      </c>
      <c r="F188">
        <f>Trans_Demand!C472</f>
        <v>2025</v>
      </c>
      <c r="G188" s="11">
        <f>SUMIFS(Trans_Demand!D:D,Trans_Demand!A:A,B188,Trans_Demand!C:C,F188)</f>
        <v>1.7136592900752421</v>
      </c>
    </row>
    <row r="189" spans="2:7">
      <c r="B189" t="str">
        <f>Trans_Demand!A473</f>
        <v>RESAPALMNewDMD</v>
      </c>
      <c r="C189" t="str">
        <f>"DEMAND - "&amp;_xlfn.XLOOKUP(B189,Demand!E:E,Demand!A:A)&amp;" "&amp;_xlfn.XLOOKUP(B189,Demand!E:E,Demand!B:B)&amp;" "&amp;_xlfn.XLOOKUP(B189,Demand!E:E,Demand!C:C)&amp;" "&amp;_xlfn.XLOOKUP(B189,Demand!E:E,Demand!D:D)</f>
        <v>DEMAND - Residential Apartment Lower-Middle Income New</v>
      </c>
      <c r="D189" t="str">
        <f>_xlfn.XLOOKUP(B189,Trans_Demand!A:A,Trans_Demand!B:B)</f>
        <v>Mm2</v>
      </c>
      <c r="E189" t="s">
        <v>214</v>
      </c>
      <c r="F189">
        <f>Trans_Demand!C473</f>
        <v>2030</v>
      </c>
      <c r="G189" s="11">
        <f>SUMIFS(Trans_Demand!D:D,Trans_Demand!A:A,B189,Trans_Demand!C:C,F189)</f>
        <v>3.1417086984712772</v>
      </c>
    </row>
    <row r="190" spans="2:7">
      <c r="B190" t="str">
        <f>Trans_Demand!A474</f>
        <v>RESAPALMNewDMD</v>
      </c>
      <c r="C190" t="str">
        <f>"DEMAND - "&amp;_xlfn.XLOOKUP(B190,Demand!E:E,Demand!A:A)&amp;" "&amp;_xlfn.XLOOKUP(B190,Demand!E:E,Demand!B:B)&amp;" "&amp;_xlfn.XLOOKUP(B190,Demand!E:E,Demand!C:C)&amp;" "&amp;_xlfn.XLOOKUP(B190,Demand!E:E,Demand!D:D)</f>
        <v>DEMAND - Residential Apartment Lower-Middle Income New</v>
      </c>
      <c r="D190" t="str">
        <f>_xlfn.XLOOKUP(B190,Trans_Demand!A:A,Trans_Demand!B:B)</f>
        <v>Mm2</v>
      </c>
      <c r="E190" t="s">
        <v>214</v>
      </c>
      <c r="F190">
        <f>Trans_Demand!C474</f>
        <v>2035</v>
      </c>
      <c r="G190" s="11">
        <f>SUMIFS(Trans_Demand!D:D,Trans_Demand!A:A,B190,Trans_Demand!C:C,F190)</f>
        <v>4.5697581068673134</v>
      </c>
    </row>
    <row r="191" spans="2:7">
      <c r="B191" t="str">
        <f>Trans_Demand!A475</f>
        <v>RESAPALMNewDMD</v>
      </c>
      <c r="C191" t="str">
        <f>"DEMAND - "&amp;_xlfn.XLOOKUP(B191,Demand!E:E,Demand!A:A)&amp;" "&amp;_xlfn.XLOOKUP(B191,Demand!E:E,Demand!B:B)&amp;" "&amp;_xlfn.XLOOKUP(B191,Demand!E:E,Demand!C:C)&amp;" "&amp;_xlfn.XLOOKUP(B191,Demand!E:E,Demand!D:D)</f>
        <v>DEMAND - Residential Apartment Lower-Middle Income New</v>
      </c>
      <c r="D191" t="str">
        <f>_xlfn.XLOOKUP(B191,Trans_Demand!A:A,Trans_Demand!B:B)</f>
        <v>Mm2</v>
      </c>
      <c r="E191" t="s">
        <v>214</v>
      </c>
      <c r="F191">
        <f>Trans_Demand!C475</f>
        <v>2040</v>
      </c>
      <c r="G191" s="11">
        <f>SUMIFS(Trans_Demand!D:D,Trans_Demand!A:A,B191,Trans_Demand!C:C,F191)</f>
        <v>5.9978075152633474</v>
      </c>
    </row>
    <row r="192" spans="2:7">
      <c r="B192" t="str">
        <f>Trans_Demand!A476</f>
        <v>RESAPALMNewDMD</v>
      </c>
      <c r="C192" t="str">
        <f>"DEMAND - "&amp;_xlfn.XLOOKUP(B192,Demand!E:E,Demand!A:A)&amp;" "&amp;_xlfn.XLOOKUP(B192,Demand!E:E,Demand!B:B)&amp;" "&amp;_xlfn.XLOOKUP(B192,Demand!E:E,Demand!C:C)&amp;" "&amp;_xlfn.XLOOKUP(B192,Demand!E:E,Demand!D:D)</f>
        <v>DEMAND - Residential Apartment Lower-Middle Income New</v>
      </c>
      <c r="D192" t="str">
        <f>_xlfn.XLOOKUP(B192,Trans_Demand!A:A,Trans_Demand!B:B)</f>
        <v>Mm2</v>
      </c>
      <c r="E192" t="s">
        <v>214</v>
      </c>
      <c r="F192">
        <f>Trans_Demand!C476</f>
        <v>2045</v>
      </c>
      <c r="G192" s="11">
        <f>SUMIFS(Trans_Demand!D:D,Trans_Demand!A:A,B192,Trans_Demand!C:C,F192)</f>
        <v>7.4258569236593823</v>
      </c>
    </row>
    <row r="193" spans="2:7">
      <c r="B193" t="str">
        <f>Trans_Demand!A477</f>
        <v>RESAPALMNewDMD</v>
      </c>
      <c r="C193" t="str">
        <f>"DEMAND - "&amp;_xlfn.XLOOKUP(B193,Demand!E:E,Demand!A:A)&amp;" "&amp;_xlfn.XLOOKUP(B193,Demand!E:E,Demand!B:B)&amp;" "&amp;_xlfn.XLOOKUP(B193,Demand!E:E,Demand!C:C)&amp;" "&amp;_xlfn.XLOOKUP(B193,Demand!E:E,Demand!D:D)</f>
        <v>DEMAND - Residential Apartment Lower-Middle Income New</v>
      </c>
      <c r="D193" t="str">
        <f>_xlfn.XLOOKUP(B193,Trans_Demand!A:A,Trans_Demand!B:B)</f>
        <v>Mm2</v>
      </c>
      <c r="E193" t="s">
        <v>214</v>
      </c>
      <c r="F193">
        <f>Trans_Demand!C477</f>
        <v>2050</v>
      </c>
      <c r="G193" s="11">
        <f>SUMIFS(Trans_Demand!D:D,Trans_Demand!A:A,B193,Trans_Demand!C:C,F193)</f>
        <v>8.8539063320554181</v>
      </c>
    </row>
    <row r="194" spans="2:7">
      <c r="B194" t="str">
        <f>Trans_Demand!A478</f>
        <v>RESAPALMNewDMD</v>
      </c>
      <c r="C194" t="str">
        <f>"DEMAND - "&amp;_xlfn.XLOOKUP(B194,Demand!E:E,Demand!A:A)&amp;" "&amp;_xlfn.XLOOKUP(B194,Demand!E:E,Demand!B:B)&amp;" "&amp;_xlfn.XLOOKUP(B194,Demand!E:E,Demand!C:C)&amp;" "&amp;_xlfn.XLOOKUP(B194,Demand!E:E,Demand!D:D)</f>
        <v>DEMAND - Residential Apartment Lower-Middle Income New</v>
      </c>
      <c r="D194" t="str">
        <f>_xlfn.XLOOKUP(B194,Trans_Demand!A:A,Trans_Demand!B:B)</f>
        <v>Mm2</v>
      </c>
      <c r="E194" t="s">
        <v>214</v>
      </c>
      <c r="F194">
        <f>Trans_Demand!C478</f>
        <v>2055</v>
      </c>
      <c r="G194" s="11">
        <f>SUMIFS(Trans_Demand!D:D,Trans_Demand!A:A,B194,Trans_Demand!C:C,F194)</f>
        <v>10.281955740451449</v>
      </c>
    </row>
    <row r="195" spans="2:7">
      <c r="B195" t="str">
        <f>Trans_Demand!A479</f>
        <v>RESAPALMNewDMD</v>
      </c>
      <c r="C195" t="str">
        <f>"DEMAND - "&amp;_xlfn.XLOOKUP(B195,Demand!E:E,Demand!A:A)&amp;" "&amp;_xlfn.XLOOKUP(B195,Demand!E:E,Demand!B:B)&amp;" "&amp;_xlfn.XLOOKUP(B195,Demand!E:E,Demand!C:C)&amp;" "&amp;_xlfn.XLOOKUP(B195,Demand!E:E,Demand!D:D)</f>
        <v>DEMAND - Residential Apartment Lower-Middle Income New</v>
      </c>
      <c r="D195" t="str">
        <f>_xlfn.XLOOKUP(B195,Trans_Demand!A:A,Trans_Demand!B:B)</f>
        <v>Mm2</v>
      </c>
      <c r="E195" t="s">
        <v>214</v>
      </c>
      <c r="F195">
        <f>Trans_Demand!C479</f>
        <v>2060</v>
      </c>
      <c r="G195" s="11">
        <f>SUMIFS(Trans_Demand!D:D,Trans_Demand!A:A,B195,Trans_Demand!C:C,F195)</f>
        <v>11.71000514884749</v>
      </c>
    </row>
    <row r="196" spans="2:7">
      <c r="B196" t="str">
        <f>Trans_Demand!A480</f>
        <v>RESAPALMNewDMD</v>
      </c>
      <c r="C196" t="str">
        <f>"DEMAND - "&amp;_xlfn.XLOOKUP(B196,Demand!E:E,Demand!A:A)&amp;" "&amp;_xlfn.XLOOKUP(B196,Demand!E:E,Demand!B:B)&amp;" "&amp;_xlfn.XLOOKUP(B196,Demand!E:E,Demand!C:C)&amp;" "&amp;_xlfn.XLOOKUP(B196,Demand!E:E,Demand!D:D)</f>
        <v>DEMAND - Residential Apartment Lower-Middle Income New</v>
      </c>
      <c r="D196" t="str">
        <f>_xlfn.XLOOKUP(B196,Trans_Demand!A:A,Trans_Demand!B:B)</f>
        <v>Mm2</v>
      </c>
      <c r="E196" t="s">
        <v>214</v>
      </c>
      <c r="F196">
        <f>Trans_Demand!C480</f>
        <v>2065</v>
      </c>
      <c r="G196" s="11">
        <f>SUMIFS(Trans_Demand!D:D,Trans_Demand!A:A,B196,Trans_Demand!C:C,F196)</f>
        <v>13.138054557243519</v>
      </c>
    </row>
    <row r="197" spans="2:7">
      <c r="B197" t="str">
        <f>Trans_Demand!A481</f>
        <v>RESAPALMNewDMD</v>
      </c>
      <c r="C197" t="str">
        <f>"DEMAND - "&amp;_xlfn.XLOOKUP(B197,Demand!E:E,Demand!A:A)&amp;" "&amp;_xlfn.XLOOKUP(B197,Demand!E:E,Demand!B:B)&amp;" "&amp;_xlfn.XLOOKUP(B197,Demand!E:E,Demand!C:C)&amp;" "&amp;_xlfn.XLOOKUP(B197,Demand!E:E,Demand!D:D)</f>
        <v>DEMAND - Residential Apartment Lower-Middle Income New</v>
      </c>
      <c r="D197" t="str">
        <f>_xlfn.XLOOKUP(B197,Trans_Demand!A:A,Trans_Demand!B:B)</f>
        <v>Mm2</v>
      </c>
      <c r="E197" t="s">
        <v>214</v>
      </c>
      <c r="F197">
        <f>Trans_Demand!C481</f>
        <v>2070</v>
      </c>
      <c r="G197" s="11">
        <f>SUMIFS(Trans_Demand!D:D,Trans_Demand!A:A,B197,Trans_Demand!C:C,F197)</f>
        <v>14.566103965639559</v>
      </c>
    </row>
    <row r="198" spans="2:7">
      <c r="B198" t="str">
        <f>Trans_Demand!A482</f>
        <v>RESAPALMNewDMD</v>
      </c>
      <c r="C198" t="str">
        <f>"DEMAND - "&amp;_xlfn.XLOOKUP(B198,Demand!E:E,Demand!A:A)&amp;" "&amp;_xlfn.XLOOKUP(B198,Demand!E:E,Demand!B:B)&amp;" "&amp;_xlfn.XLOOKUP(B198,Demand!E:E,Demand!C:C)&amp;" "&amp;_xlfn.XLOOKUP(B198,Demand!E:E,Demand!D:D)</f>
        <v>DEMAND - Residential Apartment Lower-Middle Income New</v>
      </c>
      <c r="D198" t="str">
        <f>_xlfn.XLOOKUP(B198,Trans_Demand!A:A,Trans_Demand!B:B)</f>
        <v>Mm2</v>
      </c>
      <c r="E198" t="s">
        <v>214</v>
      </c>
      <c r="F198">
        <f>Trans_Demand!C482</f>
        <v>2075</v>
      </c>
      <c r="G198" s="11">
        <f>SUMIFS(Trans_Demand!D:D,Trans_Demand!A:A,B198,Trans_Demand!C:C,F198)</f>
        <v>15.994153374035591</v>
      </c>
    </row>
    <row r="199" spans="2:7">
      <c r="B199" t="str">
        <f>Trans_Demand!A483</f>
        <v>RESAPALMNewDMD</v>
      </c>
      <c r="C199" t="str">
        <f>"DEMAND - "&amp;_xlfn.XLOOKUP(B199,Demand!E:E,Demand!A:A)&amp;" "&amp;_xlfn.XLOOKUP(B199,Demand!E:E,Demand!B:B)&amp;" "&amp;_xlfn.XLOOKUP(B199,Demand!E:E,Demand!C:C)&amp;" "&amp;_xlfn.XLOOKUP(B199,Demand!E:E,Demand!D:D)</f>
        <v>DEMAND - Residential Apartment Lower-Middle Income New</v>
      </c>
      <c r="D199" t="str">
        <f>_xlfn.XLOOKUP(B199,Trans_Demand!A:A,Trans_Demand!B:B)</f>
        <v>Mm2</v>
      </c>
      <c r="E199" t="s">
        <v>214</v>
      </c>
      <c r="F199">
        <f>Trans_Demand!C483</f>
        <v>2080</v>
      </c>
      <c r="G199" s="11">
        <f>SUMIFS(Trans_Demand!D:D,Trans_Demand!A:A,B199,Trans_Demand!C:C,F199)</f>
        <v>17.422202782431629</v>
      </c>
    </row>
    <row r="200" spans="2:7">
      <c r="B200" t="str">
        <f>Trans_Demand!A484</f>
        <v>RESAPALMNewDMD</v>
      </c>
      <c r="C200" t="str">
        <f>"DEMAND - "&amp;_xlfn.XLOOKUP(B200,Demand!E:E,Demand!A:A)&amp;" "&amp;_xlfn.XLOOKUP(B200,Demand!E:E,Demand!B:B)&amp;" "&amp;_xlfn.XLOOKUP(B200,Demand!E:E,Demand!C:C)&amp;" "&amp;_xlfn.XLOOKUP(B200,Demand!E:E,Demand!D:D)</f>
        <v>DEMAND - Residential Apartment Lower-Middle Income New</v>
      </c>
      <c r="D200" t="str">
        <f>_xlfn.XLOOKUP(B200,Trans_Demand!A:A,Trans_Demand!B:B)</f>
        <v>Mm2</v>
      </c>
      <c r="E200" t="s">
        <v>214</v>
      </c>
      <c r="F200">
        <f>Trans_Demand!C484</f>
        <v>2085</v>
      </c>
      <c r="G200" s="11">
        <f>SUMIFS(Trans_Demand!D:D,Trans_Demand!A:A,B200,Trans_Demand!C:C,F200)</f>
        <v>18.850252190827661</v>
      </c>
    </row>
    <row r="201" spans="2:7">
      <c r="B201" t="str">
        <f>Trans_Demand!A485</f>
        <v>RESAPALMNewDMD</v>
      </c>
      <c r="C201" t="str">
        <f>"DEMAND - "&amp;_xlfn.XLOOKUP(B201,Demand!E:E,Demand!A:A)&amp;" "&amp;_xlfn.XLOOKUP(B201,Demand!E:E,Demand!B:B)&amp;" "&amp;_xlfn.XLOOKUP(B201,Demand!E:E,Demand!C:C)&amp;" "&amp;_xlfn.XLOOKUP(B201,Demand!E:E,Demand!D:D)</f>
        <v>DEMAND - Residential Apartment Lower-Middle Income New</v>
      </c>
      <c r="D201" t="str">
        <f>_xlfn.XLOOKUP(B201,Trans_Demand!A:A,Trans_Demand!B:B)</f>
        <v>Mm2</v>
      </c>
      <c r="E201" t="s">
        <v>214</v>
      </c>
      <c r="F201">
        <f>Trans_Demand!C485</f>
        <v>2090</v>
      </c>
      <c r="G201" s="11">
        <f>SUMIFS(Trans_Demand!D:D,Trans_Demand!A:A,B201,Trans_Demand!C:C,F201)</f>
        <v>20.278301599223699</v>
      </c>
    </row>
    <row r="202" spans="2:7">
      <c r="B202" t="str">
        <f>Trans_Demand!A486</f>
        <v>RESAPALMNewDMD</v>
      </c>
      <c r="C202" t="str">
        <f>"DEMAND - "&amp;_xlfn.XLOOKUP(B202,Demand!E:E,Demand!A:A)&amp;" "&amp;_xlfn.XLOOKUP(B202,Demand!E:E,Demand!B:B)&amp;" "&amp;_xlfn.XLOOKUP(B202,Demand!E:E,Demand!C:C)&amp;" "&amp;_xlfn.XLOOKUP(B202,Demand!E:E,Demand!D:D)</f>
        <v>DEMAND - Residential Apartment Lower-Middle Income New</v>
      </c>
      <c r="D202" t="str">
        <f>_xlfn.XLOOKUP(B202,Trans_Demand!A:A,Trans_Demand!B:B)</f>
        <v>Mm2</v>
      </c>
      <c r="E202" t="s">
        <v>214</v>
      </c>
      <c r="F202">
        <f>Trans_Demand!C486</f>
        <v>2095</v>
      </c>
      <c r="G202" s="11">
        <f>SUMIFS(Trans_Demand!D:D,Trans_Demand!A:A,B202,Trans_Demand!C:C,F202)</f>
        <v>21.70635100761973</v>
      </c>
    </row>
    <row r="203" spans="2:7">
      <c r="B203" t="str">
        <f>Trans_Demand!A487</f>
        <v>RESAPALMNewDMD</v>
      </c>
      <c r="C203" t="str">
        <f>"DEMAND - "&amp;_xlfn.XLOOKUP(B203,Demand!E:E,Demand!A:A)&amp;" "&amp;_xlfn.XLOOKUP(B203,Demand!E:E,Demand!B:B)&amp;" "&amp;_xlfn.XLOOKUP(B203,Demand!E:E,Demand!C:C)&amp;" "&amp;_xlfn.XLOOKUP(B203,Demand!E:E,Demand!D:D)</f>
        <v>DEMAND - Residential Apartment Lower-Middle Income New</v>
      </c>
      <c r="D203" t="str">
        <f>_xlfn.XLOOKUP(B203,Trans_Demand!A:A,Trans_Demand!B:B)</f>
        <v>Mm2</v>
      </c>
      <c r="E203" t="s">
        <v>214</v>
      </c>
      <c r="F203">
        <f>Trans_Demand!C487</f>
        <v>2100</v>
      </c>
      <c r="G203" s="11">
        <f>SUMIFS(Trans_Demand!D:D,Trans_Demand!A:A,B203,Trans_Demand!C:C,F203)</f>
        <v>23.134400416015769</v>
      </c>
    </row>
    <row r="204" spans="2:7">
      <c r="B204" t="str">
        <f>Trans_Demand!A488</f>
        <v>RESHOULMNewDMD</v>
      </c>
      <c r="C204" t="str">
        <f>"DEMAND - "&amp;_xlfn.XLOOKUP(B204,Demand!E:E,Demand!A:A)&amp;" "&amp;_xlfn.XLOOKUP(B204,Demand!E:E,Demand!B:B)&amp;" "&amp;_xlfn.XLOOKUP(B204,Demand!E:E,Demand!C:C)&amp;" "&amp;_xlfn.XLOOKUP(B204,Demand!E:E,Demand!D:D)</f>
        <v>DEMAND - Residential House Lower-Middle Income New</v>
      </c>
      <c r="D204" t="str">
        <f>_xlfn.XLOOKUP(B204,Trans_Demand!A:A,Trans_Demand!B:B)</f>
        <v>Mm2</v>
      </c>
      <c r="E204" t="s">
        <v>214</v>
      </c>
      <c r="F204">
        <f>Trans_Demand!C488</f>
        <v>2019</v>
      </c>
      <c r="G204" s="11">
        <f>SUMIFS(Trans_Demand!D:D,Trans_Demand!A:A,B204,Trans_Demand!C:C,F204)</f>
        <v>0</v>
      </c>
    </row>
    <row r="205" spans="2:7">
      <c r="B205" t="str">
        <f>Trans_Demand!A489</f>
        <v>RESHOULMNewDMD</v>
      </c>
      <c r="C205" t="str">
        <f>"DEMAND - "&amp;_xlfn.XLOOKUP(B205,Demand!E:E,Demand!A:A)&amp;" "&amp;_xlfn.XLOOKUP(B205,Demand!E:E,Demand!B:B)&amp;" "&amp;_xlfn.XLOOKUP(B205,Demand!E:E,Demand!C:C)&amp;" "&amp;_xlfn.XLOOKUP(B205,Demand!E:E,Demand!D:D)</f>
        <v>DEMAND - Residential House Lower-Middle Income New</v>
      </c>
      <c r="D205" t="str">
        <f>_xlfn.XLOOKUP(B205,Trans_Demand!A:A,Trans_Demand!B:B)</f>
        <v>Mm2</v>
      </c>
      <c r="E205" t="s">
        <v>214</v>
      </c>
      <c r="F205">
        <f>Trans_Demand!C489</f>
        <v>2020</v>
      </c>
      <c r="G205" s="11">
        <f>SUMIFS(Trans_Demand!D:D,Trans_Demand!A:A,B205,Trans_Demand!C:C,F205)</f>
        <v>0.19149629288769771</v>
      </c>
    </row>
    <row r="206" spans="2:7">
      <c r="B206" t="str">
        <f>Trans_Demand!A490</f>
        <v>RESHOULMNewDMD</v>
      </c>
      <c r="C206" t="str">
        <f>"DEMAND - "&amp;_xlfn.XLOOKUP(B206,Demand!E:E,Demand!A:A)&amp;" "&amp;_xlfn.XLOOKUP(B206,Demand!E:E,Demand!B:B)&amp;" "&amp;_xlfn.XLOOKUP(B206,Demand!E:E,Demand!C:C)&amp;" "&amp;_xlfn.XLOOKUP(B206,Demand!E:E,Demand!D:D)</f>
        <v>DEMAND - Residential House Lower-Middle Income New</v>
      </c>
      <c r="D206" t="str">
        <f>_xlfn.XLOOKUP(B206,Trans_Demand!A:A,Trans_Demand!B:B)</f>
        <v>Mm2</v>
      </c>
      <c r="E206" t="s">
        <v>214</v>
      </c>
      <c r="F206">
        <f>Trans_Demand!C490</f>
        <v>2025</v>
      </c>
      <c r="G206" s="11">
        <f>SUMIFS(Trans_Demand!D:D,Trans_Demand!A:A,B206,Trans_Demand!C:C,F206)</f>
        <v>1.1489777573261859</v>
      </c>
    </row>
    <row r="207" spans="2:7">
      <c r="B207" t="str">
        <f>Trans_Demand!A491</f>
        <v>RESHOULMNewDMD</v>
      </c>
      <c r="C207" t="str">
        <f>"DEMAND - "&amp;_xlfn.XLOOKUP(B207,Demand!E:E,Demand!A:A)&amp;" "&amp;_xlfn.XLOOKUP(B207,Demand!E:E,Demand!B:B)&amp;" "&amp;_xlfn.XLOOKUP(B207,Demand!E:E,Demand!C:C)&amp;" "&amp;_xlfn.XLOOKUP(B207,Demand!E:E,Demand!D:D)</f>
        <v>DEMAND - Residential House Lower-Middle Income New</v>
      </c>
      <c r="D207" t="str">
        <f>_xlfn.XLOOKUP(B207,Trans_Demand!A:A,Trans_Demand!B:B)</f>
        <v>Mm2</v>
      </c>
      <c r="E207" t="s">
        <v>214</v>
      </c>
      <c r="F207">
        <f>Trans_Demand!C491</f>
        <v>2030</v>
      </c>
      <c r="G207" s="11">
        <f>SUMIFS(Trans_Demand!D:D,Trans_Demand!A:A,B207,Trans_Demand!C:C,F207)</f>
        <v>2.1064592217646738</v>
      </c>
    </row>
    <row r="208" spans="2:7">
      <c r="B208" t="str">
        <f>Trans_Demand!A492</f>
        <v>RESHOULMNewDMD</v>
      </c>
      <c r="C208" t="str">
        <f>"DEMAND - "&amp;_xlfn.XLOOKUP(B208,Demand!E:E,Demand!A:A)&amp;" "&amp;_xlfn.XLOOKUP(B208,Demand!E:E,Demand!B:B)&amp;" "&amp;_xlfn.XLOOKUP(B208,Demand!E:E,Demand!C:C)&amp;" "&amp;_xlfn.XLOOKUP(B208,Demand!E:E,Demand!D:D)</f>
        <v>DEMAND - Residential House Lower-Middle Income New</v>
      </c>
      <c r="D208" t="str">
        <f>_xlfn.XLOOKUP(B208,Trans_Demand!A:A,Trans_Demand!B:B)</f>
        <v>Mm2</v>
      </c>
      <c r="E208" t="s">
        <v>214</v>
      </c>
      <c r="F208">
        <f>Trans_Demand!C492</f>
        <v>2035</v>
      </c>
      <c r="G208" s="11">
        <f>SUMIFS(Trans_Demand!D:D,Trans_Demand!A:A,B208,Trans_Demand!C:C,F208)</f>
        <v>3.063940686203162</v>
      </c>
    </row>
    <row r="209" spans="2:7">
      <c r="B209" t="str">
        <f>Trans_Demand!A493</f>
        <v>RESHOULMNewDMD</v>
      </c>
      <c r="C209" t="str">
        <f>"DEMAND - "&amp;_xlfn.XLOOKUP(B209,Demand!E:E,Demand!A:A)&amp;" "&amp;_xlfn.XLOOKUP(B209,Demand!E:E,Demand!B:B)&amp;" "&amp;_xlfn.XLOOKUP(B209,Demand!E:E,Demand!C:C)&amp;" "&amp;_xlfn.XLOOKUP(B209,Demand!E:E,Demand!D:D)</f>
        <v>DEMAND - Residential House Lower-Middle Income New</v>
      </c>
      <c r="D209" t="str">
        <f>_xlfn.XLOOKUP(B209,Trans_Demand!A:A,Trans_Demand!B:B)</f>
        <v>Mm2</v>
      </c>
      <c r="E209" t="s">
        <v>214</v>
      </c>
      <c r="F209">
        <f>Trans_Demand!C493</f>
        <v>2040</v>
      </c>
      <c r="G209" s="11">
        <f>SUMIFS(Trans_Demand!D:D,Trans_Demand!A:A,B209,Trans_Demand!C:C,F209)</f>
        <v>4.0214221506416514</v>
      </c>
    </row>
    <row r="210" spans="2:7">
      <c r="B210" t="str">
        <f>Trans_Demand!A494</f>
        <v>RESHOULMNewDMD</v>
      </c>
      <c r="C210" t="str">
        <f>"DEMAND - "&amp;_xlfn.XLOOKUP(B210,Demand!E:E,Demand!A:A)&amp;" "&amp;_xlfn.XLOOKUP(B210,Demand!E:E,Demand!B:B)&amp;" "&amp;_xlfn.XLOOKUP(B210,Demand!E:E,Demand!C:C)&amp;" "&amp;_xlfn.XLOOKUP(B210,Demand!E:E,Demand!D:D)</f>
        <v>DEMAND - Residential House Lower-Middle Income New</v>
      </c>
      <c r="D210" t="str">
        <f>_xlfn.XLOOKUP(B210,Trans_Demand!A:A,Trans_Demand!B:B)</f>
        <v>Mm2</v>
      </c>
      <c r="E210" t="s">
        <v>214</v>
      </c>
      <c r="F210">
        <f>Trans_Demand!C494</f>
        <v>2045</v>
      </c>
      <c r="G210" s="11">
        <f>SUMIFS(Trans_Demand!D:D,Trans_Demand!A:A,B210,Trans_Demand!C:C,F210)</f>
        <v>4.9789036150801387</v>
      </c>
    </row>
    <row r="211" spans="2:7">
      <c r="B211" t="str">
        <f>Trans_Demand!A495</f>
        <v>RESHOULMNewDMD</v>
      </c>
      <c r="C211" t="str">
        <f>"DEMAND - "&amp;_xlfn.XLOOKUP(B211,Demand!E:E,Demand!A:A)&amp;" "&amp;_xlfn.XLOOKUP(B211,Demand!E:E,Demand!B:B)&amp;" "&amp;_xlfn.XLOOKUP(B211,Demand!E:E,Demand!C:C)&amp;" "&amp;_xlfn.XLOOKUP(B211,Demand!E:E,Demand!D:D)</f>
        <v>DEMAND - Residential House Lower-Middle Income New</v>
      </c>
      <c r="D211" t="str">
        <f>_xlfn.XLOOKUP(B211,Trans_Demand!A:A,Trans_Demand!B:B)</f>
        <v>Mm2</v>
      </c>
      <c r="E211" t="s">
        <v>214</v>
      </c>
      <c r="F211">
        <f>Trans_Demand!C495</f>
        <v>2050</v>
      </c>
      <c r="G211" s="11">
        <f>SUMIFS(Trans_Demand!D:D,Trans_Demand!A:A,B211,Trans_Demand!C:C,F211)</f>
        <v>5.9363850795186268</v>
      </c>
    </row>
    <row r="212" spans="2:7">
      <c r="B212" t="str">
        <f>Trans_Demand!A496</f>
        <v>RESHOULMNewDMD</v>
      </c>
      <c r="C212" t="str">
        <f>"DEMAND - "&amp;_xlfn.XLOOKUP(B212,Demand!E:E,Demand!A:A)&amp;" "&amp;_xlfn.XLOOKUP(B212,Demand!E:E,Demand!B:B)&amp;" "&amp;_xlfn.XLOOKUP(B212,Demand!E:E,Demand!C:C)&amp;" "&amp;_xlfn.XLOOKUP(B212,Demand!E:E,Demand!D:D)</f>
        <v>DEMAND - Residential House Lower-Middle Income New</v>
      </c>
      <c r="D212" t="str">
        <f>_xlfn.XLOOKUP(B212,Trans_Demand!A:A,Trans_Demand!B:B)</f>
        <v>Mm2</v>
      </c>
      <c r="E212" t="s">
        <v>214</v>
      </c>
      <c r="F212">
        <f>Trans_Demand!C496</f>
        <v>2055</v>
      </c>
      <c r="G212" s="11">
        <f>SUMIFS(Trans_Demand!D:D,Trans_Demand!A:A,B212,Trans_Demand!C:C,F212)</f>
        <v>6.893866543957115</v>
      </c>
    </row>
    <row r="213" spans="2:7">
      <c r="B213" t="str">
        <f>Trans_Demand!A497</f>
        <v>RESHOULMNewDMD</v>
      </c>
      <c r="C213" t="str">
        <f>"DEMAND - "&amp;_xlfn.XLOOKUP(B213,Demand!E:E,Demand!A:A)&amp;" "&amp;_xlfn.XLOOKUP(B213,Demand!E:E,Demand!B:B)&amp;" "&amp;_xlfn.XLOOKUP(B213,Demand!E:E,Demand!C:C)&amp;" "&amp;_xlfn.XLOOKUP(B213,Demand!E:E,Demand!D:D)</f>
        <v>DEMAND - Residential House Lower-Middle Income New</v>
      </c>
      <c r="D213" t="str">
        <f>_xlfn.XLOOKUP(B213,Trans_Demand!A:A,Trans_Demand!B:B)</f>
        <v>Mm2</v>
      </c>
      <c r="E213" t="s">
        <v>214</v>
      </c>
      <c r="F213">
        <f>Trans_Demand!C497</f>
        <v>2060</v>
      </c>
      <c r="G213" s="11">
        <f>SUMIFS(Trans_Demand!D:D,Trans_Demand!A:A,B213,Trans_Demand!C:C,F213)</f>
        <v>7.8513480083956031</v>
      </c>
    </row>
    <row r="214" spans="2:7">
      <c r="B214" t="str">
        <f>Trans_Demand!A498</f>
        <v>RESHOULMNewDMD</v>
      </c>
      <c r="C214" t="str">
        <f>"DEMAND - "&amp;_xlfn.XLOOKUP(B214,Demand!E:E,Demand!A:A)&amp;" "&amp;_xlfn.XLOOKUP(B214,Demand!E:E,Demand!B:B)&amp;" "&amp;_xlfn.XLOOKUP(B214,Demand!E:E,Demand!C:C)&amp;" "&amp;_xlfn.XLOOKUP(B214,Demand!E:E,Demand!D:D)</f>
        <v>DEMAND - Residential House Lower-Middle Income New</v>
      </c>
      <c r="D214" t="str">
        <f>_xlfn.XLOOKUP(B214,Trans_Demand!A:A,Trans_Demand!B:B)</f>
        <v>Mm2</v>
      </c>
      <c r="E214" t="s">
        <v>214</v>
      </c>
      <c r="F214">
        <f>Trans_Demand!C498</f>
        <v>2065</v>
      </c>
      <c r="G214" s="11">
        <f>SUMIFS(Trans_Demand!D:D,Trans_Demand!A:A,B214,Trans_Demand!C:C,F214)</f>
        <v>8.8088294728340912</v>
      </c>
    </row>
    <row r="215" spans="2:7">
      <c r="B215" t="str">
        <f>Trans_Demand!A499</f>
        <v>RESHOULMNewDMD</v>
      </c>
      <c r="C215" t="str">
        <f>"DEMAND - "&amp;_xlfn.XLOOKUP(B215,Demand!E:E,Demand!A:A)&amp;" "&amp;_xlfn.XLOOKUP(B215,Demand!E:E,Demand!B:B)&amp;" "&amp;_xlfn.XLOOKUP(B215,Demand!E:E,Demand!C:C)&amp;" "&amp;_xlfn.XLOOKUP(B215,Demand!E:E,Demand!D:D)</f>
        <v>DEMAND - Residential House Lower-Middle Income New</v>
      </c>
      <c r="D215" t="str">
        <f>_xlfn.XLOOKUP(B215,Trans_Demand!A:A,Trans_Demand!B:B)</f>
        <v>Mm2</v>
      </c>
      <c r="E215" t="s">
        <v>214</v>
      </c>
      <c r="F215">
        <f>Trans_Demand!C499</f>
        <v>2070</v>
      </c>
      <c r="G215" s="11">
        <f>SUMIFS(Trans_Demand!D:D,Trans_Demand!A:A,B215,Trans_Demand!C:C,F215)</f>
        <v>9.7663109372725803</v>
      </c>
    </row>
    <row r="216" spans="2:7">
      <c r="B216" t="str">
        <f>Trans_Demand!A500</f>
        <v>RESHOULMNewDMD</v>
      </c>
      <c r="C216" t="str">
        <f>"DEMAND - "&amp;_xlfn.XLOOKUP(B216,Demand!E:E,Demand!A:A)&amp;" "&amp;_xlfn.XLOOKUP(B216,Demand!E:E,Demand!B:B)&amp;" "&amp;_xlfn.XLOOKUP(B216,Demand!E:E,Demand!C:C)&amp;" "&amp;_xlfn.XLOOKUP(B216,Demand!E:E,Demand!D:D)</f>
        <v>DEMAND - Residential House Lower-Middle Income New</v>
      </c>
      <c r="D216" t="str">
        <f>_xlfn.XLOOKUP(B216,Trans_Demand!A:A,Trans_Demand!B:B)</f>
        <v>Mm2</v>
      </c>
      <c r="E216" t="s">
        <v>214</v>
      </c>
      <c r="F216">
        <f>Trans_Demand!C500</f>
        <v>2075</v>
      </c>
      <c r="G216" s="11">
        <f>SUMIFS(Trans_Demand!D:D,Trans_Demand!A:A,B216,Trans_Demand!C:C,F216)</f>
        <v>10.723792401711069</v>
      </c>
    </row>
    <row r="217" spans="2:7">
      <c r="B217" t="str">
        <f>Trans_Demand!A501</f>
        <v>RESHOULMNewDMD</v>
      </c>
      <c r="C217" t="str">
        <f>"DEMAND - "&amp;_xlfn.XLOOKUP(B217,Demand!E:E,Demand!A:A)&amp;" "&amp;_xlfn.XLOOKUP(B217,Demand!E:E,Demand!B:B)&amp;" "&amp;_xlfn.XLOOKUP(B217,Demand!E:E,Demand!C:C)&amp;" "&amp;_xlfn.XLOOKUP(B217,Demand!E:E,Demand!D:D)</f>
        <v>DEMAND - Residential House Lower-Middle Income New</v>
      </c>
      <c r="D217" t="str">
        <f>_xlfn.XLOOKUP(B217,Trans_Demand!A:A,Trans_Demand!B:B)</f>
        <v>Mm2</v>
      </c>
      <c r="E217" t="s">
        <v>214</v>
      </c>
      <c r="F217">
        <f>Trans_Demand!C501</f>
        <v>2080</v>
      </c>
      <c r="G217" s="11">
        <f>SUMIFS(Trans_Demand!D:D,Trans_Demand!A:A,B217,Trans_Demand!C:C,F217)</f>
        <v>11.68127386614956</v>
      </c>
    </row>
    <row r="218" spans="2:7">
      <c r="B218" t="str">
        <f>Trans_Demand!A502</f>
        <v>RESHOULMNewDMD</v>
      </c>
      <c r="C218" t="str">
        <f>"DEMAND - "&amp;_xlfn.XLOOKUP(B218,Demand!E:E,Demand!A:A)&amp;" "&amp;_xlfn.XLOOKUP(B218,Demand!E:E,Demand!B:B)&amp;" "&amp;_xlfn.XLOOKUP(B218,Demand!E:E,Demand!C:C)&amp;" "&amp;_xlfn.XLOOKUP(B218,Demand!E:E,Demand!D:D)</f>
        <v>DEMAND - Residential House Lower-Middle Income New</v>
      </c>
      <c r="D218" t="str">
        <f>_xlfn.XLOOKUP(B218,Trans_Demand!A:A,Trans_Demand!B:B)</f>
        <v>Mm2</v>
      </c>
      <c r="E218" t="s">
        <v>214</v>
      </c>
      <c r="F218">
        <f>Trans_Demand!C502</f>
        <v>2085</v>
      </c>
      <c r="G218" s="11">
        <f>SUMIFS(Trans_Demand!D:D,Trans_Demand!A:A,B218,Trans_Demand!C:C,F218)</f>
        <v>12.638755330588049</v>
      </c>
    </row>
    <row r="219" spans="2:7">
      <c r="B219" t="str">
        <f>Trans_Demand!A503</f>
        <v>RESHOULMNewDMD</v>
      </c>
      <c r="C219" t="str">
        <f>"DEMAND - "&amp;_xlfn.XLOOKUP(B219,Demand!E:E,Demand!A:A)&amp;" "&amp;_xlfn.XLOOKUP(B219,Demand!E:E,Demand!B:B)&amp;" "&amp;_xlfn.XLOOKUP(B219,Demand!E:E,Demand!C:C)&amp;" "&amp;_xlfn.XLOOKUP(B219,Demand!E:E,Demand!D:D)</f>
        <v>DEMAND - Residential House Lower-Middle Income New</v>
      </c>
      <c r="D219" t="str">
        <f>_xlfn.XLOOKUP(B219,Trans_Demand!A:A,Trans_Demand!B:B)</f>
        <v>Mm2</v>
      </c>
      <c r="E219" t="s">
        <v>214</v>
      </c>
      <c r="F219">
        <f>Trans_Demand!C503</f>
        <v>2090</v>
      </c>
      <c r="G219" s="11">
        <f>SUMIFS(Trans_Demand!D:D,Trans_Demand!A:A,B219,Trans_Demand!C:C,F219)</f>
        <v>13.59623679502654</v>
      </c>
    </row>
    <row r="220" spans="2:7">
      <c r="B220" t="str">
        <f>Trans_Demand!A504</f>
        <v>RESHOULMNewDMD</v>
      </c>
      <c r="C220" t="str">
        <f>"DEMAND - "&amp;_xlfn.XLOOKUP(B220,Demand!E:E,Demand!A:A)&amp;" "&amp;_xlfn.XLOOKUP(B220,Demand!E:E,Demand!B:B)&amp;" "&amp;_xlfn.XLOOKUP(B220,Demand!E:E,Demand!C:C)&amp;" "&amp;_xlfn.XLOOKUP(B220,Demand!E:E,Demand!D:D)</f>
        <v>DEMAND - Residential House Lower-Middle Income New</v>
      </c>
      <c r="D220" t="str">
        <f>_xlfn.XLOOKUP(B220,Trans_Demand!A:A,Trans_Demand!B:B)</f>
        <v>Mm2</v>
      </c>
      <c r="E220" t="s">
        <v>214</v>
      </c>
      <c r="F220">
        <f>Trans_Demand!C504</f>
        <v>2095</v>
      </c>
      <c r="G220" s="11">
        <f>SUMIFS(Trans_Demand!D:D,Trans_Demand!A:A,B220,Trans_Demand!C:C,F220)</f>
        <v>14.553718259465031</v>
      </c>
    </row>
    <row r="221" spans="2:7">
      <c r="B221" t="str">
        <f>Trans_Demand!A505</f>
        <v>RESHOULMNewDMD</v>
      </c>
      <c r="C221" t="str">
        <f>"DEMAND - "&amp;_xlfn.XLOOKUP(B221,Demand!E:E,Demand!A:A)&amp;" "&amp;_xlfn.XLOOKUP(B221,Demand!E:E,Demand!B:B)&amp;" "&amp;_xlfn.XLOOKUP(B221,Demand!E:E,Demand!C:C)&amp;" "&amp;_xlfn.XLOOKUP(B221,Demand!E:E,Demand!D:D)</f>
        <v>DEMAND - Residential House Lower-Middle Income New</v>
      </c>
      <c r="D221" t="str">
        <f>_xlfn.XLOOKUP(B221,Trans_Demand!A:A,Trans_Demand!B:B)</f>
        <v>Mm2</v>
      </c>
      <c r="E221" t="s">
        <v>214</v>
      </c>
      <c r="F221">
        <f>Trans_Demand!C505</f>
        <v>2100</v>
      </c>
      <c r="G221" s="11">
        <f>SUMIFS(Trans_Demand!D:D,Trans_Demand!A:A,B221,Trans_Demand!C:C,F221)</f>
        <v>15.511199723903511</v>
      </c>
    </row>
    <row r="222" spans="2:7">
      <c r="B222" t="str">
        <f>Trans_Demand!A506</f>
        <v>RESAPAUMNewDMD</v>
      </c>
      <c r="C222" t="str">
        <f>"DEMAND - "&amp;_xlfn.XLOOKUP(B222,Demand!E:E,Demand!A:A)&amp;" "&amp;_xlfn.XLOOKUP(B222,Demand!E:E,Demand!B:B)&amp;" "&amp;_xlfn.XLOOKUP(B222,Demand!E:E,Demand!C:C)&amp;" "&amp;_xlfn.XLOOKUP(B222,Demand!E:E,Demand!D:D)</f>
        <v>DEMAND - Residential Apartment Upper-Middle Income New</v>
      </c>
      <c r="D222" t="str">
        <f>_xlfn.XLOOKUP(B222,Trans_Demand!A:A,Trans_Demand!B:B)</f>
        <v>Mm2</v>
      </c>
      <c r="E222" t="s">
        <v>214</v>
      </c>
      <c r="F222">
        <f>Trans_Demand!C506</f>
        <v>2019</v>
      </c>
      <c r="G222" s="11">
        <f>SUMIFS(Trans_Demand!D:D,Trans_Demand!A:A,B222,Trans_Demand!C:C,F222)</f>
        <v>0</v>
      </c>
    </row>
    <row r="223" spans="2:7">
      <c r="B223" t="str">
        <f>Trans_Demand!A507</f>
        <v>RESAPAUMNewDMD</v>
      </c>
      <c r="C223" t="str">
        <f>"DEMAND - "&amp;_xlfn.XLOOKUP(B223,Demand!E:E,Demand!A:A)&amp;" "&amp;_xlfn.XLOOKUP(B223,Demand!E:E,Demand!B:B)&amp;" "&amp;_xlfn.XLOOKUP(B223,Demand!E:E,Demand!C:C)&amp;" "&amp;_xlfn.XLOOKUP(B223,Demand!E:E,Demand!D:D)</f>
        <v>DEMAND - Residential Apartment Upper-Middle Income New</v>
      </c>
      <c r="D223" t="str">
        <f>_xlfn.XLOOKUP(B223,Trans_Demand!A:A,Trans_Demand!B:B)</f>
        <v>Mm2</v>
      </c>
      <c r="E223" t="s">
        <v>214</v>
      </c>
      <c r="F223">
        <f>Trans_Demand!C507</f>
        <v>2020</v>
      </c>
      <c r="G223" s="11">
        <f>SUMIFS(Trans_Demand!D:D,Trans_Demand!A:A,B223,Trans_Demand!C:C,F223)</f>
        <v>7.7479439050969989E-2</v>
      </c>
    </row>
    <row r="224" spans="2:7">
      <c r="B224" t="str">
        <f>Trans_Demand!A508</f>
        <v>RESAPAUMNewDMD</v>
      </c>
      <c r="C224" t="str">
        <f>"DEMAND - "&amp;_xlfn.XLOOKUP(B224,Demand!E:E,Demand!A:A)&amp;" "&amp;_xlfn.XLOOKUP(B224,Demand!E:E,Demand!B:B)&amp;" "&amp;_xlfn.XLOOKUP(B224,Demand!E:E,Demand!C:C)&amp;" "&amp;_xlfn.XLOOKUP(B224,Demand!E:E,Demand!D:D)</f>
        <v>DEMAND - Residential Apartment Upper-Middle Income New</v>
      </c>
      <c r="D224" t="str">
        <f>_xlfn.XLOOKUP(B224,Trans_Demand!A:A,Trans_Demand!B:B)</f>
        <v>Mm2</v>
      </c>
      <c r="E224" t="s">
        <v>214</v>
      </c>
      <c r="F224">
        <f>Trans_Demand!C508</f>
        <v>2025</v>
      </c>
      <c r="G224" s="11">
        <f>SUMIFS(Trans_Demand!D:D,Trans_Demand!A:A,B224,Trans_Demand!C:C,F224)</f>
        <v>0.46487663430581988</v>
      </c>
    </row>
    <row r="225" spans="2:7">
      <c r="B225" t="str">
        <f>Trans_Demand!A509</f>
        <v>RESAPAUMNewDMD</v>
      </c>
      <c r="C225" t="str">
        <f>"DEMAND - "&amp;_xlfn.XLOOKUP(B225,Demand!E:E,Demand!A:A)&amp;" "&amp;_xlfn.XLOOKUP(B225,Demand!E:E,Demand!B:B)&amp;" "&amp;_xlfn.XLOOKUP(B225,Demand!E:E,Demand!C:C)&amp;" "&amp;_xlfn.XLOOKUP(B225,Demand!E:E,Demand!D:D)</f>
        <v>DEMAND - Residential Apartment Upper-Middle Income New</v>
      </c>
      <c r="D225" t="str">
        <f>_xlfn.XLOOKUP(B225,Trans_Demand!A:A,Trans_Demand!B:B)</f>
        <v>Mm2</v>
      </c>
      <c r="E225" t="s">
        <v>214</v>
      </c>
      <c r="F225">
        <f>Trans_Demand!C509</f>
        <v>2030</v>
      </c>
      <c r="G225" s="11">
        <f>SUMIFS(Trans_Demand!D:D,Trans_Demand!A:A,B225,Trans_Demand!C:C,F225)</f>
        <v>0.85227382956066988</v>
      </c>
    </row>
    <row r="226" spans="2:7">
      <c r="B226" t="str">
        <f>Trans_Demand!A510</f>
        <v>RESAPAUMNewDMD</v>
      </c>
      <c r="C226" t="str">
        <f>"DEMAND - "&amp;_xlfn.XLOOKUP(B226,Demand!E:E,Demand!A:A)&amp;" "&amp;_xlfn.XLOOKUP(B226,Demand!E:E,Demand!B:B)&amp;" "&amp;_xlfn.XLOOKUP(B226,Demand!E:E,Demand!C:C)&amp;" "&amp;_xlfn.XLOOKUP(B226,Demand!E:E,Demand!D:D)</f>
        <v>DEMAND - Residential Apartment Upper-Middle Income New</v>
      </c>
      <c r="D226" t="str">
        <f>_xlfn.XLOOKUP(B226,Trans_Demand!A:A,Trans_Demand!B:B)</f>
        <v>Mm2</v>
      </c>
      <c r="E226" t="s">
        <v>214</v>
      </c>
      <c r="F226">
        <f>Trans_Demand!C510</f>
        <v>2035</v>
      </c>
      <c r="G226" s="11">
        <f>SUMIFS(Trans_Demand!D:D,Trans_Demand!A:A,B226,Trans_Demand!C:C,F226)</f>
        <v>1.2396710248155201</v>
      </c>
    </row>
    <row r="227" spans="2:7">
      <c r="B227" t="str">
        <f>Trans_Demand!A511</f>
        <v>RESAPAUMNewDMD</v>
      </c>
      <c r="C227" t="str">
        <f>"DEMAND - "&amp;_xlfn.XLOOKUP(B227,Demand!E:E,Demand!A:A)&amp;" "&amp;_xlfn.XLOOKUP(B227,Demand!E:E,Demand!B:B)&amp;" "&amp;_xlfn.XLOOKUP(B227,Demand!E:E,Demand!C:C)&amp;" "&amp;_xlfn.XLOOKUP(B227,Demand!E:E,Demand!D:D)</f>
        <v>DEMAND - Residential Apartment Upper-Middle Income New</v>
      </c>
      <c r="D227" t="str">
        <f>_xlfn.XLOOKUP(B227,Trans_Demand!A:A,Trans_Demand!B:B)</f>
        <v>Mm2</v>
      </c>
      <c r="E227" t="s">
        <v>214</v>
      </c>
      <c r="F227">
        <f>Trans_Demand!C511</f>
        <v>2040</v>
      </c>
      <c r="G227" s="11">
        <f>SUMIFS(Trans_Demand!D:D,Trans_Demand!A:A,B227,Trans_Demand!C:C,F227)</f>
        <v>1.6270682200703701</v>
      </c>
    </row>
    <row r="228" spans="2:7">
      <c r="B228" t="str">
        <f>Trans_Demand!A512</f>
        <v>RESAPAUMNewDMD</v>
      </c>
      <c r="C228" t="str">
        <f>"DEMAND - "&amp;_xlfn.XLOOKUP(B228,Demand!E:E,Demand!A:A)&amp;" "&amp;_xlfn.XLOOKUP(B228,Demand!E:E,Demand!B:B)&amp;" "&amp;_xlfn.XLOOKUP(B228,Demand!E:E,Demand!C:C)&amp;" "&amp;_xlfn.XLOOKUP(B228,Demand!E:E,Demand!D:D)</f>
        <v>DEMAND - Residential Apartment Upper-Middle Income New</v>
      </c>
      <c r="D228" t="str">
        <f>_xlfn.XLOOKUP(B228,Trans_Demand!A:A,Trans_Demand!B:B)</f>
        <v>Mm2</v>
      </c>
      <c r="E228" t="s">
        <v>214</v>
      </c>
      <c r="F228">
        <f>Trans_Demand!C512</f>
        <v>2045</v>
      </c>
      <c r="G228" s="11">
        <f>SUMIFS(Trans_Demand!D:D,Trans_Demand!A:A,B228,Trans_Demand!C:C,F228)</f>
        <v>2.0144654153252199</v>
      </c>
    </row>
    <row r="229" spans="2:7">
      <c r="B229" t="str">
        <f>Trans_Demand!A513</f>
        <v>RESAPAUMNewDMD</v>
      </c>
      <c r="C229" t="str">
        <f>"DEMAND - "&amp;_xlfn.XLOOKUP(B229,Demand!E:E,Demand!A:A)&amp;" "&amp;_xlfn.XLOOKUP(B229,Demand!E:E,Demand!B:B)&amp;" "&amp;_xlfn.XLOOKUP(B229,Demand!E:E,Demand!C:C)&amp;" "&amp;_xlfn.XLOOKUP(B229,Demand!E:E,Demand!D:D)</f>
        <v>DEMAND - Residential Apartment Upper-Middle Income New</v>
      </c>
      <c r="D229" t="str">
        <f>_xlfn.XLOOKUP(B229,Trans_Demand!A:A,Trans_Demand!B:B)</f>
        <v>Mm2</v>
      </c>
      <c r="E229" t="s">
        <v>214</v>
      </c>
      <c r="F229">
        <f>Trans_Demand!C513</f>
        <v>2050</v>
      </c>
      <c r="G229" s="11">
        <f>SUMIFS(Trans_Demand!D:D,Trans_Demand!A:A,B229,Trans_Demand!C:C,F229)</f>
        <v>2.40186261058007</v>
      </c>
    </row>
    <row r="230" spans="2:7">
      <c r="B230" t="str">
        <f>Trans_Demand!A514</f>
        <v>RESAPAUMNewDMD</v>
      </c>
      <c r="C230" t="str">
        <f>"DEMAND - "&amp;_xlfn.XLOOKUP(B230,Demand!E:E,Demand!A:A)&amp;" "&amp;_xlfn.XLOOKUP(B230,Demand!E:E,Demand!B:B)&amp;" "&amp;_xlfn.XLOOKUP(B230,Demand!E:E,Demand!C:C)&amp;" "&amp;_xlfn.XLOOKUP(B230,Demand!E:E,Demand!D:D)</f>
        <v>DEMAND - Residential Apartment Upper-Middle Income New</v>
      </c>
      <c r="D230" t="str">
        <f>_xlfn.XLOOKUP(B230,Trans_Demand!A:A,Trans_Demand!B:B)</f>
        <v>Mm2</v>
      </c>
      <c r="E230" t="s">
        <v>214</v>
      </c>
      <c r="F230">
        <f>Trans_Demand!C514</f>
        <v>2055</v>
      </c>
      <c r="G230" s="11">
        <f>SUMIFS(Trans_Demand!D:D,Trans_Demand!A:A,B230,Trans_Demand!C:C,F230)</f>
        <v>2.7892598058349201</v>
      </c>
    </row>
    <row r="231" spans="2:7">
      <c r="B231" t="str">
        <f>Trans_Demand!A515</f>
        <v>RESAPAUMNewDMD</v>
      </c>
      <c r="C231" t="str">
        <f>"DEMAND - "&amp;_xlfn.XLOOKUP(B231,Demand!E:E,Demand!A:A)&amp;" "&amp;_xlfn.XLOOKUP(B231,Demand!E:E,Demand!B:B)&amp;" "&amp;_xlfn.XLOOKUP(B231,Demand!E:E,Demand!C:C)&amp;" "&amp;_xlfn.XLOOKUP(B231,Demand!E:E,Demand!D:D)</f>
        <v>DEMAND - Residential Apartment Upper-Middle Income New</v>
      </c>
      <c r="D231" t="str">
        <f>_xlfn.XLOOKUP(B231,Trans_Demand!A:A,Trans_Demand!B:B)</f>
        <v>Mm2</v>
      </c>
      <c r="E231" t="s">
        <v>214</v>
      </c>
      <c r="F231">
        <f>Trans_Demand!C515</f>
        <v>2060</v>
      </c>
      <c r="G231" s="11">
        <f>SUMIFS(Trans_Demand!D:D,Trans_Demand!A:A,B231,Trans_Demand!C:C,F231)</f>
        <v>3.1766570010897701</v>
      </c>
    </row>
    <row r="232" spans="2:7">
      <c r="B232" t="str">
        <f>Trans_Demand!A516</f>
        <v>RESAPAUMNewDMD</v>
      </c>
      <c r="C232" t="str">
        <f>"DEMAND - "&amp;_xlfn.XLOOKUP(B232,Demand!E:E,Demand!A:A)&amp;" "&amp;_xlfn.XLOOKUP(B232,Demand!E:E,Demand!B:B)&amp;" "&amp;_xlfn.XLOOKUP(B232,Demand!E:E,Demand!C:C)&amp;" "&amp;_xlfn.XLOOKUP(B232,Demand!E:E,Demand!D:D)</f>
        <v>DEMAND - Residential Apartment Upper-Middle Income New</v>
      </c>
      <c r="D232" t="str">
        <f>_xlfn.XLOOKUP(B232,Trans_Demand!A:A,Trans_Demand!B:B)</f>
        <v>Mm2</v>
      </c>
      <c r="E232" t="s">
        <v>214</v>
      </c>
      <c r="F232">
        <f>Trans_Demand!C516</f>
        <v>2065</v>
      </c>
      <c r="G232" s="11">
        <f>SUMIFS(Trans_Demand!D:D,Trans_Demand!A:A,B232,Trans_Demand!C:C,F232)</f>
        <v>3.5640541963446202</v>
      </c>
    </row>
    <row r="233" spans="2:7">
      <c r="B233" t="str">
        <f>Trans_Demand!A517</f>
        <v>RESAPAUMNewDMD</v>
      </c>
      <c r="C233" t="str">
        <f>"DEMAND - "&amp;_xlfn.XLOOKUP(B233,Demand!E:E,Demand!A:A)&amp;" "&amp;_xlfn.XLOOKUP(B233,Demand!E:E,Demand!B:B)&amp;" "&amp;_xlfn.XLOOKUP(B233,Demand!E:E,Demand!C:C)&amp;" "&amp;_xlfn.XLOOKUP(B233,Demand!E:E,Demand!D:D)</f>
        <v>DEMAND - Residential Apartment Upper-Middle Income New</v>
      </c>
      <c r="D233" t="str">
        <f>_xlfn.XLOOKUP(B233,Trans_Demand!A:A,Trans_Demand!B:B)</f>
        <v>Mm2</v>
      </c>
      <c r="E233" t="s">
        <v>214</v>
      </c>
      <c r="F233">
        <f>Trans_Demand!C517</f>
        <v>2070</v>
      </c>
      <c r="G233" s="11">
        <f>SUMIFS(Trans_Demand!D:D,Trans_Demand!A:A,B233,Trans_Demand!C:C,F233)</f>
        <v>3.9514513915994698</v>
      </c>
    </row>
    <row r="234" spans="2:7">
      <c r="B234" t="str">
        <f>Trans_Demand!A518</f>
        <v>RESAPAUMNewDMD</v>
      </c>
      <c r="C234" t="str">
        <f>"DEMAND - "&amp;_xlfn.XLOOKUP(B234,Demand!E:E,Demand!A:A)&amp;" "&amp;_xlfn.XLOOKUP(B234,Demand!E:E,Demand!B:B)&amp;" "&amp;_xlfn.XLOOKUP(B234,Demand!E:E,Demand!C:C)&amp;" "&amp;_xlfn.XLOOKUP(B234,Demand!E:E,Demand!D:D)</f>
        <v>DEMAND - Residential Apartment Upper-Middle Income New</v>
      </c>
      <c r="D234" t="str">
        <f>_xlfn.XLOOKUP(B234,Trans_Demand!A:A,Trans_Demand!B:B)</f>
        <v>Mm2</v>
      </c>
      <c r="E234" t="s">
        <v>214</v>
      </c>
      <c r="F234">
        <f>Trans_Demand!C518</f>
        <v>2075</v>
      </c>
      <c r="G234" s="11">
        <f>SUMIFS(Trans_Demand!D:D,Trans_Demand!A:A,B234,Trans_Demand!C:C,F234)</f>
        <v>4.3388485868543203</v>
      </c>
    </row>
    <row r="235" spans="2:7">
      <c r="B235" t="str">
        <f>Trans_Demand!A519</f>
        <v>RESAPAUMNewDMD</v>
      </c>
      <c r="C235" t="str">
        <f>"DEMAND - "&amp;_xlfn.XLOOKUP(B235,Demand!E:E,Demand!A:A)&amp;" "&amp;_xlfn.XLOOKUP(B235,Demand!E:E,Demand!B:B)&amp;" "&amp;_xlfn.XLOOKUP(B235,Demand!E:E,Demand!C:C)&amp;" "&amp;_xlfn.XLOOKUP(B235,Demand!E:E,Demand!D:D)</f>
        <v>DEMAND - Residential Apartment Upper-Middle Income New</v>
      </c>
      <c r="D235" t="str">
        <f>_xlfn.XLOOKUP(B235,Trans_Demand!A:A,Trans_Demand!B:B)</f>
        <v>Mm2</v>
      </c>
      <c r="E235" t="s">
        <v>214</v>
      </c>
      <c r="F235">
        <f>Trans_Demand!C519</f>
        <v>2080</v>
      </c>
      <c r="G235" s="11">
        <f>SUMIFS(Trans_Demand!D:D,Trans_Demand!A:A,B235,Trans_Demand!C:C,F235)</f>
        <v>4.7262457821091699</v>
      </c>
    </row>
    <row r="236" spans="2:7">
      <c r="B236" t="str">
        <f>Trans_Demand!A520</f>
        <v>RESAPAUMNewDMD</v>
      </c>
      <c r="C236" t="str">
        <f>"DEMAND - "&amp;_xlfn.XLOOKUP(B236,Demand!E:E,Demand!A:A)&amp;" "&amp;_xlfn.XLOOKUP(B236,Demand!E:E,Demand!B:B)&amp;" "&amp;_xlfn.XLOOKUP(B236,Demand!E:E,Demand!C:C)&amp;" "&amp;_xlfn.XLOOKUP(B236,Demand!E:E,Demand!D:D)</f>
        <v>DEMAND - Residential Apartment Upper-Middle Income New</v>
      </c>
      <c r="D236" t="str">
        <f>_xlfn.XLOOKUP(B236,Trans_Demand!A:A,Trans_Demand!B:B)</f>
        <v>Mm2</v>
      </c>
      <c r="E236" t="s">
        <v>214</v>
      </c>
      <c r="F236">
        <f>Trans_Demand!C520</f>
        <v>2085</v>
      </c>
      <c r="G236" s="11">
        <f>SUMIFS(Trans_Demand!D:D,Trans_Demand!A:A,B236,Trans_Demand!C:C,F236)</f>
        <v>5.1136429773640204</v>
      </c>
    </row>
    <row r="237" spans="2:7">
      <c r="B237" t="str">
        <f>Trans_Demand!A521</f>
        <v>RESAPAUMNewDMD</v>
      </c>
      <c r="C237" t="str">
        <f>"DEMAND - "&amp;_xlfn.XLOOKUP(B237,Demand!E:E,Demand!A:A)&amp;" "&amp;_xlfn.XLOOKUP(B237,Demand!E:E,Demand!B:B)&amp;" "&amp;_xlfn.XLOOKUP(B237,Demand!E:E,Demand!C:C)&amp;" "&amp;_xlfn.XLOOKUP(B237,Demand!E:E,Demand!D:D)</f>
        <v>DEMAND - Residential Apartment Upper-Middle Income New</v>
      </c>
      <c r="D237" t="str">
        <f>_xlfn.XLOOKUP(B237,Trans_Demand!A:A,Trans_Demand!B:B)</f>
        <v>Mm2</v>
      </c>
      <c r="E237" t="s">
        <v>214</v>
      </c>
      <c r="F237">
        <f>Trans_Demand!C521</f>
        <v>2090</v>
      </c>
      <c r="G237" s="11">
        <f>SUMIFS(Trans_Demand!D:D,Trans_Demand!A:A,B237,Trans_Demand!C:C,F237)</f>
        <v>5.5010401726188691</v>
      </c>
    </row>
    <row r="238" spans="2:7">
      <c r="B238" t="str">
        <f>Trans_Demand!A522</f>
        <v>RESAPAUMNewDMD</v>
      </c>
      <c r="C238" t="str">
        <f>"DEMAND - "&amp;_xlfn.XLOOKUP(B238,Demand!E:E,Demand!A:A)&amp;" "&amp;_xlfn.XLOOKUP(B238,Demand!E:E,Demand!B:B)&amp;" "&amp;_xlfn.XLOOKUP(B238,Demand!E:E,Demand!C:C)&amp;" "&amp;_xlfn.XLOOKUP(B238,Demand!E:E,Demand!D:D)</f>
        <v>DEMAND - Residential Apartment Upper-Middle Income New</v>
      </c>
      <c r="D238" t="str">
        <f>_xlfn.XLOOKUP(B238,Trans_Demand!A:A,Trans_Demand!B:B)</f>
        <v>Mm2</v>
      </c>
      <c r="E238" t="s">
        <v>214</v>
      </c>
      <c r="F238">
        <f>Trans_Demand!C522</f>
        <v>2095</v>
      </c>
      <c r="G238" s="11">
        <f>SUMIFS(Trans_Demand!D:D,Trans_Demand!A:A,B238,Trans_Demand!C:C,F238)</f>
        <v>5.8884373678737187</v>
      </c>
    </row>
    <row r="239" spans="2:7">
      <c r="B239" t="str">
        <f>Trans_Demand!A523</f>
        <v>RESAPAUMNewDMD</v>
      </c>
      <c r="C239" t="str">
        <f>"DEMAND - "&amp;_xlfn.XLOOKUP(B239,Demand!E:E,Demand!A:A)&amp;" "&amp;_xlfn.XLOOKUP(B239,Demand!E:E,Demand!B:B)&amp;" "&amp;_xlfn.XLOOKUP(B239,Demand!E:E,Demand!C:C)&amp;" "&amp;_xlfn.XLOOKUP(B239,Demand!E:E,Demand!D:D)</f>
        <v>DEMAND - Residential Apartment Upper-Middle Income New</v>
      </c>
      <c r="D239" t="str">
        <f>_xlfn.XLOOKUP(B239,Trans_Demand!A:A,Trans_Demand!B:B)</f>
        <v>Mm2</v>
      </c>
      <c r="E239" t="s">
        <v>214</v>
      </c>
      <c r="F239">
        <f>Trans_Demand!C523</f>
        <v>2100</v>
      </c>
      <c r="G239" s="11">
        <f>SUMIFS(Trans_Demand!D:D,Trans_Demand!A:A,B239,Trans_Demand!C:C,F239)</f>
        <v>6.2758345631285684</v>
      </c>
    </row>
    <row r="240" spans="2:7">
      <c r="B240" t="str">
        <f>Trans_Demand!A524</f>
        <v>RESHOUUMNewDMD</v>
      </c>
      <c r="C240" t="str">
        <f>"DEMAND - "&amp;_xlfn.XLOOKUP(B240,Demand!E:E,Demand!A:A)&amp;" "&amp;_xlfn.XLOOKUP(B240,Demand!E:E,Demand!B:B)&amp;" "&amp;_xlfn.XLOOKUP(B240,Demand!E:E,Demand!C:C)&amp;" "&amp;_xlfn.XLOOKUP(B240,Demand!E:E,Demand!D:D)</f>
        <v>DEMAND - Residential House Upper-Middle Income New</v>
      </c>
      <c r="D240" t="str">
        <f>_xlfn.XLOOKUP(B240,Trans_Demand!A:A,Trans_Demand!B:B)</f>
        <v>Mm2</v>
      </c>
      <c r="E240" t="s">
        <v>214</v>
      </c>
      <c r="F240">
        <f>Trans_Demand!C524</f>
        <v>2019</v>
      </c>
      <c r="G240" s="11">
        <f>SUMIFS(Trans_Demand!D:D,Trans_Demand!A:A,B240,Trans_Demand!C:C,F240)</f>
        <v>0</v>
      </c>
    </row>
    <row r="241" spans="2:7">
      <c r="B241" t="str">
        <f>Trans_Demand!A525</f>
        <v>RESHOUUMNewDMD</v>
      </c>
      <c r="C241" t="str">
        <f>"DEMAND - "&amp;_xlfn.XLOOKUP(B241,Demand!E:E,Demand!A:A)&amp;" "&amp;_xlfn.XLOOKUP(B241,Demand!E:E,Demand!B:B)&amp;" "&amp;_xlfn.XLOOKUP(B241,Demand!E:E,Demand!C:C)&amp;" "&amp;_xlfn.XLOOKUP(B241,Demand!E:E,Demand!D:D)</f>
        <v>DEMAND - Residential House Upper-Middle Income New</v>
      </c>
      <c r="D241" t="str">
        <f>_xlfn.XLOOKUP(B241,Trans_Demand!A:A,Trans_Demand!B:B)</f>
        <v>Mm2</v>
      </c>
      <c r="E241" t="s">
        <v>214</v>
      </c>
      <c r="F241">
        <f>Trans_Demand!C525</f>
        <v>2020</v>
      </c>
      <c r="G241" s="11">
        <f>SUMIFS(Trans_Demand!D:D,Trans_Demand!A:A,B241,Trans_Demand!C:C,F241)</f>
        <v>9.5936072148351009E-2</v>
      </c>
    </row>
    <row r="242" spans="2:7">
      <c r="B242" t="str">
        <f>Trans_Demand!A526</f>
        <v>RESHOUUMNewDMD</v>
      </c>
      <c r="C242" t="str">
        <f>"DEMAND - "&amp;_xlfn.XLOOKUP(B242,Demand!E:E,Demand!A:A)&amp;" "&amp;_xlfn.XLOOKUP(B242,Demand!E:E,Demand!B:B)&amp;" "&amp;_xlfn.XLOOKUP(B242,Demand!E:E,Demand!C:C)&amp;" "&amp;_xlfn.XLOOKUP(B242,Demand!E:E,Demand!D:D)</f>
        <v>DEMAND - Residential House Upper-Middle Income New</v>
      </c>
      <c r="D242" t="str">
        <f>_xlfn.XLOOKUP(B242,Trans_Demand!A:A,Trans_Demand!B:B)</f>
        <v>Mm2</v>
      </c>
      <c r="E242" t="s">
        <v>214</v>
      </c>
      <c r="F242">
        <f>Trans_Demand!C526</f>
        <v>2025</v>
      </c>
      <c r="G242" s="11">
        <f>SUMIFS(Trans_Demand!D:D,Trans_Demand!A:A,B242,Trans_Demand!C:C,F242)</f>
        <v>0.575616432890106</v>
      </c>
    </row>
    <row r="243" spans="2:7">
      <c r="B243" t="str">
        <f>Trans_Demand!A527</f>
        <v>RESHOUUMNewDMD</v>
      </c>
      <c r="C243" t="str">
        <f>"DEMAND - "&amp;_xlfn.XLOOKUP(B243,Demand!E:E,Demand!A:A)&amp;" "&amp;_xlfn.XLOOKUP(B243,Demand!E:E,Demand!B:B)&amp;" "&amp;_xlfn.XLOOKUP(B243,Demand!E:E,Demand!C:C)&amp;" "&amp;_xlfn.XLOOKUP(B243,Demand!E:E,Demand!D:D)</f>
        <v>DEMAND - Residential House Upper-Middle Income New</v>
      </c>
      <c r="D243" t="str">
        <f>_xlfn.XLOOKUP(B243,Trans_Demand!A:A,Trans_Demand!B:B)</f>
        <v>Mm2</v>
      </c>
      <c r="E243" t="s">
        <v>214</v>
      </c>
      <c r="F243">
        <f>Trans_Demand!C527</f>
        <v>2030</v>
      </c>
      <c r="G243" s="11">
        <f>SUMIFS(Trans_Demand!D:D,Trans_Demand!A:A,B243,Trans_Demand!C:C,F243)</f>
        <v>1.0552967936318609</v>
      </c>
    </row>
    <row r="244" spans="2:7">
      <c r="B244" t="str">
        <f>Trans_Demand!A528</f>
        <v>RESHOUUMNewDMD</v>
      </c>
      <c r="C244" t="str">
        <f>"DEMAND - "&amp;_xlfn.XLOOKUP(B244,Demand!E:E,Demand!A:A)&amp;" "&amp;_xlfn.XLOOKUP(B244,Demand!E:E,Demand!B:B)&amp;" "&amp;_xlfn.XLOOKUP(B244,Demand!E:E,Demand!C:C)&amp;" "&amp;_xlfn.XLOOKUP(B244,Demand!E:E,Demand!D:D)</f>
        <v>DEMAND - Residential House Upper-Middle Income New</v>
      </c>
      <c r="D244" t="str">
        <f>_xlfn.XLOOKUP(B244,Trans_Demand!A:A,Trans_Demand!B:B)</f>
        <v>Mm2</v>
      </c>
      <c r="E244" t="s">
        <v>214</v>
      </c>
      <c r="F244">
        <f>Trans_Demand!C528</f>
        <v>2035</v>
      </c>
      <c r="G244" s="11">
        <f>SUMIFS(Trans_Demand!D:D,Trans_Demand!A:A,B244,Trans_Demand!C:C,F244)</f>
        <v>1.5349771543736159</v>
      </c>
    </row>
    <row r="245" spans="2:7">
      <c r="B245" t="str">
        <f>Trans_Demand!A529</f>
        <v>RESHOUUMNewDMD</v>
      </c>
      <c r="C245" t="str">
        <f>"DEMAND - "&amp;_xlfn.XLOOKUP(B245,Demand!E:E,Demand!A:A)&amp;" "&amp;_xlfn.XLOOKUP(B245,Demand!E:E,Demand!B:B)&amp;" "&amp;_xlfn.XLOOKUP(B245,Demand!E:E,Demand!C:C)&amp;" "&amp;_xlfn.XLOOKUP(B245,Demand!E:E,Demand!D:D)</f>
        <v>DEMAND - Residential House Upper-Middle Income New</v>
      </c>
      <c r="D245" t="str">
        <f>_xlfn.XLOOKUP(B245,Trans_Demand!A:A,Trans_Demand!B:B)</f>
        <v>Mm2</v>
      </c>
      <c r="E245" t="s">
        <v>214</v>
      </c>
      <c r="F245">
        <f>Trans_Demand!C529</f>
        <v>2040</v>
      </c>
      <c r="G245" s="11">
        <f>SUMIFS(Trans_Demand!D:D,Trans_Demand!A:A,B245,Trans_Demand!C:C,F245)</f>
        <v>2.0146575151153709</v>
      </c>
    </row>
    <row r="246" spans="2:7">
      <c r="B246" t="str">
        <f>Trans_Demand!A530</f>
        <v>RESHOUUMNewDMD</v>
      </c>
      <c r="C246" t="str">
        <f>"DEMAND - "&amp;_xlfn.XLOOKUP(B246,Demand!E:E,Demand!A:A)&amp;" "&amp;_xlfn.XLOOKUP(B246,Demand!E:E,Demand!B:B)&amp;" "&amp;_xlfn.XLOOKUP(B246,Demand!E:E,Demand!C:C)&amp;" "&amp;_xlfn.XLOOKUP(B246,Demand!E:E,Demand!D:D)</f>
        <v>DEMAND - Residential House Upper-Middle Income New</v>
      </c>
      <c r="D246" t="str">
        <f>_xlfn.XLOOKUP(B246,Trans_Demand!A:A,Trans_Demand!B:B)</f>
        <v>Mm2</v>
      </c>
      <c r="E246" t="s">
        <v>214</v>
      </c>
      <c r="F246">
        <f>Trans_Demand!C530</f>
        <v>2045</v>
      </c>
      <c r="G246" s="11">
        <f>SUMIFS(Trans_Demand!D:D,Trans_Demand!A:A,B246,Trans_Demand!C:C,F246)</f>
        <v>2.4943378758571262</v>
      </c>
    </row>
    <row r="247" spans="2:7">
      <c r="B247" t="str">
        <f>Trans_Demand!A531</f>
        <v>RESHOUUMNewDMD</v>
      </c>
      <c r="C247" t="str">
        <f>"DEMAND - "&amp;_xlfn.XLOOKUP(B247,Demand!E:E,Demand!A:A)&amp;" "&amp;_xlfn.XLOOKUP(B247,Demand!E:E,Demand!B:B)&amp;" "&amp;_xlfn.XLOOKUP(B247,Demand!E:E,Demand!C:C)&amp;" "&amp;_xlfn.XLOOKUP(B247,Demand!E:E,Demand!D:D)</f>
        <v>DEMAND - Residential House Upper-Middle Income New</v>
      </c>
      <c r="D247" t="str">
        <f>_xlfn.XLOOKUP(B247,Trans_Demand!A:A,Trans_Demand!B:B)</f>
        <v>Mm2</v>
      </c>
      <c r="E247" t="s">
        <v>214</v>
      </c>
      <c r="F247">
        <f>Trans_Demand!C531</f>
        <v>2050</v>
      </c>
      <c r="G247" s="11">
        <f>SUMIFS(Trans_Demand!D:D,Trans_Demand!A:A,B247,Trans_Demand!C:C,F247)</f>
        <v>2.974018236598881</v>
      </c>
    </row>
    <row r="248" spans="2:7">
      <c r="B248" t="str">
        <f>Trans_Demand!A532</f>
        <v>RESHOUUMNewDMD</v>
      </c>
      <c r="C248" t="str">
        <f>"DEMAND - "&amp;_xlfn.XLOOKUP(B248,Demand!E:E,Demand!A:A)&amp;" "&amp;_xlfn.XLOOKUP(B248,Demand!E:E,Demand!B:B)&amp;" "&amp;_xlfn.XLOOKUP(B248,Demand!E:E,Demand!C:C)&amp;" "&amp;_xlfn.XLOOKUP(B248,Demand!E:E,Demand!D:D)</f>
        <v>DEMAND - Residential House Upper-Middle Income New</v>
      </c>
      <c r="D248" t="str">
        <f>_xlfn.XLOOKUP(B248,Trans_Demand!A:A,Trans_Demand!B:B)</f>
        <v>Mm2</v>
      </c>
      <c r="E248" t="s">
        <v>214</v>
      </c>
      <c r="F248">
        <f>Trans_Demand!C532</f>
        <v>2055</v>
      </c>
      <c r="G248" s="11">
        <f>SUMIFS(Trans_Demand!D:D,Trans_Demand!A:A,B248,Trans_Demand!C:C,F248)</f>
        <v>3.4536985973406358</v>
      </c>
    </row>
    <row r="249" spans="2:7">
      <c r="B249" t="str">
        <f>Trans_Demand!A533</f>
        <v>RESHOUUMNewDMD</v>
      </c>
      <c r="C249" t="str">
        <f>"DEMAND - "&amp;_xlfn.XLOOKUP(B249,Demand!E:E,Demand!A:A)&amp;" "&amp;_xlfn.XLOOKUP(B249,Demand!E:E,Demand!B:B)&amp;" "&amp;_xlfn.XLOOKUP(B249,Demand!E:E,Demand!C:C)&amp;" "&amp;_xlfn.XLOOKUP(B249,Demand!E:E,Demand!D:D)</f>
        <v>DEMAND - Residential House Upper-Middle Income New</v>
      </c>
      <c r="D249" t="str">
        <f>_xlfn.XLOOKUP(B249,Trans_Demand!A:A,Trans_Demand!B:B)</f>
        <v>Mm2</v>
      </c>
      <c r="E249" t="s">
        <v>214</v>
      </c>
      <c r="F249">
        <f>Trans_Demand!C533</f>
        <v>2060</v>
      </c>
      <c r="G249" s="11">
        <f>SUMIFS(Trans_Demand!D:D,Trans_Demand!A:A,B249,Trans_Demand!C:C,F249)</f>
        <v>3.933378958082391</v>
      </c>
    </row>
    <row r="250" spans="2:7">
      <c r="B250" t="str">
        <f>Trans_Demand!A534</f>
        <v>RESHOUUMNewDMD</v>
      </c>
      <c r="C250" t="str">
        <f>"DEMAND - "&amp;_xlfn.XLOOKUP(B250,Demand!E:E,Demand!A:A)&amp;" "&amp;_xlfn.XLOOKUP(B250,Demand!E:E,Demand!B:B)&amp;" "&amp;_xlfn.XLOOKUP(B250,Demand!E:E,Demand!C:C)&amp;" "&amp;_xlfn.XLOOKUP(B250,Demand!E:E,Demand!D:D)</f>
        <v>DEMAND - Residential House Upper-Middle Income New</v>
      </c>
      <c r="D250" t="str">
        <f>_xlfn.XLOOKUP(B250,Trans_Demand!A:A,Trans_Demand!B:B)</f>
        <v>Mm2</v>
      </c>
      <c r="E250" t="s">
        <v>214</v>
      </c>
      <c r="F250">
        <f>Trans_Demand!C534</f>
        <v>2065</v>
      </c>
      <c r="G250" s="11">
        <f>SUMIFS(Trans_Demand!D:D,Trans_Demand!A:A,B250,Trans_Demand!C:C,F250)</f>
        <v>4.4130593188241454</v>
      </c>
    </row>
    <row r="251" spans="2:7">
      <c r="B251" t="str">
        <f>Trans_Demand!A535</f>
        <v>RESHOUUMNewDMD</v>
      </c>
      <c r="C251" t="str">
        <f>"DEMAND - "&amp;_xlfn.XLOOKUP(B251,Demand!E:E,Demand!A:A)&amp;" "&amp;_xlfn.XLOOKUP(B251,Demand!E:E,Demand!B:B)&amp;" "&amp;_xlfn.XLOOKUP(B251,Demand!E:E,Demand!C:C)&amp;" "&amp;_xlfn.XLOOKUP(B251,Demand!E:E,Demand!D:D)</f>
        <v>DEMAND - Residential House Upper-Middle Income New</v>
      </c>
      <c r="D251" t="str">
        <f>_xlfn.XLOOKUP(B251,Trans_Demand!A:A,Trans_Demand!B:B)</f>
        <v>Mm2</v>
      </c>
      <c r="E251" t="s">
        <v>214</v>
      </c>
      <c r="F251">
        <f>Trans_Demand!C535</f>
        <v>2070</v>
      </c>
      <c r="G251" s="11">
        <f>SUMIFS(Trans_Demand!D:D,Trans_Demand!A:A,B251,Trans_Demand!C:C,F251)</f>
        <v>4.8927396795659002</v>
      </c>
    </row>
    <row r="252" spans="2:7">
      <c r="B252" t="str">
        <f>Trans_Demand!A536</f>
        <v>RESHOUUMNewDMD</v>
      </c>
      <c r="C252" t="str">
        <f>"DEMAND - "&amp;_xlfn.XLOOKUP(B252,Demand!E:E,Demand!A:A)&amp;" "&amp;_xlfn.XLOOKUP(B252,Demand!E:E,Demand!B:B)&amp;" "&amp;_xlfn.XLOOKUP(B252,Demand!E:E,Demand!C:C)&amp;" "&amp;_xlfn.XLOOKUP(B252,Demand!E:E,Demand!D:D)</f>
        <v>DEMAND - Residential House Upper-Middle Income New</v>
      </c>
      <c r="D252" t="str">
        <f>_xlfn.XLOOKUP(B252,Trans_Demand!A:A,Trans_Demand!B:B)</f>
        <v>Mm2</v>
      </c>
      <c r="E252" t="s">
        <v>214</v>
      </c>
      <c r="F252">
        <f>Trans_Demand!C536</f>
        <v>2075</v>
      </c>
      <c r="G252" s="11">
        <f>SUMIFS(Trans_Demand!D:D,Trans_Demand!A:A,B252,Trans_Demand!C:C,F252)</f>
        <v>5.372420040307655</v>
      </c>
    </row>
    <row r="253" spans="2:7">
      <c r="B253" t="str">
        <f>Trans_Demand!A537</f>
        <v>RESHOUUMNewDMD</v>
      </c>
      <c r="C253" t="str">
        <f>"DEMAND - "&amp;_xlfn.XLOOKUP(B253,Demand!E:E,Demand!A:A)&amp;" "&amp;_xlfn.XLOOKUP(B253,Demand!E:E,Demand!B:B)&amp;" "&amp;_xlfn.XLOOKUP(B253,Demand!E:E,Demand!C:C)&amp;" "&amp;_xlfn.XLOOKUP(B253,Demand!E:E,Demand!D:D)</f>
        <v>DEMAND - Residential House Upper-Middle Income New</v>
      </c>
      <c r="D253" t="str">
        <f>_xlfn.XLOOKUP(B253,Trans_Demand!A:A,Trans_Demand!B:B)</f>
        <v>Mm2</v>
      </c>
      <c r="E253" t="s">
        <v>214</v>
      </c>
      <c r="F253">
        <f>Trans_Demand!C537</f>
        <v>2080</v>
      </c>
      <c r="G253" s="11">
        <f>SUMIFS(Trans_Demand!D:D,Trans_Demand!A:A,B253,Trans_Demand!C:C,F253)</f>
        <v>5.8521004010494098</v>
      </c>
    </row>
    <row r="254" spans="2:7">
      <c r="B254" t="str">
        <f>Trans_Demand!A538</f>
        <v>RESHOUUMNewDMD</v>
      </c>
      <c r="C254" t="str">
        <f>"DEMAND - "&amp;_xlfn.XLOOKUP(B254,Demand!E:E,Demand!A:A)&amp;" "&amp;_xlfn.XLOOKUP(B254,Demand!E:E,Demand!B:B)&amp;" "&amp;_xlfn.XLOOKUP(B254,Demand!E:E,Demand!C:C)&amp;" "&amp;_xlfn.XLOOKUP(B254,Demand!E:E,Demand!D:D)</f>
        <v>DEMAND - Residential House Upper-Middle Income New</v>
      </c>
      <c r="D254" t="str">
        <f>_xlfn.XLOOKUP(B254,Trans_Demand!A:A,Trans_Demand!B:B)</f>
        <v>Mm2</v>
      </c>
      <c r="E254" t="s">
        <v>214</v>
      </c>
      <c r="F254">
        <f>Trans_Demand!C538</f>
        <v>2085</v>
      </c>
      <c r="G254" s="11">
        <f>SUMIFS(Trans_Demand!D:D,Trans_Demand!A:A,B254,Trans_Demand!C:C,F254)</f>
        <v>6.3317807617911646</v>
      </c>
    </row>
    <row r="255" spans="2:7">
      <c r="B255" t="str">
        <f>Trans_Demand!A539</f>
        <v>RESHOUUMNewDMD</v>
      </c>
      <c r="C255" t="str">
        <f>"DEMAND - "&amp;_xlfn.XLOOKUP(B255,Demand!E:E,Demand!A:A)&amp;" "&amp;_xlfn.XLOOKUP(B255,Demand!E:E,Demand!B:B)&amp;" "&amp;_xlfn.XLOOKUP(B255,Demand!E:E,Demand!C:C)&amp;" "&amp;_xlfn.XLOOKUP(B255,Demand!E:E,Demand!D:D)</f>
        <v>DEMAND - Residential House Upper-Middle Income New</v>
      </c>
      <c r="D255" t="str">
        <f>_xlfn.XLOOKUP(B255,Trans_Demand!A:A,Trans_Demand!B:B)</f>
        <v>Mm2</v>
      </c>
      <c r="E255" t="s">
        <v>214</v>
      </c>
      <c r="F255">
        <f>Trans_Demand!C539</f>
        <v>2090</v>
      </c>
      <c r="G255" s="11">
        <f>SUMIFS(Trans_Demand!D:D,Trans_Demand!A:A,B255,Trans_Demand!C:C,F255)</f>
        <v>6.8114611225329194</v>
      </c>
    </row>
    <row r="256" spans="2:7">
      <c r="B256" t="str">
        <f>Trans_Demand!A540</f>
        <v>RESHOUUMNewDMD</v>
      </c>
      <c r="C256" t="str">
        <f>"DEMAND - "&amp;_xlfn.XLOOKUP(B256,Demand!E:E,Demand!A:A)&amp;" "&amp;_xlfn.XLOOKUP(B256,Demand!E:E,Demand!B:B)&amp;" "&amp;_xlfn.XLOOKUP(B256,Demand!E:E,Demand!C:C)&amp;" "&amp;_xlfn.XLOOKUP(B256,Demand!E:E,Demand!D:D)</f>
        <v>DEMAND - Residential House Upper-Middle Income New</v>
      </c>
      <c r="D256" t="str">
        <f>_xlfn.XLOOKUP(B256,Trans_Demand!A:A,Trans_Demand!B:B)</f>
        <v>Mm2</v>
      </c>
      <c r="E256" t="s">
        <v>214</v>
      </c>
      <c r="F256">
        <f>Trans_Demand!C540</f>
        <v>2095</v>
      </c>
      <c r="G256" s="11">
        <f>SUMIFS(Trans_Demand!D:D,Trans_Demand!A:A,B256,Trans_Demand!C:C,F256)</f>
        <v>7.2911414832746742</v>
      </c>
    </row>
    <row r="257" spans="2:7">
      <c r="B257" t="str">
        <f>Trans_Demand!A541</f>
        <v>RESHOUUMNewDMD</v>
      </c>
      <c r="C257" t="str">
        <f>"DEMAND - "&amp;_xlfn.XLOOKUP(B257,Demand!E:E,Demand!A:A)&amp;" "&amp;_xlfn.XLOOKUP(B257,Demand!E:E,Demand!B:B)&amp;" "&amp;_xlfn.XLOOKUP(B257,Demand!E:E,Demand!C:C)&amp;" "&amp;_xlfn.XLOOKUP(B257,Demand!E:E,Demand!D:D)</f>
        <v>DEMAND - Residential House Upper-Middle Income New</v>
      </c>
      <c r="D257" t="str">
        <f>_xlfn.XLOOKUP(B257,Trans_Demand!A:A,Trans_Demand!B:B)</f>
        <v>Mm2</v>
      </c>
      <c r="E257" t="s">
        <v>214</v>
      </c>
      <c r="F257">
        <f>Trans_Demand!C541</f>
        <v>2100</v>
      </c>
      <c r="G257" s="11">
        <f>SUMIFS(Trans_Demand!D:D,Trans_Demand!A:A,B257,Trans_Demand!C:C,F257)</f>
        <v>7.7708218440164289</v>
      </c>
    </row>
    <row r="258" spans="2:7">
      <c r="B258" t="str">
        <f>Trans_Demand!A542</f>
        <v>RESAPAHINewDMD</v>
      </c>
      <c r="C258" t="str">
        <f>"DEMAND - "&amp;_xlfn.XLOOKUP(B258,Demand!E:E,Demand!A:A)&amp;" "&amp;_xlfn.XLOOKUP(B258,Demand!E:E,Demand!B:B)&amp;" "&amp;_xlfn.XLOOKUP(B258,Demand!E:E,Demand!C:C)&amp;" "&amp;_xlfn.XLOOKUP(B258,Demand!E:E,Demand!D:D)</f>
        <v>DEMAND - Residential Apartment High Income New</v>
      </c>
      <c r="D258" t="str">
        <f>_xlfn.XLOOKUP(B258,Trans_Demand!A:A,Trans_Demand!B:B)</f>
        <v>Mm2</v>
      </c>
      <c r="E258" t="s">
        <v>214</v>
      </c>
      <c r="F258">
        <f>Trans_Demand!C542</f>
        <v>2019</v>
      </c>
      <c r="G258" s="11">
        <f>SUMIFS(Trans_Demand!D:D,Trans_Demand!A:A,B258,Trans_Demand!C:C,F258)</f>
        <v>0</v>
      </c>
    </row>
    <row r="259" spans="2:7">
      <c r="B259" t="str">
        <f>Trans_Demand!A543</f>
        <v>RESAPAHINewDMD</v>
      </c>
      <c r="C259" t="str">
        <f>"DEMAND - "&amp;_xlfn.XLOOKUP(B259,Demand!E:E,Demand!A:A)&amp;" "&amp;_xlfn.XLOOKUP(B259,Demand!E:E,Demand!B:B)&amp;" "&amp;_xlfn.XLOOKUP(B259,Demand!E:E,Demand!C:C)&amp;" "&amp;_xlfn.XLOOKUP(B259,Demand!E:E,Demand!D:D)</f>
        <v>DEMAND - Residential Apartment High Income New</v>
      </c>
      <c r="D259" t="str">
        <f>_xlfn.XLOOKUP(B259,Trans_Demand!A:A,Trans_Demand!B:B)</f>
        <v>Mm2</v>
      </c>
      <c r="E259" t="s">
        <v>214</v>
      </c>
      <c r="F259">
        <f>Trans_Demand!C543</f>
        <v>2020</v>
      </c>
      <c r="G259" s="11">
        <f>SUMIFS(Trans_Demand!D:D,Trans_Demand!A:A,B259,Trans_Demand!C:C,F259)</f>
        <v>0.33199358690427477</v>
      </c>
    </row>
    <row r="260" spans="2:7">
      <c r="B260" t="str">
        <f>Trans_Demand!A544</f>
        <v>RESAPAHINewDMD</v>
      </c>
      <c r="C260" t="str">
        <f>"DEMAND - "&amp;_xlfn.XLOOKUP(B260,Demand!E:E,Demand!A:A)&amp;" "&amp;_xlfn.XLOOKUP(B260,Demand!E:E,Demand!B:B)&amp;" "&amp;_xlfn.XLOOKUP(B260,Demand!E:E,Demand!C:C)&amp;" "&amp;_xlfn.XLOOKUP(B260,Demand!E:E,Demand!D:D)</f>
        <v>DEMAND - Residential Apartment High Income New</v>
      </c>
      <c r="D260" t="str">
        <f>_xlfn.XLOOKUP(B260,Trans_Demand!A:A,Trans_Demand!B:B)</f>
        <v>Mm2</v>
      </c>
      <c r="E260" t="s">
        <v>214</v>
      </c>
      <c r="F260">
        <f>Trans_Demand!C544</f>
        <v>2025</v>
      </c>
      <c r="G260" s="11">
        <f>SUMIFS(Trans_Demand!D:D,Trans_Demand!A:A,B260,Trans_Demand!C:C,F260)</f>
        <v>1.991961521425649</v>
      </c>
    </row>
    <row r="261" spans="2:7">
      <c r="B261" t="str">
        <f>Trans_Demand!A545</f>
        <v>RESAPAHINewDMD</v>
      </c>
      <c r="C261" t="str">
        <f>"DEMAND - "&amp;_xlfn.XLOOKUP(B261,Demand!E:E,Demand!A:A)&amp;" "&amp;_xlfn.XLOOKUP(B261,Demand!E:E,Demand!B:B)&amp;" "&amp;_xlfn.XLOOKUP(B261,Demand!E:E,Demand!C:C)&amp;" "&amp;_xlfn.XLOOKUP(B261,Demand!E:E,Demand!D:D)</f>
        <v>DEMAND - Residential Apartment High Income New</v>
      </c>
      <c r="D261" t="str">
        <f>_xlfn.XLOOKUP(B261,Trans_Demand!A:A,Trans_Demand!B:B)</f>
        <v>Mm2</v>
      </c>
      <c r="E261" t="s">
        <v>214</v>
      </c>
      <c r="F261">
        <f>Trans_Demand!C545</f>
        <v>2030</v>
      </c>
      <c r="G261" s="11">
        <f>SUMIFS(Trans_Demand!D:D,Trans_Demand!A:A,B261,Trans_Demand!C:C,F261)</f>
        <v>3.6519294559470228</v>
      </c>
    </row>
    <row r="262" spans="2:7">
      <c r="B262" t="str">
        <f>Trans_Demand!A546</f>
        <v>RESAPAHINewDMD</v>
      </c>
      <c r="C262" t="str">
        <f>"DEMAND - "&amp;_xlfn.XLOOKUP(B262,Demand!E:E,Demand!A:A)&amp;" "&amp;_xlfn.XLOOKUP(B262,Demand!E:E,Demand!B:B)&amp;" "&amp;_xlfn.XLOOKUP(B262,Demand!E:E,Demand!C:C)&amp;" "&amp;_xlfn.XLOOKUP(B262,Demand!E:E,Demand!D:D)</f>
        <v>DEMAND - Residential Apartment High Income New</v>
      </c>
      <c r="D262" t="str">
        <f>_xlfn.XLOOKUP(B262,Trans_Demand!A:A,Trans_Demand!B:B)</f>
        <v>Mm2</v>
      </c>
      <c r="E262" t="s">
        <v>214</v>
      </c>
      <c r="F262">
        <f>Trans_Demand!C546</f>
        <v>2035</v>
      </c>
      <c r="G262" s="11">
        <f>SUMIFS(Trans_Demand!D:D,Trans_Demand!A:A,B262,Trans_Demand!C:C,F262)</f>
        <v>5.3118973904683973</v>
      </c>
    </row>
    <row r="263" spans="2:7">
      <c r="B263" t="str">
        <f>Trans_Demand!A547</f>
        <v>RESAPAHINewDMD</v>
      </c>
      <c r="C263" t="str">
        <f>"DEMAND - "&amp;_xlfn.XLOOKUP(B263,Demand!E:E,Demand!A:A)&amp;" "&amp;_xlfn.XLOOKUP(B263,Demand!E:E,Demand!B:B)&amp;" "&amp;_xlfn.XLOOKUP(B263,Demand!E:E,Demand!C:C)&amp;" "&amp;_xlfn.XLOOKUP(B263,Demand!E:E,Demand!D:D)</f>
        <v>DEMAND - Residential Apartment High Income New</v>
      </c>
      <c r="D263" t="str">
        <f>_xlfn.XLOOKUP(B263,Trans_Demand!A:A,Trans_Demand!B:B)</f>
        <v>Mm2</v>
      </c>
      <c r="E263" t="s">
        <v>214</v>
      </c>
      <c r="F263">
        <f>Trans_Demand!C547</f>
        <v>2040</v>
      </c>
      <c r="G263" s="11">
        <f>SUMIFS(Trans_Demand!D:D,Trans_Demand!A:A,B263,Trans_Demand!C:C,F263)</f>
        <v>6.9718653249897713</v>
      </c>
    </row>
    <row r="264" spans="2:7">
      <c r="B264" t="str">
        <f>Trans_Demand!A548</f>
        <v>RESAPAHINewDMD</v>
      </c>
      <c r="C264" t="str">
        <f>"DEMAND - "&amp;_xlfn.XLOOKUP(B264,Demand!E:E,Demand!A:A)&amp;" "&amp;_xlfn.XLOOKUP(B264,Demand!E:E,Demand!B:B)&amp;" "&amp;_xlfn.XLOOKUP(B264,Demand!E:E,Demand!C:C)&amp;" "&amp;_xlfn.XLOOKUP(B264,Demand!E:E,Demand!D:D)</f>
        <v>DEMAND - Residential Apartment High Income New</v>
      </c>
      <c r="D264" t="str">
        <f>_xlfn.XLOOKUP(B264,Trans_Demand!A:A,Trans_Demand!B:B)</f>
        <v>Mm2</v>
      </c>
      <c r="E264" t="s">
        <v>214</v>
      </c>
      <c r="F264">
        <f>Trans_Demand!C548</f>
        <v>2045</v>
      </c>
      <c r="G264" s="11">
        <f>SUMIFS(Trans_Demand!D:D,Trans_Demand!A:A,B264,Trans_Demand!C:C,F264)</f>
        <v>8.6318332595111453</v>
      </c>
    </row>
    <row r="265" spans="2:7">
      <c r="B265" t="str">
        <f>Trans_Demand!A549</f>
        <v>RESAPAHINewDMD</v>
      </c>
      <c r="C265" t="str">
        <f>"DEMAND - "&amp;_xlfn.XLOOKUP(B265,Demand!E:E,Demand!A:A)&amp;" "&amp;_xlfn.XLOOKUP(B265,Demand!E:E,Demand!B:B)&amp;" "&amp;_xlfn.XLOOKUP(B265,Demand!E:E,Demand!C:C)&amp;" "&amp;_xlfn.XLOOKUP(B265,Demand!E:E,Demand!D:D)</f>
        <v>DEMAND - Residential Apartment High Income New</v>
      </c>
      <c r="D265" t="str">
        <f>_xlfn.XLOOKUP(B265,Trans_Demand!A:A,Trans_Demand!B:B)</f>
        <v>Mm2</v>
      </c>
      <c r="E265" t="s">
        <v>214</v>
      </c>
      <c r="F265">
        <f>Trans_Demand!C549</f>
        <v>2050</v>
      </c>
      <c r="G265" s="11">
        <f>SUMIFS(Trans_Demand!D:D,Trans_Demand!A:A,B265,Trans_Demand!C:C,F265)</f>
        <v>10.291801194032519</v>
      </c>
    </row>
    <row r="266" spans="2:7">
      <c r="B266" t="str">
        <f>Trans_Demand!A550</f>
        <v>RESAPAHINewDMD</v>
      </c>
      <c r="C266" t="str">
        <f>"DEMAND - "&amp;_xlfn.XLOOKUP(B266,Demand!E:E,Demand!A:A)&amp;" "&amp;_xlfn.XLOOKUP(B266,Demand!E:E,Demand!B:B)&amp;" "&amp;_xlfn.XLOOKUP(B266,Demand!E:E,Demand!C:C)&amp;" "&amp;_xlfn.XLOOKUP(B266,Demand!E:E,Demand!D:D)</f>
        <v>DEMAND - Residential Apartment High Income New</v>
      </c>
      <c r="D266" t="str">
        <f>_xlfn.XLOOKUP(B266,Trans_Demand!A:A,Trans_Demand!B:B)</f>
        <v>Mm2</v>
      </c>
      <c r="E266" t="s">
        <v>214</v>
      </c>
      <c r="F266">
        <f>Trans_Demand!C550</f>
        <v>2055</v>
      </c>
      <c r="G266" s="11">
        <f>SUMIFS(Trans_Demand!D:D,Trans_Demand!A:A,B266,Trans_Demand!C:C,F266)</f>
        <v>11.95176912855389</v>
      </c>
    </row>
    <row r="267" spans="2:7">
      <c r="B267" t="str">
        <f>Trans_Demand!A551</f>
        <v>RESAPAHINewDMD</v>
      </c>
      <c r="C267" t="str">
        <f>"DEMAND - "&amp;_xlfn.XLOOKUP(B267,Demand!E:E,Demand!A:A)&amp;" "&amp;_xlfn.XLOOKUP(B267,Demand!E:E,Demand!B:B)&amp;" "&amp;_xlfn.XLOOKUP(B267,Demand!E:E,Demand!C:C)&amp;" "&amp;_xlfn.XLOOKUP(B267,Demand!E:E,Demand!D:D)</f>
        <v>DEMAND - Residential Apartment High Income New</v>
      </c>
      <c r="D267" t="str">
        <f>_xlfn.XLOOKUP(B267,Trans_Demand!A:A,Trans_Demand!B:B)</f>
        <v>Mm2</v>
      </c>
      <c r="E267" t="s">
        <v>214</v>
      </c>
      <c r="F267">
        <f>Trans_Demand!C551</f>
        <v>2060</v>
      </c>
      <c r="G267" s="11">
        <f>SUMIFS(Trans_Demand!D:D,Trans_Demand!A:A,B267,Trans_Demand!C:C,F267)</f>
        <v>13.611737063075269</v>
      </c>
    </row>
    <row r="268" spans="2:7">
      <c r="B268" t="str">
        <f>Trans_Demand!A552</f>
        <v>RESAPAHINewDMD</v>
      </c>
      <c r="C268" t="str">
        <f>"DEMAND - "&amp;_xlfn.XLOOKUP(B268,Demand!E:E,Demand!A:A)&amp;" "&amp;_xlfn.XLOOKUP(B268,Demand!E:E,Demand!B:B)&amp;" "&amp;_xlfn.XLOOKUP(B268,Demand!E:E,Demand!C:C)&amp;" "&amp;_xlfn.XLOOKUP(B268,Demand!E:E,Demand!D:D)</f>
        <v>DEMAND - Residential Apartment High Income New</v>
      </c>
      <c r="D268" t="str">
        <f>_xlfn.XLOOKUP(B268,Trans_Demand!A:A,Trans_Demand!B:B)</f>
        <v>Mm2</v>
      </c>
      <c r="E268" t="s">
        <v>214</v>
      </c>
      <c r="F268">
        <f>Trans_Demand!C552</f>
        <v>2065</v>
      </c>
      <c r="G268" s="11">
        <f>SUMIFS(Trans_Demand!D:D,Trans_Demand!A:A,B268,Trans_Demand!C:C,F268)</f>
        <v>15.27170499759664</v>
      </c>
    </row>
    <row r="269" spans="2:7">
      <c r="B269" t="str">
        <f>Trans_Demand!A553</f>
        <v>RESAPAHINewDMD</v>
      </c>
      <c r="C269" t="str">
        <f>"DEMAND - "&amp;_xlfn.XLOOKUP(B269,Demand!E:E,Demand!A:A)&amp;" "&amp;_xlfn.XLOOKUP(B269,Demand!E:E,Demand!B:B)&amp;" "&amp;_xlfn.XLOOKUP(B269,Demand!E:E,Demand!C:C)&amp;" "&amp;_xlfn.XLOOKUP(B269,Demand!E:E,Demand!D:D)</f>
        <v>DEMAND - Residential Apartment High Income New</v>
      </c>
      <c r="D269" t="str">
        <f>_xlfn.XLOOKUP(B269,Trans_Demand!A:A,Trans_Demand!B:B)</f>
        <v>Mm2</v>
      </c>
      <c r="E269" t="s">
        <v>214</v>
      </c>
      <c r="F269">
        <f>Trans_Demand!C553</f>
        <v>2070</v>
      </c>
      <c r="G269" s="11">
        <f>SUMIFS(Trans_Demand!D:D,Trans_Demand!A:A,B269,Trans_Demand!C:C,F269)</f>
        <v>16.931672932118019</v>
      </c>
    </row>
    <row r="270" spans="2:7">
      <c r="B270" t="str">
        <f>Trans_Demand!A554</f>
        <v>RESAPAHINewDMD</v>
      </c>
      <c r="C270" t="str">
        <f>"DEMAND - "&amp;_xlfn.XLOOKUP(B270,Demand!E:E,Demand!A:A)&amp;" "&amp;_xlfn.XLOOKUP(B270,Demand!E:E,Demand!B:B)&amp;" "&amp;_xlfn.XLOOKUP(B270,Demand!E:E,Demand!C:C)&amp;" "&amp;_xlfn.XLOOKUP(B270,Demand!E:E,Demand!D:D)</f>
        <v>DEMAND - Residential Apartment High Income New</v>
      </c>
      <c r="D270" t="str">
        <f>_xlfn.XLOOKUP(B270,Trans_Demand!A:A,Trans_Demand!B:B)</f>
        <v>Mm2</v>
      </c>
      <c r="E270" t="s">
        <v>214</v>
      </c>
      <c r="F270">
        <f>Trans_Demand!C554</f>
        <v>2075</v>
      </c>
      <c r="G270" s="11">
        <f>SUMIFS(Trans_Demand!D:D,Trans_Demand!A:A,B270,Trans_Demand!C:C,F270)</f>
        <v>18.591640866639391</v>
      </c>
    </row>
    <row r="271" spans="2:7">
      <c r="B271" t="str">
        <f>Trans_Demand!A555</f>
        <v>RESAPAHINewDMD</v>
      </c>
      <c r="C271" t="str">
        <f>"DEMAND - "&amp;_xlfn.XLOOKUP(B271,Demand!E:E,Demand!A:A)&amp;" "&amp;_xlfn.XLOOKUP(B271,Demand!E:E,Demand!B:B)&amp;" "&amp;_xlfn.XLOOKUP(B271,Demand!E:E,Demand!C:C)&amp;" "&amp;_xlfn.XLOOKUP(B271,Demand!E:E,Demand!D:D)</f>
        <v>DEMAND - Residential Apartment High Income New</v>
      </c>
      <c r="D271" t="str">
        <f>_xlfn.XLOOKUP(B271,Trans_Demand!A:A,Trans_Demand!B:B)</f>
        <v>Mm2</v>
      </c>
      <c r="E271" t="s">
        <v>214</v>
      </c>
      <c r="F271">
        <f>Trans_Demand!C555</f>
        <v>2080</v>
      </c>
      <c r="G271" s="11">
        <f>SUMIFS(Trans_Demand!D:D,Trans_Demand!A:A,B271,Trans_Demand!C:C,F271)</f>
        <v>20.25160880116076</v>
      </c>
    </row>
    <row r="272" spans="2:7">
      <c r="B272" t="str">
        <f>Trans_Demand!A556</f>
        <v>RESAPAHINewDMD</v>
      </c>
      <c r="C272" t="str">
        <f>"DEMAND - "&amp;_xlfn.XLOOKUP(B272,Demand!E:E,Demand!A:A)&amp;" "&amp;_xlfn.XLOOKUP(B272,Demand!E:E,Demand!B:B)&amp;" "&amp;_xlfn.XLOOKUP(B272,Demand!E:E,Demand!C:C)&amp;" "&amp;_xlfn.XLOOKUP(B272,Demand!E:E,Demand!D:D)</f>
        <v>DEMAND - Residential Apartment High Income New</v>
      </c>
      <c r="D272" t="str">
        <f>_xlfn.XLOOKUP(B272,Trans_Demand!A:A,Trans_Demand!B:B)</f>
        <v>Mm2</v>
      </c>
      <c r="E272" t="s">
        <v>214</v>
      </c>
      <c r="F272">
        <f>Trans_Demand!C556</f>
        <v>2085</v>
      </c>
      <c r="G272" s="11">
        <f>SUMIFS(Trans_Demand!D:D,Trans_Demand!A:A,B272,Trans_Demand!C:C,F272)</f>
        <v>21.911576735682139</v>
      </c>
    </row>
    <row r="273" spans="2:7">
      <c r="B273" t="str">
        <f>Trans_Demand!A557</f>
        <v>RESAPAHINewDMD</v>
      </c>
      <c r="C273" t="str">
        <f>"DEMAND - "&amp;_xlfn.XLOOKUP(B273,Demand!E:E,Demand!A:A)&amp;" "&amp;_xlfn.XLOOKUP(B273,Demand!E:E,Demand!B:B)&amp;" "&amp;_xlfn.XLOOKUP(B273,Demand!E:E,Demand!C:C)&amp;" "&amp;_xlfn.XLOOKUP(B273,Demand!E:E,Demand!D:D)</f>
        <v>DEMAND - Residential Apartment High Income New</v>
      </c>
      <c r="D273" t="str">
        <f>_xlfn.XLOOKUP(B273,Trans_Demand!A:A,Trans_Demand!B:B)</f>
        <v>Mm2</v>
      </c>
      <c r="E273" t="s">
        <v>214</v>
      </c>
      <c r="F273">
        <f>Trans_Demand!C557</f>
        <v>2090</v>
      </c>
      <c r="G273" s="11">
        <f>SUMIFS(Trans_Demand!D:D,Trans_Demand!A:A,B273,Trans_Demand!C:C,F273)</f>
        <v>23.571544670203519</v>
      </c>
    </row>
    <row r="274" spans="2:7">
      <c r="B274" t="str">
        <f>Trans_Demand!A558</f>
        <v>RESAPAHINewDMD</v>
      </c>
      <c r="C274" t="str">
        <f>"DEMAND - "&amp;_xlfn.XLOOKUP(B274,Demand!E:E,Demand!A:A)&amp;" "&amp;_xlfn.XLOOKUP(B274,Demand!E:E,Demand!B:B)&amp;" "&amp;_xlfn.XLOOKUP(B274,Demand!E:E,Demand!C:C)&amp;" "&amp;_xlfn.XLOOKUP(B274,Demand!E:E,Demand!D:D)</f>
        <v>DEMAND - Residential Apartment High Income New</v>
      </c>
      <c r="D274" t="str">
        <f>_xlfn.XLOOKUP(B274,Trans_Demand!A:A,Trans_Demand!B:B)</f>
        <v>Mm2</v>
      </c>
      <c r="E274" t="s">
        <v>214</v>
      </c>
      <c r="F274">
        <f>Trans_Demand!C558</f>
        <v>2095</v>
      </c>
      <c r="G274" s="11">
        <f>SUMIFS(Trans_Demand!D:D,Trans_Demand!A:A,B274,Trans_Demand!C:C,F274)</f>
        <v>25.231512604724891</v>
      </c>
    </row>
    <row r="275" spans="2:7">
      <c r="B275" t="str">
        <f>Trans_Demand!A559</f>
        <v>RESAPAHINewDMD</v>
      </c>
      <c r="C275" t="str">
        <f>"DEMAND - "&amp;_xlfn.XLOOKUP(B275,Demand!E:E,Demand!A:A)&amp;" "&amp;_xlfn.XLOOKUP(B275,Demand!E:E,Demand!B:B)&amp;" "&amp;_xlfn.XLOOKUP(B275,Demand!E:E,Demand!C:C)&amp;" "&amp;_xlfn.XLOOKUP(B275,Demand!E:E,Demand!D:D)</f>
        <v>DEMAND - Residential Apartment High Income New</v>
      </c>
      <c r="D275" t="str">
        <f>_xlfn.XLOOKUP(B275,Trans_Demand!A:A,Trans_Demand!B:B)</f>
        <v>Mm2</v>
      </c>
      <c r="E275" t="s">
        <v>214</v>
      </c>
      <c r="F275">
        <f>Trans_Demand!C559</f>
        <v>2100</v>
      </c>
      <c r="G275" s="11">
        <f>SUMIFS(Trans_Demand!D:D,Trans_Demand!A:A,B275,Trans_Demand!C:C,F275)</f>
        <v>26.89148053924627</v>
      </c>
    </row>
    <row r="276" spans="2:7">
      <c r="B276" t="str">
        <f>Trans_Demand!A560</f>
        <v>RESHOUHINewDMD</v>
      </c>
      <c r="C276" t="str">
        <f>"DEMAND - "&amp;_xlfn.XLOOKUP(B276,Demand!E:E,Demand!A:A)&amp;" "&amp;_xlfn.XLOOKUP(B276,Demand!E:E,Demand!B:B)&amp;" "&amp;_xlfn.XLOOKUP(B276,Demand!E:E,Demand!C:C)&amp;" "&amp;_xlfn.XLOOKUP(B276,Demand!E:E,Demand!D:D)</f>
        <v>DEMAND - Residential House High Income New</v>
      </c>
      <c r="D276" t="str">
        <f>_xlfn.XLOOKUP(B276,Trans_Demand!A:A,Trans_Demand!B:B)</f>
        <v>Mm2</v>
      </c>
      <c r="E276" t="s">
        <v>214</v>
      </c>
      <c r="F276">
        <f>Trans_Demand!C560</f>
        <v>2019</v>
      </c>
      <c r="G276" s="11">
        <f>SUMIFS(Trans_Demand!D:D,Trans_Demand!A:A,B276,Trans_Demand!C:C,F276)</f>
        <v>0</v>
      </c>
    </row>
    <row r="277" spans="2:7">
      <c r="B277" t="str">
        <f>Trans_Demand!A561</f>
        <v>RESHOUHINewDMD</v>
      </c>
      <c r="C277" t="str">
        <f>"DEMAND - "&amp;_xlfn.XLOOKUP(B277,Demand!E:E,Demand!A:A)&amp;" "&amp;_xlfn.XLOOKUP(B277,Demand!E:E,Demand!B:B)&amp;" "&amp;_xlfn.XLOOKUP(B277,Demand!E:E,Demand!C:C)&amp;" "&amp;_xlfn.XLOOKUP(B277,Demand!E:E,Demand!D:D)</f>
        <v>DEMAND - Residential House High Income New</v>
      </c>
      <c r="D277" t="str">
        <f>_xlfn.XLOOKUP(B277,Trans_Demand!A:A,Trans_Demand!B:B)</f>
        <v>Mm2</v>
      </c>
      <c r="E277" t="s">
        <v>214</v>
      </c>
      <c r="F277">
        <f>Trans_Demand!C561</f>
        <v>2020</v>
      </c>
      <c r="G277" s="11">
        <f>SUMIFS(Trans_Demand!D:D,Trans_Demand!A:A,B277,Trans_Demand!C:C,F277)</f>
        <v>0.48276025423220698</v>
      </c>
    </row>
    <row r="278" spans="2:7">
      <c r="B278" t="str">
        <f>Trans_Demand!A562</f>
        <v>RESHOUHINewDMD</v>
      </c>
      <c r="C278" t="str">
        <f>"DEMAND - "&amp;_xlfn.XLOOKUP(B278,Demand!E:E,Demand!A:A)&amp;" "&amp;_xlfn.XLOOKUP(B278,Demand!E:E,Demand!B:B)&amp;" "&amp;_xlfn.XLOOKUP(B278,Demand!E:E,Demand!C:C)&amp;" "&amp;_xlfn.XLOOKUP(B278,Demand!E:E,Demand!D:D)</f>
        <v>DEMAND - Residential House High Income New</v>
      </c>
      <c r="D278" t="str">
        <f>_xlfn.XLOOKUP(B278,Trans_Demand!A:A,Trans_Demand!B:B)</f>
        <v>Mm2</v>
      </c>
      <c r="E278" t="s">
        <v>214</v>
      </c>
      <c r="F278">
        <f>Trans_Demand!C562</f>
        <v>2025</v>
      </c>
      <c r="G278" s="11">
        <f>SUMIFS(Trans_Demand!D:D,Trans_Demand!A:A,B278,Trans_Demand!C:C,F278)</f>
        <v>2.896561525393242</v>
      </c>
    </row>
    <row r="279" spans="2:7">
      <c r="B279" t="str">
        <f>Trans_Demand!A563</f>
        <v>RESHOUHINewDMD</v>
      </c>
      <c r="C279" t="str">
        <f>"DEMAND - "&amp;_xlfn.XLOOKUP(B279,Demand!E:E,Demand!A:A)&amp;" "&amp;_xlfn.XLOOKUP(B279,Demand!E:E,Demand!B:B)&amp;" "&amp;_xlfn.XLOOKUP(B279,Demand!E:E,Demand!C:C)&amp;" "&amp;_xlfn.XLOOKUP(B279,Demand!E:E,Demand!D:D)</f>
        <v>DEMAND - Residential House High Income New</v>
      </c>
      <c r="D279" t="str">
        <f>_xlfn.XLOOKUP(B279,Trans_Demand!A:A,Trans_Demand!B:B)</f>
        <v>Mm2</v>
      </c>
      <c r="E279" t="s">
        <v>214</v>
      </c>
      <c r="F279">
        <f>Trans_Demand!C563</f>
        <v>2030</v>
      </c>
      <c r="G279" s="11">
        <f>SUMIFS(Trans_Demand!D:D,Trans_Demand!A:A,B279,Trans_Demand!C:C,F279)</f>
        <v>5.3103627965542781</v>
      </c>
    </row>
    <row r="280" spans="2:7">
      <c r="B280" t="str">
        <f>Trans_Demand!A564</f>
        <v>RESHOUHINewDMD</v>
      </c>
      <c r="C280" t="str">
        <f>"DEMAND - "&amp;_xlfn.XLOOKUP(B280,Demand!E:E,Demand!A:A)&amp;" "&amp;_xlfn.XLOOKUP(B280,Demand!E:E,Demand!B:B)&amp;" "&amp;_xlfn.XLOOKUP(B280,Demand!E:E,Demand!C:C)&amp;" "&amp;_xlfn.XLOOKUP(B280,Demand!E:E,Demand!D:D)</f>
        <v>DEMAND - Residential House High Income New</v>
      </c>
      <c r="D280" t="str">
        <f>_xlfn.XLOOKUP(B280,Trans_Demand!A:A,Trans_Demand!B:B)</f>
        <v>Mm2</v>
      </c>
      <c r="E280" t="s">
        <v>214</v>
      </c>
      <c r="F280">
        <f>Trans_Demand!C564</f>
        <v>2035</v>
      </c>
      <c r="G280" s="11">
        <f>SUMIFS(Trans_Demand!D:D,Trans_Demand!A:A,B280,Trans_Demand!C:C,F280)</f>
        <v>7.7241640677153134</v>
      </c>
    </row>
    <row r="281" spans="2:7">
      <c r="B281" t="str">
        <f>Trans_Demand!A565</f>
        <v>RESHOUHINewDMD</v>
      </c>
      <c r="C281" t="str">
        <f>"DEMAND - "&amp;_xlfn.XLOOKUP(B281,Demand!E:E,Demand!A:A)&amp;" "&amp;_xlfn.XLOOKUP(B281,Demand!E:E,Demand!B:B)&amp;" "&amp;_xlfn.XLOOKUP(B281,Demand!E:E,Demand!C:C)&amp;" "&amp;_xlfn.XLOOKUP(B281,Demand!E:E,Demand!D:D)</f>
        <v>DEMAND - Residential House High Income New</v>
      </c>
      <c r="D281" t="str">
        <f>_xlfn.XLOOKUP(B281,Trans_Demand!A:A,Trans_Demand!B:B)</f>
        <v>Mm2</v>
      </c>
      <c r="E281" t="s">
        <v>214</v>
      </c>
      <c r="F281">
        <f>Trans_Demand!C565</f>
        <v>2040</v>
      </c>
      <c r="G281" s="11">
        <f>SUMIFS(Trans_Demand!D:D,Trans_Demand!A:A,B281,Trans_Demand!C:C,F281)</f>
        <v>10.13796533887635</v>
      </c>
    </row>
    <row r="282" spans="2:7">
      <c r="B282" t="str">
        <f>Trans_Demand!A566</f>
        <v>RESHOUHINewDMD</v>
      </c>
      <c r="C282" t="str">
        <f>"DEMAND - "&amp;_xlfn.XLOOKUP(B282,Demand!E:E,Demand!A:A)&amp;" "&amp;_xlfn.XLOOKUP(B282,Demand!E:E,Demand!B:B)&amp;" "&amp;_xlfn.XLOOKUP(B282,Demand!E:E,Demand!C:C)&amp;" "&amp;_xlfn.XLOOKUP(B282,Demand!E:E,Demand!D:D)</f>
        <v>DEMAND - Residential House High Income New</v>
      </c>
      <c r="D282" t="str">
        <f>_xlfn.XLOOKUP(B282,Trans_Demand!A:A,Trans_Demand!B:B)</f>
        <v>Mm2</v>
      </c>
      <c r="E282" t="s">
        <v>214</v>
      </c>
      <c r="F282">
        <f>Trans_Demand!C566</f>
        <v>2045</v>
      </c>
      <c r="G282" s="11">
        <f>SUMIFS(Trans_Demand!D:D,Trans_Demand!A:A,B282,Trans_Demand!C:C,F282)</f>
        <v>12.551766610037379</v>
      </c>
    </row>
    <row r="283" spans="2:7">
      <c r="B283" t="str">
        <f>Trans_Demand!A567</f>
        <v>RESHOUHINewDMD</v>
      </c>
      <c r="C283" t="str">
        <f>"DEMAND - "&amp;_xlfn.XLOOKUP(B283,Demand!E:E,Demand!A:A)&amp;" "&amp;_xlfn.XLOOKUP(B283,Demand!E:E,Demand!B:B)&amp;" "&amp;_xlfn.XLOOKUP(B283,Demand!E:E,Demand!C:C)&amp;" "&amp;_xlfn.XLOOKUP(B283,Demand!E:E,Demand!D:D)</f>
        <v>DEMAND - Residential House High Income New</v>
      </c>
      <c r="D283" t="str">
        <f>_xlfn.XLOOKUP(B283,Trans_Demand!A:A,Trans_Demand!B:B)</f>
        <v>Mm2</v>
      </c>
      <c r="E283" t="s">
        <v>214</v>
      </c>
      <c r="F283">
        <f>Trans_Demand!C567</f>
        <v>2050</v>
      </c>
      <c r="G283" s="11">
        <f>SUMIFS(Trans_Demand!D:D,Trans_Demand!A:A,B283,Trans_Demand!C:C,F283)</f>
        <v>14.965567881198419</v>
      </c>
    </row>
    <row r="284" spans="2:7">
      <c r="B284" t="str">
        <f>Trans_Demand!A568</f>
        <v>RESHOUHINewDMD</v>
      </c>
      <c r="C284" t="str">
        <f>"DEMAND - "&amp;_xlfn.XLOOKUP(B284,Demand!E:E,Demand!A:A)&amp;" "&amp;_xlfn.XLOOKUP(B284,Demand!E:E,Demand!B:B)&amp;" "&amp;_xlfn.XLOOKUP(B284,Demand!E:E,Demand!C:C)&amp;" "&amp;_xlfn.XLOOKUP(B284,Demand!E:E,Demand!D:D)</f>
        <v>DEMAND - Residential House High Income New</v>
      </c>
      <c r="D284" t="str">
        <f>_xlfn.XLOOKUP(B284,Trans_Demand!A:A,Trans_Demand!B:B)</f>
        <v>Mm2</v>
      </c>
      <c r="E284" t="s">
        <v>214</v>
      </c>
      <c r="F284">
        <f>Trans_Demand!C568</f>
        <v>2055</v>
      </c>
      <c r="G284" s="11">
        <f>SUMIFS(Trans_Demand!D:D,Trans_Demand!A:A,B284,Trans_Demand!C:C,F284)</f>
        <v>17.379369152359448</v>
      </c>
    </row>
    <row r="285" spans="2:7">
      <c r="B285" t="str">
        <f>Trans_Demand!A569</f>
        <v>RESHOUHINewDMD</v>
      </c>
      <c r="C285" t="str">
        <f>"DEMAND - "&amp;_xlfn.XLOOKUP(B285,Demand!E:E,Demand!A:A)&amp;" "&amp;_xlfn.XLOOKUP(B285,Demand!E:E,Demand!B:B)&amp;" "&amp;_xlfn.XLOOKUP(B285,Demand!E:E,Demand!C:C)&amp;" "&amp;_xlfn.XLOOKUP(B285,Demand!E:E,Demand!D:D)</f>
        <v>DEMAND - Residential House High Income New</v>
      </c>
      <c r="D285" t="str">
        <f>_xlfn.XLOOKUP(B285,Trans_Demand!A:A,Trans_Demand!B:B)</f>
        <v>Mm2</v>
      </c>
      <c r="E285" t="s">
        <v>214</v>
      </c>
      <c r="F285">
        <f>Trans_Demand!C569</f>
        <v>2060</v>
      </c>
      <c r="G285" s="11">
        <f>SUMIFS(Trans_Demand!D:D,Trans_Demand!A:A,B285,Trans_Demand!C:C,F285)</f>
        <v>19.79317042352049</v>
      </c>
    </row>
    <row r="286" spans="2:7">
      <c r="B286" t="str">
        <f>Trans_Demand!A570</f>
        <v>RESHOUHINewDMD</v>
      </c>
      <c r="C286" t="str">
        <f>"DEMAND - "&amp;_xlfn.XLOOKUP(B286,Demand!E:E,Demand!A:A)&amp;" "&amp;_xlfn.XLOOKUP(B286,Demand!E:E,Demand!B:B)&amp;" "&amp;_xlfn.XLOOKUP(B286,Demand!E:E,Demand!C:C)&amp;" "&amp;_xlfn.XLOOKUP(B286,Demand!E:E,Demand!D:D)</f>
        <v>DEMAND - Residential House High Income New</v>
      </c>
      <c r="D286" t="str">
        <f>_xlfn.XLOOKUP(B286,Trans_Demand!A:A,Trans_Demand!B:B)</f>
        <v>Mm2</v>
      </c>
      <c r="E286" t="s">
        <v>214</v>
      </c>
      <c r="F286">
        <f>Trans_Demand!C570</f>
        <v>2065</v>
      </c>
      <c r="G286" s="11">
        <f>SUMIFS(Trans_Demand!D:D,Trans_Demand!A:A,B286,Trans_Demand!C:C,F286)</f>
        <v>22.206971694681521</v>
      </c>
    </row>
    <row r="287" spans="2:7">
      <c r="B287" t="str">
        <f>Trans_Demand!A571</f>
        <v>RESHOUHINewDMD</v>
      </c>
      <c r="C287" t="str">
        <f>"DEMAND - "&amp;_xlfn.XLOOKUP(B287,Demand!E:E,Demand!A:A)&amp;" "&amp;_xlfn.XLOOKUP(B287,Demand!E:E,Demand!B:B)&amp;" "&amp;_xlfn.XLOOKUP(B287,Demand!E:E,Demand!C:C)&amp;" "&amp;_xlfn.XLOOKUP(B287,Demand!E:E,Demand!D:D)</f>
        <v>DEMAND - Residential House High Income New</v>
      </c>
      <c r="D287" t="str">
        <f>_xlfn.XLOOKUP(B287,Trans_Demand!A:A,Trans_Demand!B:B)</f>
        <v>Mm2</v>
      </c>
      <c r="E287" t="s">
        <v>214</v>
      </c>
      <c r="F287">
        <f>Trans_Demand!C571</f>
        <v>2070</v>
      </c>
      <c r="G287" s="11">
        <f>SUMIFS(Trans_Demand!D:D,Trans_Demand!A:A,B287,Trans_Demand!C:C,F287)</f>
        <v>24.620772965842551</v>
      </c>
    </row>
    <row r="288" spans="2:7">
      <c r="B288" t="str">
        <f>Trans_Demand!A572</f>
        <v>RESHOUHINewDMD</v>
      </c>
      <c r="C288" t="str">
        <f>"DEMAND - "&amp;_xlfn.XLOOKUP(B288,Demand!E:E,Demand!A:A)&amp;" "&amp;_xlfn.XLOOKUP(B288,Demand!E:E,Demand!B:B)&amp;" "&amp;_xlfn.XLOOKUP(B288,Demand!E:E,Demand!C:C)&amp;" "&amp;_xlfn.XLOOKUP(B288,Demand!E:E,Demand!D:D)</f>
        <v>DEMAND - Residential House High Income New</v>
      </c>
      <c r="D288" t="str">
        <f>_xlfn.XLOOKUP(B288,Trans_Demand!A:A,Trans_Demand!B:B)</f>
        <v>Mm2</v>
      </c>
      <c r="E288" t="s">
        <v>214</v>
      </c>
      <c r="F288">
        <f>Trans_Demand!C572</f>
        <v>2075</v>
      </c>
      <c r="G288" s="11">
        <f>SUMIFS(Trans_Demand!D:D,Trans_Demand!A:A,B288,Trans_Demand!C:C,F288)</f>
        <v>27.034574237003589</v>
      </c>
    </row>
    <row r="289" spans="2:7">
      <c r="B289" t="str">
        <f>Trans_Demand!A573</f>
        <v>RESHOUHINewDMD</v>
      </c>
      <c r="C289" t="str">
        <f>"DEMAND - "&amp;_xlfn.XLOOKUP(B289,Demand!E:E,Demand!A:A)&amp;" "&amp;_xlfn.XLOOKUP(B289,Demand!E:E,Demand!B:B)&amp;" "&amp;_xlfn.XLOOKUP(B289,Demand!E:E,Demand!C:C)&amp;" "&amp;_xlfn.XLOOKUP(B289,Demand!E:E,Demand!D:D)</f>
        <v>DEMAND - Residential House High Income New</v>
      </c>
      <c r="D289" t="str">
        <f>_xlfn.XLOOKUP(B289,Trans_Demand!A:A,Trans_Demand!B:B)</f>
        <v>Mm2</v>
      </c>
      <c r="E289" t="s">
        <v>214</v>
      </c>
      <c r="F289">
        <f>Trans_Demand!C573</f>
        <v>2080</v>
      </c>
      <c r="G289" s="11">
        <f>SUMIFS(Trans_Demand!D:D,Trans_Demand!A:A,B289,Trans_Demand!C:C,F289)</f>
        <v>29.44837550816462</v>
      </c>
    </row>
    <row r="290" spans="2:7">
      <c r="B290" t="str">
        <f>Trans_Demand!A574</f>
        <v>RESHOUHINewDMD</v>
      </c>
      <c r="C290" t="str">
        <f>"DEMAND - "&amp;_xlfn.XLOOKUP(B290,Demand!E:E,Demand!A:A)&amp;" "&amp;_xlfn.XLOOKUP(B290,Demand!E:E,Demand!B:B)&amp;" "&amp;_xlfn.XLOOKUP(B290,Demand!E:E,Demand!C:C)&amp;" "&amp;_xlfn.XLOOKUP(B290,Demand!E:E,Demand!D:D)</f>
        <v>DEMAND - Residential House High Income New</v>
      </c>
      <c r="D290" t="str">
        <f>_xlfn.XLOOKUP(B290,Trans_Demand!A:A,Trans_Demand!B:B)</f>
        <v>Mm2</v>
      </c>
      <c r="E290" t="s">
        <v>214</v>
      </c>
      <c r="F290">
        <f>Trans_Demand!C574</f>
        <v>2085</v>
      </c>
      <c r="G290" s="11">
        <f>SUMIFS(Trans_Demand!D:D,Trans_Demand!A:A,B290,Trans_Demand!C:C,F290)</f>
        <v>31.862176779325662</v>
      </c>
    </row>
    <row r="291" spans="2:7">
      <c r="B291" t="str">
        <f>Trans_Demand!A575</f>
        <v>RESHOUHINewDMD</v>
      </c>
      <c r="C291" t="str">
        <f>"DEMAND - "&amp;_xlfn.XLOOKUP(B291,Demand!E:E,Demand!A:A)&amp;" "&amp;_xlfn.XLOOKUP(B291,Demand!E:E,Demand!B:B)&amp;" "&amp;_xlfn.XLOOKUP(B291,Demand!E:E,Demand!C:C)&amp;" "&amp;_xlfn.XLOOKUP(B291,Demand!E:E,Demand!D:D)</f>
        <v>DEMAND - Residential House High Income New</v>
      </c>
      <c r="D291" t="str">
        <f>_xlfn.XLOOKUP(B291,Trans_Demand!A:A,Trans_Demand!B:B)</f>
        <v>Mm2</v>
      </c>
      <c r="E291" t="s">
        <v>214</v>
      </c>
      <c r="F291">
        <f>Trans_Demand!C575</f>
        <v>2090</v>
      </c>
      <c r="G291" s="11">
        <f>SUMIFS(Trans_Demand!D:D,Trans_Demand!A:A,B291,Trans_Demand!C:C,F291)</f>
        <v>34.275978050486692</v>
      </c>
    </row>
    <row r="292" spans="2:7">
      <c r="B292" t="str">
        <f>Trans_Demand!A576</f>
        <v>RESHOUHINewDMD</v>
      </c>
      <c r="C292" t="str">
        <f>"DEMAND - "&amp;_xlfn.XLOOKUP(B292,Demand!E:E,Demand!A:A)&amp;" "&amp;_xlfn.XLOOKUP(B292,Demand!E:E,Demand!B:B)&amp;" "&amp;_xlfn.XLOOKUP(B292,Demand!E:E,Demand!C:C)&amp;" "&amp;_xlfn.XLOOKUP(B292,Demand!E:E,Demand!D:D)</f>
        <v>DEMAND - Residential House High Income New</v>
      </c>
      <c r="D292" t="str">
        <f>_xlfn.XLOOKUP(B292,Trans_Demand!A:A,Trans_Demand!B:B)</f>
        <v>Mm2</v>
      </c>
      <c r="E292" t="s">
        <v>214</v>
      </c>
      <c r="F292">
        <f>Trans_Demand!C576</f>
        <v>2095</v>
      </c>
      <c r="G292" s="11">
        <f>SUMIFS(Trans_Demand!D:D,Trans_Demand!A:A,B292,Trans_Demand!C:C,F292)</f>
        <v>36.689779321647727</v>
      </c>
    </row>
    <row r="293" spans="2:7">
      <c r="B293" t="str">
        <f>Trans_Demand!A577</f>
        <v>RESHOUHINewDMD</v>
      </c>
      <c r="C293" t="str">
        <f>"DEMAND - "&amp;_xlfn.XLOOKUP(B293,Demand!E:E,Demand!A:A)&amp;" "&amp;_xlfn.XLOOKUP(B293,Demand!E:E,Demand!B:B)&amp;" "&amp;_xlfn.XLOOKUP(B293,Demand!E:E,Demand!C:C)&amp;" "&amp;_xlfn.XLOOKUP(B293,Demand!E:E,Demand!D:D)</f>
        <v>DEMAND - Residential House High Income New</v>
      </c>
      <c r="D293" t="str">
        <f>_xlfn.XLOOKUP(B293,Trans_Demand!A:A,Trans_Demand!B:B)</f>
        <v>Mm2</v>
      </c>
      <c r="E293" t="s">
        <v>214</v>
      </c>
      <c r="F293">
        <f>Trans_Demand!C577</f>
        <v>2100</v>
      </c>
      <c r="G293" s="11">
        <f>SUMIFS(Trans_Demand!D:D,Trans_Demand!A:A,B293,Trans_Demand!C:C,F293)</f>
        <v>39.103580592808761</v>
      </c>
    </row>
    <row r="294" spans="2:7">
      <c r="G294" s="11"/>
    </row>
    <row r="295" spans="2:7">
      <c r="G295" s="11"/>
    </row>
    <row r="296" spans="2:7">
      <c r="G296" s="11"/>
    </row>
    <row r="297" spans="2:7">
      <c r="G297" s="11"/>
    </row>
    <row r="298" spans="2:7">
      <c r="G298" s="11"/>
    </row>
    <row r="299" spans="2:7">
      <c r="G299" s="11"/>
    </row>
    <row r="300" spans="2:7">
      <c r="G300" s="11"/>
    </row>
    <row r="301" spans="2:7">
      <c r="G301" s="11"/>
    </row>
    <row r="302" spans="2:7">
      <c r="G302" s="11"/>
    </row>
    <row r="303" spans="2:7">
      <c r="G303" s="11"/>
    </row>
    <row r="304" spans="2:7">
      <c r="G304" s="11"/>
    </row>
    <row r="305" spans="7:7">
      <c r="G305" s="11"/>
    </row>
    <row r="306" spans="7:7">
      <c r="G306" s="11"/>
    </row>
    <row r="307" spans="7:7">
      <c r="G307" s="11"/>
    </row>
    <row r="308" spans="7:7">
      <c r="G308" s="11"/>
    </row>
    <row r="309" spans="7:7">
      <c r="G309" s="11"/>
    </row>
    <row r="310" spans="7:7">
      <c r="G310" s="11"/>
    </row>
    <row r="311" spans="7:7">
      <c r="G311" s="11"/>
    </row>
    <row r="312" spans="7:7">
      <c r="G312" s="11"/>
    </row>
    <row r="313" spans="7:7">
      <c r="G313" s="11"/>
    </row>
    <row r="314" spans="7:7">
      <c r="G314" s="11"/>
    </row>
    <row r="315" spans="7:7">
      <c r="G315" s="11"/>
    </row>
    <row r="316" spans="7:7">
      <c r="G316" s="11"/>
    </row>
    <row r="317" spans="7:7">
      <c r="G317" s="11"/>
    </row>
    <row r="318" spans="7:7">
      <c r="G318" s="11"/>
    </row>
    <row r="319" spans="7:7">
      <c r="G319" s="11"/>
    </row>
    <row r="320" spans="7:7">
      <c r="G320" s="11"/>
    </row>
    <row r="321" spans="7:7">
      <c r="G321" s="11"/>
    </row>
    <row r="322" spans="7:7">
      <c r="G322" s="11"/>
    </row>
    <row r="323" spans="7:7">
      <c r="G323" s="11"/>
    </row>
    <row r="324" spans="7:7">
      <c r="G324" s="11"/>
    </row>
    <row r="325" spans="7:7">
      <c r="G325" s="11"/>
    </row>
    <row r="326" spans="7:7">
      <c r="G326" s="11"/>
    </row>
    <row r="327" spans="7:7">
      <c r="G327" s="11"/>
    </row>
    <row r="328" spans="7:7">
      <c r="G328" s="11"/>
    </row>
    <row r="329" spans="7:7">
      <c r="G329" s="11"/>
    </row>
    <row r="330" spans="7:7">
      <c r="G330" s="11"/>
    </row>
    <row r="331" spans="7:7">
      <c r="G331" s="11"/>
    </row>
    <row r="332" spans="7:7">
      <c r="G332" s="11"/>
    </row>
    <row r="333" spans="7:7">
      <c r="G333" s="11"/>
    </row>
    <row r="334" spans="7:7">
      <c r="G334" s="11"/>
    </row>
    <row r="335" spans="7:7">
      <c r="G335" s="11"/>
    </row>
    <row r="336" spans="7:7">
      <c r="G336" s="11"/>
    </row>
    <row r="337" spans="7:7">
      <c r="G337" s="11"/>
    </row>
    <row r="338" spans="7:7">
      <c r="G338" s="11"/>
    </row>
    <row r="339" spans="7:7">
      <c r="G339" s="11"/>
    </row>
    <row r="340" spans="7:7">
      <c r="G340" s="11"/>
    </row>
    <row r="341" spans="7:7">
      <c r="G341" s="11"/>
    </row>
    <row r="342" spans="7:7">
      <c r="G342" s="11"/>
    </row>
    <row r="343" spans="7:7">
      <c r="G343" s="11"/>
    </row>
    <row r="344" spans="7:7">
      <c r="G344" s="11"/>
    </row>
    <row r="345" spans="7:7">
      <c r="G345" s="11"/>
    </row>
    <row r="346" spans="7:7">
      <c r="G346" s="11"/>
    </row>
    <row r="347" spans="7:7">
      <c r="G347" s="11"/>
    </row>
    <row r="348" spans="7:7">
      <c r="G348" s="11"/>
    </row>
    <row r="349" spans="7:7">
      <c r="G349" s="11"/>
    </row>
    <row r="350" spans="7:7">
      <c r="G350" s="11"/>
    </row>
    <row r="351" spans="7:7">
      <c r="G351" s="11"/>
    </row>
    <row r="352" spans="7:7">
      <c r="G352" s="11"/>
    </row>
    <row r="353" spans="7:7">
      <c r="G353" s="11"/>
    </row>
    <row r="354" spans="7:7">
      <c r="G354" s="11"/>
    </row>
    <row r="355" spans="7:7">
      <c r="G355" s="11"/>
    </row>
    <row r="356" spans="7:7">
      <c r="G356" s="11"/>
    </row>
    <row r="357" spans="7:7">
      <c r="G357" s="11"/>
    </row>
    <row r="358" spans="7:7">
      <c r="G358" s="11"/>
    </row>
    <row r="359" spans="7:7">
      <c r="G359" s="11"/>
    </row>
    <row r="360" spans="7:7">
      <c r="G360" s="11"/>
    </row>
    <row r="361" spans="7:7">
      <c r="G361" s="11"/>
    </row>
    <row r="362" spans="7:7">
      <c r="G362" s="11"/>
    </row>
    <row r="363" spans="7:7">
      <c r="G363" s="11"/>
    </row>
    <row r="364" spans="7:7">
      <c r="G364" s="11"/>
    </row>
    <row r="365" spans="7:7">
      <c r="G365" s="11"/>
    </row>
    <row r="366" spans="7:7">
      <c r="G366" s="11"/>
    </row>
    <row r="367" spans="7:7">
      <c r="G367" s="11"/>
    </row>
    <row r="368" spans="7:7">
      <c r="G368" s="11"/>
    </row>
    <row r="369" spans="7:7">
      <c r="G369" s="11"/>
    </row>
    <row r="370" spans="7:7">
      <c r="G370" s="11"/>
    </row>
    <row r="371" spans="7:7">
      <c r="G371" s="11"/>
    </row>
    <row r="372" spans="7:7">
      <c r="G372" s="11"/>
    </row>
    <row r="373" spans="7:7">
      <c r="G373" s="11"/>
    </row>
    <row r="374" spans="7:7">
      <c r="G374" s="11"/>
    </row>
    <row r="375" spans="7:7">
      <c r="G375" s="11"/>
    </row>
    <row r="376" spans="7:7">
      <c r="G376" s="11"/>
    </row>
    <row r="377" spans="7:7">
      <c r="G377" s="11"/>
    </row>
    <row r="378" spans="7:7">
      <c r="G378" s="11"/>
    </row>
    <row r="379" spans="7:7">
      <c r="G379" s="11"/>
    </row>
    <row r="380" spans="7:7">
      <c r="G380" s="11"/>
    </row>
    <row r="381" spans="7:7">
      <c r="G381" s="11"/>
    </row>
    <row r="382" spans="7:7">
      <c r="G382" s="11"/>
    </row>
    <row r="383" spans="7:7">
      <c r="G383" s="11"/>
    </row>
    <row r="384" spans="7:7">
      <c r="G384" s="11"/>
    </row>
    <row r="385" spans="7:7">
      <c r="G385" s="11"/>
    </row>
    <row r="386" spans="7:7">
      <c r="G386" s="11"/>
    </row>
    <row r="387" spans="7:7">
      <c r="G387" s="11"/>
    </row>
    <row r="388" spans="7:7">
      <c r="G388" s="11"/>
    </row>
    <row r="389" spans="7:7">
      <c r="G389" s="11"/>
    </row>
    <row r="390" spans="7:7">
      <c r="G390" s="11"/>
    </row>
    <row r="391" spans="7:7">
      <c r="G391" s="11"/>
    </row>
    <row r="392" spans="7:7">
      <c r="G392" s="11"/>
    </row>
    <row r="393" spans="7:7">
      <c r="G393" s="11"/>
    </row>
    <row r="394" spans="7:7">
      <c r="G394" s="11"/>
    </row>
    <row r="395" spans="7:7">
      <c r="G395" s="11"/>
    </row>
    <row r="396" spans="7:7">
      <c r="G396" s="11"/>
    </row>
    <row r="397" spans="7:7">
      <c r="G397" s="11"/>
    </row>
    <row r="398" spans="7:7">
      <c r="G398" s="11"/>
    </row>
    <row r="399" spans="7:7">
      <c r="G399" s="11"/>
    </row>
    <row r="400" spans="7:7">
      <c r="G400" s="11"/>
    </row>
    <row r="401" spans="7:7">
      <c r="G401" s="11"/>
    </row>
    <row r="402" spans="7:7">
      <c r="G402" s="11"/>
    </row>
    <row r="403" spans="7:7">
      <c r="G403" s="11"/>
    </row>
    <row r="404" spans="7:7">
      <c r="G404" s="11"/>
    </row>
    <row r="405" spans="7:7">
      <c r="G405" s="11"/>
    </row>
    <row r="406" spans="7:7">
      <c r="G406" s="11"/>
    </row>
    <row r="407" spans="7:7">
      <c r="G407" s="11"/>
    </row>
    <row r="408" spans="7:7">
      <c r="G408" s="11"/>
    </row>
    <row r="409" spans="7:7">
      <c r="G409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1185"/>
  <sheetViews>
    <sheetView workbookViewId="0">
      <selection activeCell="C5" sqref="C5:G5"/>
    </sheetView>
  </sheetViews>
  <sheetFormatPr defaultRowHeight="15"/>
  <cols>
    <col min="2" max="2" width="16.42578125" bestFit="1" customWidth="1"/>
    <col min="3" max="3" width="42.7109375" bestFit="1" customWidth="1"/>
    <col min="4" max="4" width="5.7109375" bestFit="1" customWidth="1"/>
    <col min="5" max="5" width="10.28515625" bestFit="1" customWidth="1"/>
    <col min="6" max="6" width="5" bestFit="1" customWidth="1"/>
    <col min="7" max="7" width="5.7109375" bestFit="1" customWidth="1"/>
  </cols>
  <sheetData>
    <row r="3" spans="2:7">
      <c r="B3" s="8" t="s">
        <v>207</v>
      </c>
    </row>
    <row r="4" spans="2:7">
      <c r="B4" s="9" t="s">
        <v>208</v>
      </c>
      <c r="C4" s="9" t="s">
        <v>209</v>
      </c>
      <c r="D4" s="9" t="s">
        <v>210</v>
      </c>
      <c r="E4" s="9" t="s">
        <v>206</v>
      </c>
      <c r="F4" s="9" t="s">
        <v>30</v>
      </c>
      <c r="G4" s="9" t="s">
        <v>228</v>
      </c>
    </row>
    <row r="5" spans="2:7" ht="15" customHeight="1" thickBot="1">
      <c r="B5" s="10" t="s">
        <v>213</v>
      </c>
      <c r="C5" s="10" t="s">
        <v>213</v>
      </c>
      <c r="D5" s="10" t="s">
        <v>213</v>
      </c>
      <c r="E5" s="10" t="s">
        <v>213</v>
      </c>
      <c r="F5" s="10" t="s">
        <v>213</v>
      </c>
      <c r="G5" s="10" t="s">
        <v>213</v>
      </c>
    </row>
    <row r="6" spans="2:7">
      <c r="B6" t="str">
        <f>Trans_Demand!A2</f>
        <v>COMHOTOldDMD</v>
      </c>
      <c r="C6" t="str">
        <f>"DEMAND - "&amp;_xlfn.XLOOKUP(B6,Demand!E:E,Demand!A:A)&amp;" "&amp;_xlfn.XLOOKUP(B6,Demand!E:E,Demand!B:B)&amp;" "&amp;_xlfn.XLOOKUP(B6,Demand!E:E,Demand!C:C)&amp;" "&amp;_xlfn.XLOOKUP(B6,Demand!E:E,Demand!D:D)</f>
        <v>DEMAND - Commercial Hotel  Old</v>
      </c>
      <c r="D6" t="str">
        <f>_xlfn.XLOOKUP(B6,Trans_Demand!A:A,Trans_Demand!B:B)</f>
        <v>Mm2</v>
      </c>
      <c r="E6" t="s">
        <v>214</v>
      </c>
      <c r="F6">
        <f>Trans_Demand!C2</f>
        <v>2019</v>
      </c>
      <c r="G6" s="11">
        <f>SUMIFS(Trans_Demand!D:D,Trans_Demand!A:A,B6,Trans_Demand!C:C,F6)</f>
        <v>11.97870118205155</v>
      </c>
    </row>
    <row r="7" spans="2:7">
      <c r="B7" t="str">
        <f>Trans_Demand!A3</f>
        <v>COMHOTOldDMD</v>
      </c>
      <c r="C7" t="str">
        <f>"DEMAND - "&amp;_xlfn.XLOOKUP(B7,Demand!E:E,Demand!A:A)&amp;" "&amp;_xlfn.XLOOKUP(B7,Demand!E:E,Demand!B:B)&amp;" "&amp;_xlfn.XLOOKUP(B7,Demand!E:E,Demand!C:C)&amp;" "&amp;_xlfn.XLOOKUP(B7,Demand!E:E,Demand!D:D)</f>
        <v>DEMAND - Commercial Hotel  Old</v>
      </c>
      <c r="D7" t="str">
        <f>_xlfn.XLOOKUP(B7,Trans_Demand!A:A,Trans_Demand!B:B)</f>
        <v>Mm2</v>
      </c>
      <c r="E7" t="s">
        <v>214</v>
      </c>
      <c r="F7">
        <f>Trans_Demand!C3</f>
        <v>2020</v>
      </c>
      <c r="G7" s="11">
        <f>SUMIFS(Trans_Demand!D:D,Trans_Demand!A:A,B7,Trans_Demand!C:C,F7)</f>
        <v>11.97870118205155</v>
      </c>
    </row>
    <row r="8" spans="2:7">
      <c r="B8" t="str">
        <f>Trans_Demand!A4</f>
        <v>COMHOTOldDMD</v>
      </c>
      <c r="C8" t="str">
        <f>"DEMAND - "&amp;_xlfn.XLOOKUP(B8,Demand!E:E,Demand!A:A)&amp;" "&amp;_xlfn.XLOOKUP(B8,Demand!E:E,Demand!B:B)&amp;" "&amp;_xlfn.XLOOKUP(B8,Demand!E:E,Demand!C:C)&amp;" "&amp;_xlfn.XLOOKUP(B8,Demand!E:E,Demand!D:D)</f>
        <v>DEMAND - Commercial Hotel  Old</v>
      </c>
      <c r="D8" t="str">
        <f>_xlfn.XLOOKUP(B8,Trans_Demand!A:A,Trans_Demand!B:B)</f>
        <v>Mm2</v>
      </c>
      <c r="E8" t="s">
        <v>214</v>
      </c>
      <c r="F8">
        <f>Trans_Demand!C4</f>
        <v>2025</v>
      </c>
      <c r="G8" s="11">
        <f>SUMIFS(Trans_Demand!D:D,Trans_Demand!A:A,B8,Trans_Demand!C:C,F8)</f>
        <v>11.97870118205155</v>
      </c>
    </row>
    <row r="9" spans="2:7">
      <c r="B9" t="str">
        <f>Trans_Demand!A5</f>
        <v>COMHOTOldDMD</v>
      </c>
      <c r="C9" t="str">
        <f>"DEMAND - "&amp;_xlfn.XLOOKUP(B9,Demand!E:E,Demand!A:A)&amp;" "&amp;_xlfn.XLOOKUP(B9,Demand!E:E,Demand!B:B)&amp;" "&amp;_xlfn.XLOOKUP(B9,Demand!E:E,Demand!C:C)&amp;" "&amp;_xlfn.XLOOKUP(B9,Demand!E:E,Demand!D:D)</f>
        <v>DEMAND - Commercial Hotel  Old</v>
      </c>
      <c r="D9" t="str">
        <f>_xlfn.XLOOKUP(B9,Trans_Demand!A:A,Trans_Demand!B:B)</f>
        <v>Mm2</v>
      </c>
      <c r="E9" t="s">
        <v>214</v>
      </c>
      <c r="F9">
        <f>Trans_Demand!C5</f>
        <v>2030</v>
      </c>
      <c r="G9" s="11">
        <f>SUMIFS(Trans_Demand!D:D,Trans_Demand!A:A,B9,Trans_Demand!C:C,F9)</f>
        <v>11.97870118205155</v>
      </c>
    </row>
    <row r="10" spans="2:7">
      <c r="B10" t="str">
        <f>Trans_Demand!A6</f>
        <v>COMHOTOldDMD</v>
      </c>
      <c r="C10" t="str">
        <f>"DEMAND - "&amp;_xlfn.XLOOKUP(B10,Demand!E:E,Demand!A:A)&amp;" "&amp;_xlfn.XLOOKUP(B10,Demand!E:E,Demand!B:B)&amp;" "&amp;_xlfn.XLOOKUP(B10,Demand!E:E,Demand!C:C)&amp;" "&amp;_xlfn.XLOOKUP(B10,Demand!E:E,Demand!D:D)</f>
        <v>DEMAND - Commercial Hotel  Old</v>
      </c>
      <c r="D10" t="str">
        <f>_xlfn.XLOOKUP(B10,Trans_Demand!A:A,Trans_Demand!B:B)</f>
        <v>Mm2</v>
      </c>
      <c r="E10" t="s">
        <v>214</v>
      </c>
      <c r="F10">
        <f>Trans_Demand!C6</f>
        <v>2035</v>
      </c>
      <c r="G10" s="11">
        <f>SUMIFS(Trans_Demand!D:D,Trans_Demand!A:A,B10,Trans_Demand!C:C,F10)</f>
        <v>11.97870118205155</v>
      </c>
    </row>
    <row r="11" spans="2:7">
      <c r="B11" t="str">
        <f>Trans_Demand!A7</f>
        <v>COMHOTOldDMD</v>
      </c>
      <c r="C11" t="str">
        <f>"DEMAND - "&amp;_xlfn.XLOOKUP(B11,Demand!E:E,Demand!A:A)&amp;" "&amp;_xlfn.XLOOKUP(B11,Demand!E:E,Demand!B:B)&amp;" "&amp;_xlfn.XLOOKUP(B11,Demand!E:E,Demand!C:C)&amp;" "&amp;_xlfn.XLOOKUP(B11,Demand!E:E,Demand!D:D)</f>
        <v>DEMAND - Commercial Hotel  Old</v>
      </c>
      <c r="D11" t="str">
        <f>_xlfn.XLOOKUP(B11,Trans_Demand!A:A,Trans_Demand!B:B)</f>
        <v>Mm2</v>
      </c>
      <c r="E11" t="s">
        <v>214</v>
      </c>
      <c r="F11">
        <f>Trans_Demand!C7</f>
        <v>2040</v>
      </c>
      <c r="G11" s="11">
        <f>SUMIFS(Trans_Demand!D:D,Trans_Demand!A:A,B11,Trans_Demand!C:C,F11)</f>
        <v>11.97870118205155</v>
      </c>
    </row>
    <row r="12" spans="2:7">
      <c r="B12" t="str">
        <f>Trans_Demand!A8</f>
        <v>COMHOTOldDMD</v>
      </c>
      <c r="C12" t="str">
        <f>"DEMAND - "&amp;_xlfn.XLOOKUP(B12,Demand!E:E,Demand!A:A)&amp;" "&amp;_xlfn.XLOOKUP(B12,Demand!E:E,Demand!B:B)&amp;" "&amp;_xlfn.XLOOKUP(B12,Demand!E:E,Demand!C:C)&amp;" "&amp;_xlfn.XLOOKUP(B12,Demand!E:E,Demand!D:D)</f>
        <v>DEMAND - Commercial Hotel  Old</v>
      </c>
      <c r="D12" t="str">
        <f>_xlfn.XLOOKUP(B12,Trans_Demand!A:A,Trans_Demand!B:B)</f>
        <v>Mm2</v>
      </c>
      <c r="E12" t="s">
        <v>214</v>
      </c>
      <c r="F12">
        <f>Trans_Demand!C8</f>
        <v>2045</v>
      </c>
      <c r="G12" s="11">
        <f>SUMIFS(Trans_Demand!D:D,Trans_Demand!A:A,B12,Trans_Demand!C:C,F12)</f>
        <v>11.97870118205155</v>
      </c>
    </row>
    <row r="13" spans="2:7">
      <c r="B13" t="str">
        <f>Trans_Demand!A9</f>
        <v>COMHOTOldDMD</v>
      </c>
      <c r="C13" t="str">
        <f>"DEMAND - "&amp;_xlfn.XLOOKUP(B13,Demand!E:E,Demand!A:A)&amp;" "&amp;_xlfn.XLOOKUP(B13,Demand!E:E,Demand!B:B)&amp;" "&amp;_xlfn.XLOOKUP(B13,Demand!E:E,Demand!C:C)&amp;" "&amp;_xlfn.XLOOKUP(B13,Demand!E:E,Demand!D:D)</f>
        <v>DEMAND - Commercial Hotel  Old</v>
      </c>
      <c r="D13" t="str">
        <f>_xlfn.XLOOKUP(B13,Trans_Demand!A:A,Trans_Demand!B:B)</f>
        <v>Mm2</v>
      </c>
      <c r="E13" t="s">
        <v>214</v>
      </c>
      <c r="F13">
        <f>Trans_Demand!C9</f>
        <v>2050</v>
      </c>
      <c r="G13" s="11">
        <f>SUMIFS(Trans_Demand!D:D,Trans_Demand!A:A,B13,Trans_Demand!C:C,F13)</f>
        <v>11.97870118205155</v>
      </c>
    </row>
    <row r="14" spans="2:7">
      <c r="B14" t="str">
        <f>Trans_Demand!A10</f>
        <v>COMHOTOldDMD</v>
      </c>
      <c r="C14" t="str">
        <f>"DEMAND - "&amp;_xlfn.XLOOKUP(B14,Demand!E:E,Demand!A:A)&amp;" "&amp;_xlfn.XLOOKUP(B14,Demand!E:E,Demand!B:B)&amp;" "&amp;_xlfn.XLOOKUP(B14,Demand!E:E,Demand!C:C)&amp;" "&amp;_xlfn.XLOOKUP(B14,Demand!E:E,Demand!D:D)</f>
        <v>DEMAND - Commercial Hotel  Old</v>
      </c>
      <c r="D14" t="str">
        <f>_xlfn.XLOOKUP(B14,Trans_Demand!A:A,Trans_Demand!B:B)</f>
        <v>Mm2</v>
      </c>
      <c r="E14" t="s">
        <v>214</v>
      </c>
      <c r="F14">
        <f>Trans_Demand!C10</f>
        <v>2055</v>
      </c>
      <c r="G14" s="11">
        <f>SUMIFS(Trans_Demand!D:D,Trans_Demand!A:A,B14,Trans_Demand!C:C,F14)</f>
        <v>11.97870118205155</v>
      </c>
    </row>
    <row r="15" spans="2:7">
      <c r="B15" t="str">
        <f>Trans_Demand!A11</f>
        <v>COMHOTOldDMD</v>
      </c>
      <c r="C15" t="str">
        <f>"DEMAND - "&amp;_xlfn.XLOOKUP(B15,Demand!E:E,Demand!A:A)&amp;" "&amp;_xlfn.XLOOKUP(B15,Demand!E:E,Demand!B:B)&amp;" "&amp;_xlfn.XLOOKUP(B15,Demand!E:E,Demand!C:C)&amp;" "&amp;_xlfn.XLOOKUP(B15,Demand!E:E,Demand!D:D)</f>
        <v>DEMAND - Commercial Hotel  Old</v>
      </c>
      <c r="D15" t="str">
        <f>_xlfn.XLOOKUP(B15,Trans_Demand!A:A,Trans_Demand!B:B)</f>
        <v>Mm2</v>
      </c>
      <c r="E15" t="s">
        <v>214</v>
      </c>
      <c r="F15">
        <f>Trans_Demand!C11</f>
        <v>2060</v>
      </c>
      <c r="G15" s="11">
        <f>SUMIFS(Trans_Demand!D:D,Trans_Demand!A:A,B15,Trans_Demand!C:C,F15)</f>
        <v>11.97870118205155</v>
      </c>
    </row>
    <row r="16" spans="2:7">
      <c r="B16" t="str">
        <f>Trans_Demand!A12</f>
        <v>COMHOTOldDMD</v>
      </c>
      <c r="C16" t="str">
        <f>"DEMAND - "&amp;_xlfn.XLOOKUP(B16,Demand!E:E,Demand!A:A)&amp;" "&amp;_xlfn.XLOOKUP(B16,Demand!E:E,Demand!B:B)&amp;" "&amp;_xlfn.XLOOKUP(B16,Demand!E:E,Demand!C:C)&amp;" "&amp;_xlfn.XLOOKUP(B16,Demand!E:E,Demand!D:D)</f>
        <v>DEMAND - Commercial Hotel  Old</v>
      </c>
      <c r="D16" t="str">
        <f>_xlfn.XLOOKUP(B16,Trans_Demand!A:A,Trans_Demand!B:B)</f>
        <v>Mm2</v>
      </c>
      <c r="E16" t="s">
        <v>214</v>
      </c>
      <c r="F16">
        <f>Trans_Demand!C12</f>
        <v>2065</v>
      </c>
      <c r="G16" s="11">
        <f>SUMIFS(Trans_Demand!D:D,Trans_Demand!A:A,B16,Trans_Demand!C:C,F16)</f>
        <v>11.97870118205155</v>
      </c>
    </row>
    <row r="17" spans="2:7">
      <c r="B17" t="str">
        <f>Trans_Demand!A13</f>
        <v>COMHOTOldDMD</v>
      </c>
      <c r="C17" t="str">
        <f>"DEMAND - "&amp;_xlfn.XLOOKUP(B17,Demand!E:E,Demand!A:A)&amp;" "&amp;_xlfn.XLOOKUP(B17,Demand!E:E,Demand!B:B)&amp;" "&amp;_xlfn.XLOOKUP(B17,Demand!E:E,Demand!C:C)&amp;" "&amp;_xlfn.XLOOKUP(B17,Demand!E:E,Demand!D:D)</f>
        <v>DEMAND - Commercial Hotel  Old</v>
      </c>
      <c r="D17" t="str">
        <f>_xlfn.XLOOKUP(B17,Trans_Demand!A:A,Trans_Demand!B:B)</f>
        <v>Mm2</v>
      </c>
      <c r="E17" t="s">
        <v>214</v>
      </c>
      <c r="F17">
        <f>Trans_Demand!C13</f>
        <v>2070</v>
      </c>
      <c r="G17" s="11">
        <f>SUMIFS(Trans_Demand!D:D,Trans_Demand!A:A,B17,Trans_Demand!C:C,F17)</f>
        <v>11.97870118205155</v>
      </c>
    </row>
    <row r="18" spans="2:7">
      <c r="B18" t="str">
        <f>Trans_Demand!A14</f>
        <v>COMHOTOldDMD</v>
      </c>
      <c r="C18" t="str">
        <f>"DEMAND - "&amp;_xlfn.XLOOKUP(B18,Demand!E:E,Demand!A:A)&amp;" "&amp;_xlfn.XLOOKUP(B18,Demand!E:E,Demand!B:B)&amp;" "&amp;_xlfn.XLOOKUP(B18,Demand!E:E,Demand!C:C)&amp;" "&amp;_xlfn.XLOOKUP(B18,Demand!E:E,Demand!D:D)</f>
        <v>DEMAND - Commercial Hotel  Old</v>
      </c>
      <c r="D18" t="str">
        <f>_xlfn.XLOOKUP(B18,Trans_Demand!A:A,Trans_Demand!B:B)</f>
        <v>Mm2</v>
      </c>
      <c r="E18" t="s">
        <v>214</v>
      </c>
      <c r="F18">
        <f>Trans_Demand!C14</f>
        <v>2075</v>
      </c>
      <c r="G18" s="11">
        <f>SUMIFS(Trans_Demand!D:D,Trans_Demand!A:A,B18,Trans_Demand!C:C,F18)</f>
        <v>11.97870118205155</v>
      </c>
    </row>
    <row r="19" spans="2:7">
      <c r="B19" t="str">
        <f>Trans_Demand!A15</f>
        <v>COMHOTOldDMD</v>
      </c>
      <c r="C19" t="str">
        <f>"DEMAND - "&amp;_xlfn.XLOOKUP(B19,Demand!E:E,Demand!A:A)&amp;" "&amp;_xlfn.XLOOKUP(B19,Demand!E:E,Demand!B:B)&amp;" "&amp;_xlfn.XLOOKUP(B19,Demand!E:E,Demand!C:C)&amp;" "&amp;_xlfn.XLOOKUP(B19,Demand!E:E,Demand!D:D)</f>
        <v>DEMAND - Commercial Hotel  Old</v>
      </c>
      <c r="D19" t="str">
        <f>_xlfn.XLOOKUP(B19,Trans_Demand!A:A,Trans_Demand!B:B)</f>
        <v>Mm2</v>
      </c>
      <c r="E19" t="s">
        <v>214</v>
      </c>
      <c r="F19">
        <f>Trans_Demand!C15</f>
        <v>2080</v>
      </c>
      <c r="G19" s="11">
        <f>SUMIFS(Trans_Demand!D:D,Trans_Demand!A:A,B19,Trans_Demand!C:C,F19)</f>
        <v>11.97870118205155</v>
      </c>
    </row>
    <row r="20" spans="2:7">
      <c r="B20" t="str">
        <f>Trans_Demand!A16</f>
        <v>COMHOTOldDMD</v>
      </c>
      <c r="C20" t="str">
        <f>"DEMAND - "&amp;_xlfn.XLOOKUP(B20,Demand!E:E,Demand!A:A)&amp;" "&amp;_xlfn.XLOOKUP(B20,Demand!E:E,Demand!B:B)&amp;" "&amp;_xlfn.XLOOKUP(B20,Demand!E:E,Demand!C:C)&amp;" "&amp;_xlfn.XLOOKUP(B20,Demand!E:E,Demand!D:D)</f>
        <v>DEMAND - Commercial Hotel  Old</v>
      </c>
      <c r="D20" t="str">
        <f>_xlfn.XLOOKUP(B20,Trans_Demand!A:A,Trans_Demand!B:B)</f>
        <v>Mm2</v>
      </c>
      <c r="E20" t="s">
        <v>214</v>
      </c>
      <c r="F20">
        <f>Trans_Demand!C16</f>
        <v>2085</v>
      </c>
      <c r="G20" s="11">
        <f>SUMIFS(Trans_Demand!D:D,Trans_Demand!A:A,B20,Trans_Demand!C:C,F20)</f>
        <v>11.97870118205155</v>
      </c>
    </row>
    <row r="21" spans="2:7">
      <c r="B21" t="str">
        <f>Trans_Demand!A17</f>
        <v>COMHOTOldDMD</v>
      </c>
      <c r="C21" t="str">
        <f>"DEMAND - "&amp;_xlfn.XLOOKUP(B21,Demand!E:E,Demand!A:A)&amp;" "&amp;_xlfn.XLOOKUP(B21,Demand!E:E,Demand!B:B)&amp;" "&amp;_xlfn.XLOOKUP(B21,Demand!E:E,Demand!C:C)&amp;" "&amp;_xlfn.XLOOKUP(B21,Demand!E:E,Demand!D:D)</f>
        <v>DEMAND - Commercial Hotel  Old</v>
      </c>
      <c r="D21" t="str">
        <f>_xlfn.XLOOKUP(B21,Trans_Demand!A:A,Trans_Demand!B:B)</f>
        <v>Mm2</v>
      </c>
      <c r="E21" t="s">
        <v>214</v>
      </c>
      <c r="F21">
        <f>Trans_Demand!C17</f>
        <v>2090</v>
      </c>
      <c r="G21" s="11">
        <f>SUMIFS(Trans_Demand!D:D,Trans_Demand!A:A,B21,Trans_Demand!C:C,F21)</f>
        <v>11.97870118205155</v>
      </c>
    </row>
    <row r="22" spans="2:7">
      <c r="B22" t="str">
        <f>Trans_Demand!A18</f>
        <v>COMHOTOldDMD</v>
      </c>
      <c r="C22" t="str">
        <f>"DEMAND - "&amp;_xlfn.XLOOKUP(B22,Demand!E:E,Demand!A:A)&amp;" "&amp;_xlfn.XLOOKUP(B22,Demand!E:E,Demand!B:B)&amp;" "&amp;_xlfn.XLOOKUP(B22,Demand!E:E,Demand!C:C)&amp;" "&amp;_xlfn.XLOOKUP(B22,Demand!E:E,Demand!D:D)</f>
        <v>DEMAND - Commercial Hotel  Old</v>
      </c>
      <c r="D22" t="str">
        <f>_xlfn.XLOOKUP(B22,Trans_Demand!A:A,Trans_Demand!B:B)</f>
        <v>Mm2</v>
      </c>
      <c r="E22" t="s">
        <v>214</v>
      </c>
      <c r="F22">
        <f>Trans_Demand!C18</f>
        <v>2095</v>
      </c>
      <c r="G22" s="11">
        <f>SUMIFS(Trans_Demand!D:D,Trans_Demand!A:A,B22,Trans_Demand!C:C,F22)</f>
        <v>11.97870118205155</v>
      </c>
    </row>
    <row r="23" spans="2:7">
      <c r="B23" t="str">
        <f>Trans_Demand!A19</f>
        <v>COMHOTOldDMD</v>
      </c>
      <c r="C23" t="str">
        <f>"DEMAND - "&amp;_xlfn.XLOOKUP(B23,Demand!E:E,Demand!A:A)&amp;" "&amp;_xlfn.XLOOKUP(B23,Demand!E:E,Demand!B:B)&amp;" "&amp;_xlfn.XLOOKUP(B23,Demand!E:E,Demand!C:C)&amp;" "&amp;_xlfn.XLOOKUP(B23,Demand!E:E,Demand!D:D)</f>
        <v>DEMAND - Commercial Hotel  Old</v>
      </c>
      <c r="D23" t="str">
        <f>_xlfn.XLOOKUP(B23,Trans_Demand!A:A,Trans_Demand!B:B)</f>
        <v>Mm2</v>
      </c>
      <c r="E23" t="s">
        <v>214</v>
      </c>
      <c r="F23">
        <f>Trans_Demand!C19</f>
        <v>2100</v>
      </c>
      <c r="G23" s="11">
        <f>SUMIFS(Trans_Demand!D:D,Trans_Demand!A:A,B23,Trans_Demand!C:C,F23)</f>
        <v>11.97870118205155</v>
      </c>
    </row>
    <row r="24" spans="2:7">
      <c r="B24" t="str">
        <f>Trans_Demand!A20</f>
        <v>COMRETOldDMD</v>
      </c>
      <c r="C24" t="str">
        <f>"DEMAND - "&amp;_xlfn.XLOOKUP(B24,Demand!E:E,Demand!A:A)&amp;" "&amp;_xlfn.XLOOKUP(B24,Demand!E:E,Demand!B:B)&amp;" "&amp;_xlfn.XLOOKUP(B24,Demand!E:E,Demand!C:C)&amp;" "&amp;_xlfn.XLOOKUP(B24,Demand!E:E,Demand!D:D)</f>
        <v>DEMAND - Commercial Retail  Old</v>
      </c>
      <c r="D24" t="str">
        <f>_xlfn.XLOOKUP(B24,Trans_Demand!A:A,Trans_Demand!B:B)</f>
        <v>Mm2</v>
      </c>
      <c r="E24" t="s">
        <v>214</v>
      </c>
      <c r="F24">
        <f>Trans_Demand!C20</f>
        <v>2019</v>
      </c>
      <c r="G24" s="11">
        <f>SUMIFS(Trans_Demand!D:D,Trans_Demand!A:A,B24,Trans_Demand!C:C,F24)</f>
        <v>23.081056453704559</v>
      </c>
    </row>
    <row r="25" spans="2:7">
      <c r="B25" t="str">
        <f>Trans_Demand!A21</f>
        <v>COMRETOldDMD</v>
      </c>
      <c r="C25" t="str">
        <f>"DEMAND - "&amp;_xlfn.XLOOKUP(B25,Demand!E:E,Demand!A:A)&amp;" "&amp;_xlfn.XLOOKUP(B25,Demand!E:E,Demand!B:B)&amp;" "&amp;_xlfn.XLOOKUP(B25,Demand!E:E,Demand!C:C)&amp;" "&amp;_xlfn.XLOOKUP(B25,Demand!E:E,Demand!D:D)</f>
        <v>DEMAND - Commercial Retail  Old</v>
      </c>
      <c r="D25" t="str">
        <f>_xlfn.XLOOKUP(B25,Trans_Demand!A:A,Trans_Demand!B:B)</f>
        <v>Mm2</v>
      </c>
      <c r="E25" t="s">
        <v>214</v>
      </c>
      <c r="F25">
        <f>Trans_Demand!C21</f>
        <v>2020</v>
      </c>
      <c r="G25" s="11">
        <f>SUMIFS(Trans_Demand!D:D,Trans_Demand!A:A,B25,Trans_Demand!C:C,F25)</f>
        <v>23.081056453704559</v>
      </c>
    </row>
    <row r="26" spans="2:7">
      <c r="B26" t="str">
        <f>Trans_Demand!A22</f>
        <v>COMRETOldDMD</v>
      </c>
      <c r="C26" t="str">
        <f>"DEMAND - "&amp;_xlfn.XLOOKUP(B26,Demand!E:E,Demand!A:A)&amp;" "&amp;_xlfn.XLOOKUP(B26,Demand!E:E,Demand!B:B)&amp;" "&amp;_xlfn.XLOOKUP(B26,Demand!E:E,Demand!C:C)&amp;" "&amp;_xlfn.XLOOKUP(B26,Demand!E:E,Demand!D:D)</f>
        <v>DEMAND - Commercial Retail  Old</v>
      </c>
      <c r="D26" t="str">
        <f>_xlfn.XLOOKUP(B26,Trans_Demand!A:A,Trans_Demand!B:B)</f>
        <v>Mm2</v>
      </c>
      <c r="E26" t="s">
        <v>214</v>
      </c>
      <c r="F26">
        <f>Trans_Demand!C22</f>
        <v>2025</v>
      </c>
      <c r="G26" s="11">
        <f>SUMIFS(Trans_Demand!D:D,Trans_Demand!A:A,B26,Trans_Demand!C:C,F26)</f>
        <v>23.081056453704559</v>
      </c>
    </row>
    <row r="27" spans="2:7">
      <c r="B27" t="str">
        <f>Trans_Demand!A23</f>
        <v>COMRETOldDMD</v>
      </c>
      <c r="C27" t="str">
        <f>"DEMAND - "&amp;_xlfn.XLOOKUP(B27,Demand!E:E,Demand!A:A)&amp;" "&amp;_xlfn.XLOOKUP(B27,Demand!E:E,Demand!B:B)&amp;" "&amp;_xlfn.XLOOKUP(B27,Demand!E:E,Demand!C:C)&amp;" "&amp;_xlfn.XLOOKUP(B27,Demand!E:E,Demand!D:D)</f>
        <v>DEMAND - Commercial Retail  Old</v>
      </c>
      <c r="D27" t="str">
        <f>_xlfn.XLOOKUP(B27,Trans_Demand!A:A,Trans_Demand!B:B)</f>
        <v>Mm2</v>
      </c>
      <c r="E27" t="s">
        <v>214</v>
      </c>
      <c r="F27">
        <f>Trans_Demand!C23</f>
        <v>2030</v>
      </c>
      <c r="G27" s="11">
        <f>SUMIFS(Trans_Demand!D:D,Trans_Demand!A:A,B27,Trans_Demand!C:C,F27)</f>
        <v>23.081056453704559</v>
      </c>
    </row>
    <row r="28" spans="2:7">
      <c r="B28" t="str">
        <f>Trans_Demand!A24</f>
        <v>COMRETOldDMD</v>
      </c>
      <c r="C28" t="str">
        <f>"DEMAND - "&amp;_xlfn.XLOOKUP(B28,Demand!E:E,Demand!A:A)&amp;" "&amp;_xlfn.XLOOKUP(B28,Demand!E:E,Demand!B:B)&amp;" "&amp;_xlfn.XLOOKUP(B28,Demand!E:E,Demand!C:C)&amp;" "&amp;_xlfn.XLOOKUP(B28,Demand!E:E,Demand!D:D)</f>
        <v>DEMAND - Commercial Retail  Old</v>
      </c>
      <c r="D28" t="str">
        <f>_xlfn.XLOOKUP(B28,Trans_Demand!A:A,Trans_Demand!B:B)</f>
        <v>Mm2</v>
      </c>
      <c r="E28" t="s">
        <v>214</v>
      </c>
      <c r="F28">
        <f>Trans_Demand!C24</f>
        <v>2035</v>
      </c>
      <c r="G28" s="11">
        <f>SUMIFS(Trans_Demand!D:D,Trans_Demand!A:A,B28,Trans_Demand!C:C,F28)</f>
        <v>23.081056453704559</v>
      </c>
    </row>
    <row r="29" spans="2:7">
      <c r="B29" t="str">
        <f>Trans_Demand!A25</f>
        <v>COMRETOldDMD</v>
      </c>
      <c r="C29" t="str">
        <f>"DEMAND - "&amp;_xlfn.XLOOKUP(B29,Demand!E:E,Demand!A:A)&amp;" "&amp;_xlfn.XLOOKUP(B29,Demand!E:E,Demand!B:B)&amp;" "&amp;_xlfn.XLOOKUP(B29,Demand!E:E,Demand!C:C)&amp;" "&amp;_xlfn.XLOOKUP(B29,Demand!E:E,Demand!D:D)</f>
        <v>DEMAND - Commercial Retail  Old</v>
      </c>
      <c r="D29" t="str">
        <f>_xlfn.XLOOKUP(B29,Trans_Demand!A:A,Trans_Demand!B:B)</f>
        <v>Mm2</v>
      </c>
      <c r="E29" t="s">
        <v>214</v>
      </c>
      <c r="F29">
        <f>Trans_Demand!C25</f>
        <v>2040</v>
      </c>
      <c r="G29" s="11">
        <f>SUMIFS(Trans_Demand!D:D,Trans_Demand!A:A,B29,Trans_Demand!C:C,F29)</f>
        <v>23.081056453704559</v>
      </c>
    </row>
    <row r="30" spans="2:7">
      <c r="B30" t="str">
        <f>Trans_Demand!A26</f>
        <v>COMRETOldDMD</v>
      </c>
      <c r="C30" t="str">
        <f>"DEMAND - "&amp;_xlfn.XLOOKUP(B30,Demand!E:E,Demand!A:A)&amp;" "&amp;_xlfn.XLOOKUP(B30,Demand!E:E,Demand!B:B)&amp;" "&amp;_xlfn.XLOOKUP(B30,Demand!E:E,Demand!C:C)&amp;" "&amp;_xlfn.XLOOKUP(B30,Demand!E:E,Demand!D:D)</f>
        <v>DEMAND - Commercial Retail  Old</v>
      </c>
      <c r="D30" t="str">
        <f>_xlfn.XLOOKUP(B30,Trans_Demand!A:A,Trans_Demand!B:B)</f>
        <v>Mm2</v>
      </c>
      <c r="E30" t="s">
        <v>214</v>
      </c>
      <c r="F30">
        <f>Trans_Demand!C26</f>
        <v>2045</v>
      </c>
      <c r="G30" s="11">
        <f>SUMIFS(Trans_Demand!D:D,Trans_Demand!A:A,B30,Trans_Demand!C:C,F30)</f>
        <v>23.081056453704559</v>
      </c>
    </row>
    <row r="31" spans="2:7">
      <c r="B31" t="str">
        <f>Trans_Demand!A27</f>
        <v>COMRETOldDMD</v>
      </c>
      <c r="C31" t="str">
        <f>"DEMAND - "&amp;_xlfn.XLOOKUP(B31,Demand!E:E,Demand!A:A)&amp;" "&amp;_xlfn.XLOOKUP(B31,Demand!E:E,Demand!B:B)&amp;" "&amp;_xlfn.XLOOKUP(B31,Demand!E:E,Demand!C:C)&amp;" "&amp;_xlfn.XLOOKUP(B31,Demand!E:E,Demand!D:D)</f>
        <v>DEMAND - Commercial Retail  Old</v>
      </c>
      <c r="D31" t="str">
        <f>_xlfn.XLOOKUP(B31,Trans_Demand!A:A,Trans_Demand!B:B)</f>
        <v>Mm2</v>
      </c>
      <c r="E31" t="s">
        <v>214</v>
      </c>
      <c r="F31">
        <f>Trans_Demand!C27</f>
        <v>2050</v>
      </c>
      <c r="G31" s="11">
        <f>SUMIFS(Trans_Demand!D:D,Trans_Demand!A:A,B31,Trans_Demand!C:C,F31)</f>
        <v>23.081056453704559</v>
      </c>
    </row>
    <row r="32" spans="2:7">
      <c r="B32" t="str">
        <f>Trans_Demand!A28</f>
        <v>COMRETOldDMD</v>
      </c>
      <c r="C32" t="str">
        <f>"DEMAND - "&amp;_xlfn.XLOOKUP(B32,Demand!E:E,Demand!A:A)&amp;" "&amp;_xlfn.XLOOKUP(B32,Demand!E:E,Demand!B:B)&amp;" "&amp;_xlfn.XLOOKUP(B32,Demand!E:E,Demand!C:C)&amp;" "&amp;_xlfn.XLOOKUP(B32,Demand!E:E,Demand!D:D)</f>
        <v>DEMAND - Commercial Retail  Old</v>
      </c>
      <c r="D32" t="str">
        <f>_xlfn.XLOOKUP(B32,Trans_Demand!A:A,Trans_Demand!B:B)</f>
        <v>Mm2</v>
      </c>
      <c r="E32" t="s">
        <v>214</v>
      </c>
      <c r="F32">
        <f>Trans_Demand!C28</f>
        <v>2055</v>
      </c>
      <c r="G32" s="11">
        <f>SUMIFS(Trans_Demand!D:D,Trans_Demand!A:A,B32,Trans_Demand!C:C,F32)</f>
        <v>23.081056453704559</v>
      </c>
    </row>
    <row r="33" spans="2:7">
      <c r="B33" t="str">
        <f>Trans_Demand!A29</f>
        <v>COMRETOldDMD</v>
      </c>
      <c r="C33" t="str">
        <f>"DEMAND - "&amp;_xlfn.XLOOKUP(B33,Demand!E:E,Demand!A:A)&amp;" "&amp;_xlfn.XLOOKUP(B33,Demand!E:E,Demand!B:B)&amp;" "&amp;_xlfn.XLOOKUP(B33,Demand!E:E,Demand!C:C)&amp;" "&amp;_xlfn.XLOOKUP(B33,Demand!E:E,Demand!D:D)</f>
        <v>DEMAND - Commercial Retail  Old</v>
      </c>
      <c r="D33" t="str">
        <f>_xlfn.XLOOKUP(B33,Trans_Demand!A:A,Trans_Demand!B:B)</f>
        <v>Mm2</v>
      </c>
      <c r="E33" t="s">
        <v>214</v>
      </c>
      <c r="F33">
        <f>Trans_Demand!C29</f>
        <v>2060</v>
      </c>
      <c r="G33" s="11">
        <f>SUMIFS(Trans_Demand!D:D,Trans_Demand!A:A,B33,Trans_Demand!C:C,F33)</f>
        <v>23.081056453704559</v>
      </c>
    </row>
    <row r="34" spans="2:7">
      <c r="B34" t="str">
        <f>Trans_Demand!A30</f>
        <v>COMRETOldDMD</v>
      </c>
      <c r="C34" t="str">
        <f>"DEMAND - "&amp;_xlfn.XLOOKUP(B34,Demand!E:E,Demand!A:A)&amp;" "&amp;_xlfn.XLOOKUP(B34,Demand!E:E,Demand!B:B)&amp;" "&amp;_xlfn.XLOOKUP(B34,Demand!E:E,Demand!C:C)&amp;" "&amp;_xlfn.XLOOKUP(B34,Demand!E:E,Demand!D:D)</f>
        <v>DEMAND - Commercial Retail  Old</v>
      </c>
      <c r="D34" t="str">
        <f>_xlfn.XLOOKUP(B34,Trans_Demand!A:A,Trans_Demand!B:B)</f>
        <v>Mm2</v>
      </c>
      <c r="E34" t="s">
        <v>214</v>
      </c>
      <c r="F34">
        <f>Trans_Demand!C30</f>
        <v>2065</v>
      </c>
      <c r="G34" s="11">
        <f>SUMIFS(Trans_Demand!D:D,Trans_Demand!A:A,B34,Trans_Demand!C:C,F34)</f>
        <v>23.081056453704559</v>
      </c>
    </row>
    <row r="35" spans="2:7">
      <c r="B35" t="str">
        <f>Trans_Demand!A31</f>
        <v>COMRETOldDMD</v>
      </c>
      <c r="C35" t="str">
        <f>"DEMAND - "&amp;_xlfn.XLOOKUP(B35,Demand!E:E,Demand!A:A)&amp;" "&amp;_xlfn.XLOOKUP(B35,Demand!E:E,Demand!B:B)&amp;" "&amp;_xlfn.XLOOKUP(B35,Demand!E:E,Demand!C:C)&amp;" "&amp;_xlfn.XLOOKUP(B35,Demand!E:E,Demand!D:D)</f>
        <v>DEMAND - Commercial Retail  Old</v>
      </c>
      <c r="D35" t="str">
        <f>_xlfn.XLOOKUP(B35,Trans_Demand!A:A,Trans_Demand!B:B)</f>
        <v>Mm2</v>
      </c>
      <c r="E35" t="s">
        <v>214</v>
      </c>
      <c r="F35">
        <f>Trans_Demand!C31</f>
        <v>2070</v>
      </c>
      <c r="G35" s="11">
        <f>SUMIFS(Trans_Demand!D:D,Trans_Demand!A:A,B35,Trans_Demand!C:C,F35)</f>
        <v>23.081056453704559</v>
      </c>
    </row>
    <row r="36" spans="2:7">
      <c r="B36" t="str">
        <f>Trans_Demand!A32</f>
        <v>COMRETOldDMD</v>
      </c>
      <c r="C36" t="str">
        <f>"DEMAND - "&amp;_xlfn.XLOOKUP(B36,Demand!E:E,Demand!A:A)&amp;" "&amp;_xlfn.XLOOKUP(B36,Demand!E:E,Demand!B:B)&amp;" "&amp;_xlfn.XLOOKUP(B36,Demand!E:E,Demand!C:C)&amp;" "&amp;_xlfn.XLOOKUP(B36,Demand!E:E,Demand!D:D)</f>
        <v>DEMAND - Commercial Retail  Old</v>
      </c>
      <c r="D36" t="str">
        <f>_xlfn.XLOOKUP(B36,Trans_Demand!A:A,Trans_Demand!B:B)</f>
        <v>Mm2</v>
      </c>
      <c r="E36" t="s">
        <v>214</v>
      </c>
      <c r="F36">
        <f>Trans_Demand!C32</f>
        <v>2075</v>
      </c>
      <c r="G36" s="11">
        <f>SUMIFS(Trans_Demand!D:D,Trans_Demand!A:A,B36,Trans_Demand!C:C,F36)</f>
        <v>23.081056453704559</v>
      </c>
    </row>
    <row r="37" spans="2:7">
      <c r="B37" t="str">
        <f>Trans_Demand!A33</f>
        <v>COMRETOldDMD</v>
      </c>
      <c r="C37" t="str">
        <f>"DEMAND - "&amp;_xlfn.XLOOKUP(B37,Demand!E:E,Demand!A:A)&amp;" "&amp;_xlfn.XLOOKUP(B37,Demand!E:E,Demand!B:B)&amp;" "&amp;_xlfn.XLOOKUP(B37,Demand!E:E,Demand!C:C)&amp;" "&amp;_xlfn.XLOOKUP(B37,Demand!E:E,Demand!D:D)</f>
        <v>DEMAND - Commercial Retail  Old</v>
      </c>
      <c r="D37" t="str">
        <f>_xlfn.XLOOKUP(B37,Trans_Demand!A:A,Trans_Demand!B:B)</f>
        <v>Mm2</v>
      </c>
      <c r="E37" t="s">
        <v>214</v>
      </c>
      <c r="F37">
        <f>Trans_Demand!C33</f>
        <v>2080</v>
      </c>
      <c r="G37" s="11">
        <f>SUMIFS(Trans_Demand!D:D,Trans_Demand!A:A,B37,Trans_Demand!C:C,F37)</f>
        <v>23.081056453704559</v>
      </c>
    </row>
    <row r="38" spans="2:7">
      <c r="B38" t="str">
        <f>Trans_Demand!A34</f>
        <v>COMRETOldDMD</v>
      </c>
      <c r="C38" t="str">
        <f>"DEMAND - "&amp;_xlfn.XLOOKUP(B38,Demand!E:E,Demand!A:A)&amp;" "&amp;_xlfn.XLOOKUP(B38,Demand!E:E,Demand!B:B)&amp;" "&amp;_xlfn.XLOOKUP(B38,Demand!E:E,Demand!C:C)&amp;" "&amp;_xlfn.XLOOKUP(B38,Demand!E:E,Demand!D:D)</f>
        <v>DEMAND - Commercial Retail  Old</v>
      </c>
      <c r="D38" t="str">
        <f>_xlfn.XLOOKUP(B38,Trans_Demand!A:A,Trans_Demand!B:B)</f>
        <v>Mm2</v>
      </c>
      <c r="E38" t="s">
        <v>214</v>
      </c>
      <c r="F38">
        <f>Trans_Demand!C34</f>
        <v>2085</v>
      </c>
      <c r="G38" s="11">
        <f>SUMIFS(Trans_Demand!D:D,Trans_Demand!A:A,B38,Trans_Demand!C:C,F38)</f>
        <v>23.081056453704559</v>
      </c>
    </row>
    <row r="39" spans="2:7">
      <c r="B39" t="str">
        <f>Trans_Demand!A35</f>
        <v>COMRETOldDMD</v>
      </c>
      <c r="C39" t="str">
        <f>"DEMAND - "&amp;_xlfn.XLOOKUP(B39,Demand!E:E,Demand!A:A)&amp;" "&amp;_xlfn.XLOOKUP(B39,Demand!E:E,Demand!B:B)&amp;" "&amp;_xlfn.XLOOKUP(B39,Demand!E:E,Demand!C:C)&amp;" "&amp;_xlfn.XLOOKUP(B39,Demand!E:E,Demand!D:D)</f>
        <v>DEMAND - Commercial Retail  Old</v>
      </c>
      <c r="D39" t="str">
        <f>_xlfn.XLOOKUP(B39,Trans_Demand!A:A,Trans_Demand!B:B)</f>
        <v>Mm2</v>
      </c>
      <c r="E39" t="s">
        <v>214</v>
      </c>
      <c r="F39">
        <f>Trans_Demand!C35</f>
        <v>2090</v>
      </c>
      <c r="G39" s="11">
        <f>SUMIFS(Trans_Demand!D:D,Trans_Demand!A:A,B39,Trans_Demand!C:C,F39)</f>
        <v>23.081056453704559</v>
      </c>
    </row>
    <row r="40" spans="2:7">
      <c r="B40" t="str">
        <f>Trans_Demand!A36</f>
        <v>COMRETOldDMD</v>
      </c>
      <c r="C40" t="str">
        <f>"DEMAND - "&amp;_xlfn.XLOOKUP(B40,Demand!E:E,Demand!A:A)&amp;" "&amp;_xlfn.XLOOKUP(B40,Demand!E:E,Demand!B:B)&amp;" "&amp;_xlfn.XLOOKUP(B40,Demand!E:E,Demand!C:C)&amp;" "&amp;_xlfn.XLOOKUP(B40,Demand!E:E,Demand!D:D)</f>
        <v>DEMAND - Commercial Retail  Old</v>
      </c>
      <c r="D40" t="str">
        <f>_xlfn.XLOOKUP(B40,Trans_Demand!A:A,Trans_Demand!B:B)</f>
        <v>Mm2</v>
      </c>
      <c r="E40" t="s">
        <v>214</v>
      </c>
      <c r="F40">
        <f>Trans_Demand!C36</f>
        <v>2095</v>
      </c>
      <c r="G40" s="11">
        <f>SUMIFS(Trans_Demand!D:D,Trans_Demand!A:A,B40,Trans_Demand!C:C,F40)</f>
        <v>23.081056453704559</v>
      </c>
    </row>
    <row r="41" spans="2:7">
      <c r="B41" t="str">
        <f>Trans_Demand!A37</f>
        <v>COMRETOldDMD</v>
      </c>
      <c r="C41" t="str">
        <f>"DEMAND - "&amp;_xlfn.XLOOKUP(B41,Demand!E:E,Demand!A:A)&amp;" "&amp;_xlfn.XLOOKUP(B41,Demand!E:E,Demand!B:B)&amp;" "&amp;_xlfn.XLOOKUP(B41,Demand!E:E,Demand!C:C)&amp;" "&amp;_xlfn.XLOOKUP(B41,Demand!E:E,Demand!D:D)</f>
        <v>DEMAND - Commercial Retail  Old</v>
      </c>
      <c r="D41" t="str">
        <f>_xlfn.XLOOKUP(B41,Trans_Demand!A:A,Trans_Demand!B:B)</f>
        <v>Mm2</v>
      </c>
      <c r="E41" t="s">
        <v>214</v>
      </c>
      <c r="F41">
        <f>Trans_Demand!C37</f>
        <v>2100</v>
      </c>
      <c r="G41" s="11">
        <f>SUMIFS(Trans_Demand!D:D,Trans_Demand!A:A,B41,Trans_Demand!C:C,F41)</f>
        <v>23.081056453704559</v>
      </c>
    </row>
    <row r="42" spans="2:7">
      <c r="B42" t="str">
        <f>Trans_Demand!A38</f>
        <v>COMOFFOldDMD</v>
      </c>
      <c r="C42" t="str">
        <f>"DEMAND - "&amp;_xlfn.XLOOKUP(B42,Demand!E:E,Demand!A:A)&amp;" "&amp;_xlfn.XLOOKUP(B42,Demand!E:E,Demand!B:B)&amp;" "&amp;_xlfn.XLOOKUP(B42,Demand!E:E,Demand!C:C)&amp;" "&amp;_xlfn.XLOOKUP(B42,Demand!E:E,Demand!D:D)</f>
        <v>DEMAND - Commercial Office  Old</v>
      </c>
      <c r="D42" t="str">
        <f>_xlfn.XLOOKUP(B42,Trans_Demand!A:A,Trans_Demand!B:B)</f>
        <v>Mm2</v>
      </c>
      <c r="E42" t="s">
        <v>214</v>
      </c>
      <c r="F42">
        <f>Trans_Demand!C38</f>
        <v>2019</v>
      </c>
      <c r="G42" s="11">
        <f>SUMIFS(Trans_Demand!D:D,Trans_Demand!A:A,B42,Trans_Demand!C:C,F42)</f>
        <v>73.164818964644439</v>
      </c>
    </row>
    <row r="43" spans="2:7">
      <c r="B43" t="str">
        <f>Trans_Demand!A39</f>
        <v>COMOFFOldDMD</v>
      </c>
      <c r="C43" t="str">
        <f>"DEMAND - "&amp;_xlfn.XLOOKUP(B43,Demand!E:E,Demand!A:A)&amp;" "&amp;_xlfn.XLOOKUP(B43,Demand!E:E,Demand!B:B)&amp;" "&amp;_xlfn.XLOOKUP(B43,Demand!E:E,Demand!C:C)&amp;" "&amp;_xlfn.XLOOKUP(B43,Demand!E:E,Demand!D:D)</f>
        <v>DEMAND - Commercial Office  Old</v>
      </c>
      <c r="D43" t="str">
        <f>_xlfn.XLOOKUP(B43,Trans_Demand!A:A,Trans_Demand!B:B)</f>
        <v>Mm2</v>
      </c>
      <c r="E43" t="s">
        <v>214</v>
      </c>
      <c r="F43">
        <f>Trans_Demand!C39</f>
        <v>2020</v>
      </c>
      <c r="G43" s="11">
        <f>SUMIFS(Trans_Demand!D:D,Trans_Demand!A:A,B43,Trans_Demand!C:C,F43)</f>
        <v>73.164818964644439</v>
      </c>
    </row>
    <row r="44" spans="2:7">
      <c r="B44" t="str">
        <f>Trans_Demand!A40</f>
        <v>COMOFFOldDMD</v>
      </c>
      <c r="C44" t="str">
        <f>"DEMAND - "&amp;_xlfn.XLOOKUP(B44,Demand!E:E,Demand!A:A)&amp;" "&amp;_xlfn.XLOOKUP(B44,Demand!E:E,Demand!B:B)&amp;" "&amp;_xlfn.XLOOKUP(B44,Demand!E:E,Demand!C:C)&amp;" "&amp;_xlfn.XLOOKUP(B44,Demand!E:E,Demand!D:D)</f>
        <v>DEMAND - Commercial Office  Old</v>
      </c>
      <c r="D44" t="str">
        <f>_xlfn.XLOOKUP(B44,Trans_Demand!A:A,Trans_Demand!B:B)</f>
        <v>Mm2</v>
      </c>
      <c r="E44" t="s">
        <v>214</v>
      </c>
      <c r="F44">
        <f>Trans_Demand!C40</f>
        <v>2025</v>
      </c>
      <c r="G44" s="11">
        <f>SUMIFS(Trans_Demand!D:D,Trans_Demand!A:A,B44,Trans_Demand!C:C,F44)</f>
        <v>73.164818964644439</v>
      </c>
    </row>
    <row r="45" spans="2:7">
      <c r="B45" t="str">
        <f>Trans_Demand!A41</f>
        <v>COMOFFOldDMD</v>
      </c>
      <c r="C45" t="str">
        <f>"DEMAND - "&amp;_xlfn.XLOOKUP(B45,Demand!E:E,Demand!A:A)&amp;" "&amp;_xlfn.XLOOKUP(B45,Demand!E:E,Demand!B:B)&amp;" "&amp;_xlfn.XLOOKUP(B45,Demand!E:E,Demand!C:C)&amp;" "&amp;_xlfn.XLOOKUP(B45,Demand!E:E,Demand!D:D)</f>
        <v>DEMAND - Commercial Office  Old</v>
      </c>
      <c r="D45" t="str">
        <f>_xlfn.XLOOKUP(B45,Trans_Demand!A:A,Trans_Demand!B:B)</f>
        <v>Mm2</v>
      </c>
      <c r="E45" t="s">
        <v>214</v>
      </c>
      <c r="F45">
        <f>Trans_Demand!C41</f>
        <v>2030</v>
      </c>
      <c r="G45" s="11">
        <f>SUMIFS(Trans_Demand!D:D,Trans_Demand!A:A,B45,Trans_Demand!C:C,F45)</f>
        <v>73.164818964644439</v>
      </c>
    </row>
    <row r="46" spans="2:7">
      <c r="B46" t="str">
        <f>Trans_Demand!A42</f>
        <v>COMOFFOldDMD</v>
      </c>
      <c r="C46" t="str">
        <f>"DEMAND - "&amp;_xlfn.XLOOKUP(B46,Demand!E:E,Demand!A:A)&amp;" "&amp;_xlfn.XLOOKUP(B46,Demand!E:E,Demand!B:B)&amp;" "&amp;_xlfn.XLOOKUP(B46,Demand!E:E,Demand!C:C)&amp;" "&amp;_xlfn.XLOOKUP(B46,Demand!E:E,Demand!D:D)</f>
        <v>DEMAND - Commercial Office  Old</v>
      </c>
      <c r="D46" t="str">
        <f>_xlfn.XLOOKUP(B46,Trans_Demand!A:A,Trans_Demand!B:B)</f>
        <v>Mm2</v>
      </c>
      <c r="E46" t="s">
        <v>214</v>
      </c>
      <c r="F46">
        <f>Trans_Demand!C42</f>
        <v>2035</v>
      </c>
      <c r="G46" s="11">
        <f>SUMIFS(Trans_Demand!D:D,Trans_Demand!A:A,B46,Trans_Demand!C:C,F46)</f>
        <v>73.164818964644439</v>
      </c>
    </row>
    <row r="47" spans="2:7">
      <c r="B47" t="str">
        <f>Trans_Demand!A43</f>
        <v>COMOFFOldDMD</v>
      </c>
      <c r="C47" t="str">
        <f>"DEMAND - "&amp;_xlfn.XLOOKUP(B47,Demand!E:E,Demand!A:A)&amp;" "&amp;_xlfn.XLOOKUP(B47,Demand!E:E,Demand!B:B)&amp;" "&amp;_xlfn.XLOOKUP(B47,Demand!E:E,Demand!C:C)&amp;" "&amp;_xlfn.XLOOKUP(B47,Demand!E:E,Demand!D:D)</f>
        <v>DEMAND - Commercial Office  Old</v>
      </c>
      <c r="D47" t="str">
        <f>_xlfn.XLOOKUP(B47,Trans_Demand!A:A,Trans_Demand!B:B)</f>
        <v>Mm2</v>
      </c>
      <c r="E47" t="s">
        <v>214</v>
      </c>
      <c r="F47">
        <f>Trans_Demand!C43</f>
        <v>2040</v>
      </c>
      <c r="G47" s="11">
        <f>SUMIFS(Trans_Demand!D:D,Trans_Demand!A:A,B47,Trans_Demand!C:C,F47)</f>
        <v>73.164818964644439</v>
      </c>
    </row>
    <row r="48" spans="2:7">
      <c r="B48" t="str">
        <f>Trans_Demand!A44</f>
        <v>COMOFFOldDMD</v>
      </c>
      <c r="C48" t="str">
        <f>"DEMAND - "&amp;_xlfn.XLOOKUP(B48,Demand!E:E,Demand!A:A)&amp;" "&amp;_xlfn.XLOOKUP(B48,Demand!E:E,Demand!B:B)&amp;" "&amp;_xlfn.XLOOKUP(B48,Demand!E:E,Demand!C:C)&amp;" "&amp;_xlfn.XLOOKUP(B48,Demand!E:E,Demand!D:D)</f>
        <v>DEMAND - Commercial Office  Old</v>
      </c>
      <c r="D48" t="str">
        <f>_xlfn.XLOOKUP(B48,Trans_Demand!A:A,Trans_Demand!B:B)</f>
        <v>Mm2</v>
      </c>
      <c r="E48" t="s">
        <v>214</v>
      </c>
      <c r="F48">
        <f>Trans_Demand!C44</f>
        <v>2045</v>
      </c>
      <c r="G48" s="11">
        <f>SUMIFS(Trans_Demand!D:D,Trans_Demand!A:A,B48,Trans_Demand!C:C,F48)</f>
        <v>73.164818964644439</v>
      </c>
    </row>
    <row r="49" spans="2:7">
      <c r="B49" t="str">
        <f>Trans_Demand!A45</f>
        <v>COMOFFOldDMD</v>
      </c>
      <c r="C49" t="str">
        <f>"DEMAND - "&amp;_xlfn.XLOOKUP(B49,Demand!E:E,Demand!A:A)&amp;" "&amp;_xlfn.XLOOKUP(B49,Demand!E:E,Demand!B:B)&amp;" "&amp;_xlfn.XLOOKUP(B49,Demand!E:E,Demand!C:C)&amp;" "&amp;_xlfn.XLOOKUP(B49,Demand!E:E,Demand!D:D)</f>
        <v>DEMAND - Commercial Office  Old</v>
      </c>
      <c r="D49" t="str">
        <f>_xlfn.XLOOKUP(B49,Trans_Demand!A:A,Trans_Demand!B:B)</f>
        <v>Mm2</v>
      </c>
      <c r="E49" t="s">
        <v>214</v>
      </c>
      <c r="F49">
        <f>Trans_Demand!C45</f>
        <v>2050</v>
      </c>
      <c r="G49" s="11">
        <f>SUMIFS(Trans_Demand!D:D,Trans_Demand!A:A,B49,Trans_Demand!C:C,F49)</f>
        <v>73.164818964644439</v>
      </c>
    </row>
    <row r="50" spans="2:7">
      <c r="B50" t="str">
        <f>Trans_Demand!A46</f>
        <v>COMOFFOldDMD</v>
      </c>
      <c r="C50" t="str">
        <f>"DEMAND - "&amp;_xlfn.XLOOKUP(B50,Demand!E:E,Demand!A:A)&amp;" "&amp;_xlfn.XLOOKUP(B50,Demand!E:E,Demand!B:B)&amp;" "&amp;_xlfn.XLOOKUP(B50,Demand!E:E,Demand!C:C)&amp;" "&amp;_xlfn.XLOOKUP(B50,Demand!E:E,Demand!D:D)</f>
        <v>DEMAND - Commercial Office  Old</v>
      </c>
      <c r="D50" t="str">
        <f>_xlfn.XLOOKUP(B50,Trans_Demand!A:A,Trans_Demand!B:B)</f>
        <v>Mm2</v>
      </c>
      <c r="E50" t="s">
        <v>214</v>
      </c>
      <c r="F50">
        <f>Trans_Demand!C46</f>
        <v>2055</v>
      </c>
      <c r="G50" s="11">
        <f>SUMIFS(Trans_Demand!D:D,Trans_Demand!A:A,B50,Trans_Demand!C:C,F50)</f>
        <v>73.164818964644439</v>
      </c>
    </row>
    <row r="51" spans="2:7">
      <c r="B51" t="str">
        <f>Trans_Demand!A47</f>
        <v>COMOFFOldDMD</v>
      </c>
      <c r="C51" t="str">
        <f>"DEMAND - "&amp;_xlfn.XLOOKUP(B51,Demand!E:E,Demand!A:A)&amp;" "&amp;_xlfn.XLOOKUP(B51,Demand!E:E,Demand!B:B)&amp;" "&amp;_xlfn.XLOOKUP(B51,Demand!E:E,Demand!C:C)&amp;" "&amp;_xlfn.XLOOKUP(B51,Demand!E:E,Demand!D:D)</f>
        <v>DEMAND - Commercial Office  Old</v>
      </c>
      <c r="D51" t="str">
        <f>_xlfn.XLOOKUP(B51,Trans_Demand!A:A,Trans_Demand!B:B)</f>
        <v>Mm2</v>
      </c>
      <c r="E51" t="s">
        <v>214</v>
      </c>
      <c r="F51">
        <f>Trans_Demand!C47</f>
        <v>2060</v>
      </c>
      <c r="G51" s="11">
        <f>SUMIFS(Trans_Demand!D:D,Trans_Demand!A:A,B51,Trans_Demand!C:C,F51)</f>
        <v>73.164818964644439</v>
      </c>
    </row>
    <row r="52" spans="2:7">
      <c r="B52" t="str">
        <f>Trans_Demand!A48</f>
        <v>COMOFFOldDMD</v>
      </c>
      <c r="C52" t="str">
        <f>"DEMAND - "&amp;_xlfn.XLOOKUP(B52,Demand!E:E,Demand!A:A)&amp;" "&amp;_xlfn.XLOOKUP(B52,Demand!E:E,Demand!B:B)&amp;" "&amp;_xlfn.XLOOKUP(B52,Demand!E:E,Demand!C:C)&amp;" "&amp;_xlfn.XLOOKUP(B52,Demand!E:E,Demand!D:D)</f>
        <v>DEMAND - Commercial Office  Old</v>
      </c>
      <c r="D52" t="str">
        <f>_xlfn.XLOOKUP(B52,Trans_Demand!A:A,Trans_Demand!B:B)</f>
        <v>Mm2</v>
      </c>
      <c r="E52" t="s">
        <v>214</v>
      </c>
      <c r="F52">
        <f>Trans_Demand!C48</f>
        <v>2065</v>
      </c>
      <c r="G52" s="11">
        <f>SUMIFS(Trans_Demand!D:D,Trans_Demand!A:A,B52,Trans_Demand!C:C,F52)</f>
        <v>73.164818964644439</v>
      </c>
    </row>
    <row r="53" spans="2:7">
      <c r="B53" t="str">
        <f>Trans_Demand!A49</f>
        <v>COMOFFOldDMD</v>
      </c>
      <c r="C53" t="str">
        <f>"DEMAND - "&amp;_xlfn.XLOOKUP(B53,Demand!E:E,Demand!A:A)&amp;" "&amp;_xlfn.XLOOKUP(B53,Demand!E:E,Demand!B:B)&amp;" "&amp;_xlfn.XLOOKUP(B53,Demand!E:E,Demand!C:C)&amp;" "&amp;_xlfn.XLOOKUP(B53,Demand!E:E,Demand!D:D)</f>
        <v>DEMAND - Commercial Office  Old</v>
      </c>
      <c r="D53" t="str">
        <f>_xlfn.XLOOKUP(B53,Trans_Demand!A:A,Trans_Demand!B:B)</f>
        <v>Mm2</v>
      </c>
      <c r="E53" t="s">
        <v>214</v>
      </c>
      <c r="F53">
        <f>Trans_Demand!C49</f>
        <v>2070</v>
      </c>
      <c r="G53" s="11">
        <f>SUMIFS(Trans_Demand!D:D,Trans_Demand!A:A,B53,Trans_Demand!C:C,F53)</f>
        <v>73.164818964644439</v>
      </c>
    </row>
    <row r="54" spans="2:7">
      <c r="B54" t="str">
        <f>Trans_Demand!A50</f>
        <v>COMOFFOldDMD</v>
      </c>
      <c r="C54" t="str">
        <f>"DEMAND - "&amp;_xlfn.XLOOKUP(B54,Demand!E:E,Demand!A:A)&amp;" "&amp;_xlfn.XLOOKUP(B54,Demand!E:E,Demand!B:B)&amp;" "&amp;_xlfn.XLOOKUP(B54,Demand!E:E,Demand!C:C)&amp;" "&amp;_xlfn.XLOOKUP(B54,Demand!E:E,Demand!D:D)</f>
        <v>DEMAND - Commercial Office  Old</v>
      </c>
      <c r="D54" t="str">
        <f>_xlfn.XLOOKUP(B54,Trans_Demand!A:A,Trans_Demand!B:B)</f>
        <v>Mm2</v>
      </c>
      <c r="E54" t="s">
        <v>214</v>
      </c>
      <c r="F54">
        <f>Trans_Demand!C50</f>
        <v>2075</v>
      </c>
      <c r="G54" s="11">
        <f>SUMIFS(Trans_Demand!D:D,Trans_Demand!A:A,B54,Trans_Demand!C:C,F54)</f>
        <v>73.164818964644439</v>
      </c>
    </row>
    <row r="55" spans="2:7">
      <c r="B55" t="str">
        <f>Trans_Demand!A51</f>
        <v>COMOFFOldDMD</v>
      </c>
      <c r="C55" t="str">
        <f>"DEMAND - "&amp;_xlfn.XLOOKUP(B55,Demand!E:E,Demand!A:A)&amp;" "&amp;_xlfn.XLOOKUP(B55,Demand!E:E,Demand!B:B)&amp;" "&amp;_xlfn.XLOOKUP(B55,Demand!E:E,Demand!C:C)&amp;" "&amp;_xlfn.XLOOKUP(B55,Demand!E:E,Demand!D:D)</f>
        <v>DEMAND - Commercial Office  Old</v>
      </c>
      <c r="D55" t="str">
        <f>_xlfn.XLOOKUP(B55,Trans_Demand!A:A,Trans_Demand!B:B)</f>
        <v>Mm2</v>
      </c>
      <c r="E55" t="s">
        <v>214</v>
      </c>
      <c r="F55">
        <f>Trans_Demand!C51</f>
        <v>2080</v>
      </c>
      <c r="G55" s="11">
        <f>SUMIFS(Trans_Demand!D:D,Trans_Demand!A:A,B55,Trans_Demand!C:C,F55)</f>
        <v>73.164818964644439</v>
      </c>
    </row>
    <row r="56" spans="2:7">
      <c r="B56" t="str">
        <f>Trans_Demand!A52</f>
        <v>COMOFFOldDMD</v>
      </c>
      <c r="C56" t="str">
        <f>"DEMAND - "&amp;_xlfn.XLOOKUP(B56,Demand!E:E,Demand!A:A)&amp;" "&amp;_xlfn.XLOOKUP(B56,Demand!E:E,Demand!B:B)&amp;" "&amp;_xlfn.XLOOKUP(B56,Demand!E:E,Demand!C:C)&amp;" "&amp;_xlfn.XLOOKUP(B56,Demand!E:E,Demand!D:D)</f>
        <v>DEMAND - Commercial Office  Old</v>
      </c>
      <c r="D56" t="str">
        <f>_xlfn.XLOOKUP(B56,Trans_Demand!A:A,Trans_Demand!B:B)</f>
        <v>Mm2</v>
      </c>
      <c r="E56" t="s">
        <v>214</v>
      </c>
      <c r="F56">
        <f>Trans_Demand!C52</f>
        <v>2085</v>
      </c>
      <c r="G56" s="11">
        <f>SUMIFS(Trans_Demand!D:D,Trans_Demand!A:A,B56,Trans_Demand!C:C,F56)</f>
        <v>73.164818964644439</v>
      </c>
    </row>
    <row r="57" spans="2:7">
      <c r="B57" t="str">
        <f>Trans_Demand!A53</f>
        <v>COMOFFOldDMD</v>
      </c>
      <c r="C57" t="str">
        <f>"DEMAND - "&amp;_xlfn.XLOOKUP(B57,Demand!E:E,Demand!A:A)&amp;" "&amp;_xlfn.XLOOKUP(B57,Demand!E:E,Demand!B:B)&amp;" "&amp;_xlfn.XLOOKUP(B57,Demand!E:E,Demand!C:C)&amp;" "&amp;_xlfn.XLOOKUP(B57,Demand!E:E,Demand!D:D)</f>
        <v>DEMAND - Commercial Office  Old</v>
      </c>
      <c r="D57" t="str">
        <f>_xlfn.XLOOKUP(B57,Trans_Demand!A:A,Trans_Demand!B:B)</f>
        <v>Mm2</v>
      </c>
      <c r="E57" t="s">
        <v>214</v>
      </c>
      <c r="F57">
        <f>Trans_Demand!C53</f>
        <v>2090</v>
      </c>
      <c r="G57" s="11">
        <f>SUMIFS(Trans_Demand!D:D,Trans_Demand!A:A,B57,Trans_Demand!C:C,F57)</f>
        <v>73.164818964644439</v>
      </c>
    </row>
    <row r="58" spans="2:7">
      <c r="B58" t="str">
        <f>Trans_Demand!A54</f>
        <v>COMOFFOldDMD</v>
      </c>
      <c r="C58" t="str">
        <f>"DEMAND - "&amp;_xlfn.XLOOKUP(B58,Demand!E:E,Demand!A:A)&amp;" "&amp;_xlfn.XLOOKUP(B58,Demand!E:E,Demand!B:B)&amp;" "&amp;_xlfn.XLOOKUP(B58,Demand!E:E,Demand!C:C)&amp;" "&amp;_xlfn.XLOOKUP(B58,Demand!E:E,Demand!D:D)</f>
        <v>DEMAND - Commercial Office  Old</v>
      </c>
      <c r="D58" t="str">
        <f>_xlfn.XLOOKUP(B58,Trans_Demand!A:A,Trans_Demand!B:B)</f>
        <v>Mm2</v>
      </c>
      <c r="E58" t="s">
        <v>214</v>
      </c>
      <c r="F58">
        <f>Trans_Demand!C54</f>
        <v>2095</v>
      </c>
      <c r="G58" s="11">
        <f>SUMIFS(Trans_Demand!D:D,Trans_Demand!A:A,B58,Trans_Demand!C:C,F58)</f>
        <v>73.164818964644439</v>
      </c>
    </row>
    <row r="59" spans="2:7">
      <c r="B59" t="str">
        <f>Trans_Demand!A55</f>
        <v>COMOFFOldDMD</v>
      </c>
      <c r="C59" t="str">
        <f>"DEMAND - "&amp;_xlfn.XLOOKUP(B59,Demand!E:E,Demand!A:A)&amp;" "&amp;_xlfn.XLOOKUP(B59,Demand!E:E,Demand!B:B)&amp;" "&amp;_xlfn.XLOOKUP(B59,Demand!E:E,Demand!C:C)&amp;" "&amp;_xlfn.XLOOKUP(B59,Demand!E:E,Demand!D:D)</f>
        <v>DEMAND - Commercial Office  Old</v>
      </c>
      <c r="D59" t="str">
        <f>_xlfn.XLOOKUP(B59,Trans_Demand!A:A,Trans_Demand!B:B)</f>
        <v>Mm2</v>
      </c>
      <c r="E59" t="s">
        <v>214</v>
      </c>
      <c r="F59">
        <f>Trans_Demand!C55</f>
        <v>2100</v>
      </c>
      <c r="G59" s="11">
        <f>SUMIFS(Trans_Demand!D:D,Trans_Demand!A:A,B59,Trans_Demand!C:C,F59)</f>
        <v>73.164818964644439</v>
      </c>
    </row>
    <row r="60" spans="2:7">
      <c r="B60" t="str">
        <f>Trans_Demand!A56</f>
        <v>COMHOPOldDMD</v>
      </c>
      <c r="C60" t="str">
        <f>"DEMAND - "&amp;_xlfn.XLOOKUP(B60,Demand!E:E,Demand!A:A)&amp;" "&amp;_xlfn.XLOOKUP(B60,Demand!E:E,Demand!B:B)&amp;" "&amp;_xlfn.XLOOKUP(B60,Demand!E:E,Demand!C:C)&amp;" "&amp;_xlfn.XLOOKUP(B60,Demand!E:E,Demand!D:D)</f>
        <v>DEMAND - Commercial Hospital  Old</v>
      </c>
      <c r="D60" t="str">
        <f>_xlfn.XLOOKUP(B60,Trans_Demand!A:A,Trans_Demand!B:B)</f>
        <v>Mm2</v>
      </c>
      <c r="E60" t="s">
        <v>214</v>
      </c>
      <c r="F60">
        <f>Trans_Demand!C56</f>
        <v>2019</v>
      </c>
      <c r="G60" s="11">
        <f>SUMIFS(Trans_Demand!D:D,Trans_Demand!A:A,B60,Trans_Demand!C:C,F60)</f>
        <v>44.382259283666471</v>
      </c>
    </row>
    <row r="61" spans="2:7">
      <c r="B61" t="str">
        <f>Trans_Demand!A57</f>
        <v>COMHOPOldDMD</v>
      </c>
      <c r="C61" t="str">
        <f>"DEMAND - "&amp;_xlfn.XLOOKUP(B61,Demand!E:E,Demand!A:A)&amp;" "&amp;_xlfn.XLOOKUP(B61,Demand!E:E,Demand!B:B)&amp;" "&amp;_xlfn.XLOOKUP(B61,Demand!E:E,Demand!C:C)&amp;" "&amp;_xlfn.XLOOKUP(B61,Demand!E:E,Demand!D:D)</f>
        <v>DEMAND - Commercial Hospital  Old</v>
      </c>
      <c r="D61" t="str">
        <f>_xlfn.XLOOKUP(B61,Trans_Demand!A:A,Trans_Demand!B:B)</f>
        <v>Mm2</v>
      </c>
      <c r="E61" t="s">
        <v>214</v>
      </c>
      <c r="F61">
        <f>Trans_Demand!C57</f>
        <v>2020</v>
      </c>
      <c r="G61" s="11">
        <f>SUMIFS(Trans_Demand!D:D,Trans_Demand!A:A,B61,Trans_Demand!C:C,F61)</f>
        <v>44.382259283666471</v>
      </c>
    </row>
    <row r="62" spans="2:7">
      <c r="B62" t="str">
        <f>Trans_Demand!A58</f>
        <v>COMHOPOldDMD</v>
      </c>
      <c r="C62" t="str">
        <f>"DEMAND - "&amp;_xlfn.XLOOKUP(B62,Demand!E:E,Demand!A:A)&amp;" "&amp;_xlfn.XLOOKUP(B62,Demand!E:E,Demand!B:B)&amp;" "&amp;_xlfn.XLOOKUP(B62,Demand!E:E,Demand!C:C)&amp;" "&amp;_xlfn.XLOOKUP(B62,Demand!E:E,Demand!D:D)</f>
        <v>DEMAND - Commercial Hospital  Old</v>
      </c>
      <c r="D62" t="str">
        <f>_xlfn.XLOOKUP(B62,Trans_Demand!A:A,Trans_Demand!B:B)</f>
        <v>Mm2</v>
      </c>
      <c r="E62" t="s">
        <v>214</v>
      </c>
      <c r="F62">
        <f>Trans_Demand!C58</f>
        <v>2025</v>
      </c>
      <c r="G62" s="11">
        <f>SUMIFS(Trans_Demand!D:D,Trans_Demand!A:A,B62,Trans_Demand!C:C,F62)</f>
        <v>44.382259283666471</v>
      </c>
    </row>
    <row r="63" spans="2:7">
      <c r="B63" t="str">
        <f>Trans_Demand!A59</f>
        <v>COMHOPOldDMD</v>
      </c>
      <c r="C63" t="str">
        <f>"DEMAND - "&amp;_xlfn.XLOOKUP(B63,Demand!E:E,Demand!A:A)&amp;" "&amp;_xlfn.XLOOKUP(B63,Demand!E:E,Demand!B:B)&amp;" "&amp;_xlfn.XLOOKUP(B63,Demand!E:E,Demand!C:C)&amp;" "&amp;_xlfn.XLOOKUP(B63,Demand!E:E,Demand!D:D)</f>
        <v>DEMAND - Commercial Hospital  Old</v>
      </c>
      <c r="D63" t="str">
        <f>_xlfn.XLOOKUP(B63,Trans_Demand!A:A,Trans_Demand!B:B)</f>
        <v>Mm2</v>
      </c>
      <c r="E63" t="s">
        <v>214</v>
      </c>
      <c r="F63">
        <f>Trans_Demand!C59</f>
        <v>2030</v>
      </c>
      <c r="G63" s="11">
        <f>SUMIFS(Trans_Demand!D:D,Trans_Demand!A:A,B63,Trans_Demand!C:C,F63)</f>
        <v>44.382259283666471</v>
      </c>
    </row>
    <row r="64" spans="2:7">
      <c r="B64" t="str">
        <f>Trans_Demand!A60</f>
        <v>COMHOPOldDMD</v>
      </c>
      <c r="C64" t="str">
        <f>"DEMAND - "&amp;_xlfn.XLOOKUP(B64,Demand!E:E,Demand!A:A)&amp;" "&amp;_xlfn.XLOOKUP(B64,Demand!E:E,Demand!B:B)&amp;" "&amp;_xlfn.XLOOKUP(B64,Demand!E:E,Demand!C:C)&amp;" "&amp;_xlfn.XLOOKUP(B64,Demand!E:E,Demand!D:D)</f>
        <v>DEMAND - Commercial Hospital  Old</v>
      </c>
      <c r="D64" t="str">
        <f>_xlfn.XLOOKUP(B64,Trans_Demand!A:A,Trans_Demand!B:B)</f>
        <v>Mm2</v>
      </c>
      <c r="E64" t="s">
        <v>214</v>
      </c>
      <c r="F64">
        <f>Trans_Demand!C60</f>
        <v>2035</v>
      </c>
      <c r="G64" s="11">
        <f>SUMIFS(Trans_Demand!D:D,Trans_Demand!A:A,B64,Trans_Demand!C:C,F64)</f>
        <v>44.382259283666471</v>
      </c>
    </row>
    <row r="65" spans="2:7">
      <c r="B65" t="str">
        <f>Trans_Demand!A61</f>
        <v>COMHOPOldDMD</v>
      </c>
      <c r="C65" t="str">
        <f>"DEMAND - "&amp;_xlfn.XLOOKUP(B65,Demand!E:E,Demand!A:A)&amp;" "&amp;_xlfn.XLOOKUP(B65,Demand!E:E,Demand!B:B)&amp;" "&amp;_xlfn.XLOOKUP(B65,Demand!E:E,Demand!C:C)&amp;" "&amp;_xlfn.XLOOKUP(B65,Demand!E:E,Demand!D:D)</f>
        <v>DEMAND - Commercial Hospital  Old</v>
      </c>
      <c r="D65" t="str">
        <f>_xlfn.XLOOKUP(B65,Trans_Demand!A:A,Trans_Demand!B:B)</f>
        <v>Mm2</v>
      </c>
      <c r="E65" t="s">
        <v>214</v>
      </c>
      <c r="F65">
        <f>Trans_Demand!C61</f>
        <v>2040</v>
      </c>
      <c r="G65" s="11">
        <f>SUMIFS(Trans_Demand!D:D,Trans_Demand!A:A,B65,Trans_Demand!C:C,F65)</f>
        <v>44.382259283666471</v>
      </c>
    </row>
    <row r="66" spans="2:7">
      <c r="B66" t="str">
        <f>Trans_Demand!A62</f>
        <v>COMHOPOldDMD</v>
      </c>
      <c r="C66" t="str">
        <f>"DEMAND - "&amp;_xlfn.XLOOKUP(B66,Demand!E:E,Demand!A:A)&amp;" "&amp;_xlfn.XLOOKUP(B66,Demand!E:E,Demand!B:B)&amp;" "&amp;_xlfn.XLOOKUP(B66,Demand!E:E,Demand!C:C)&amp;" "&amp;_xlfn.XLOOKUP(B66,Demand!E:E,Demand!D:D)</f>
        <v>DEMAND - Commercial Hospital  Old</v>
      </c>
      <c r="D66" t="str">
        <f>_xlfn.XLOOKUP(B66,Trans_Demand!A:A,Trans_Demand!B:B)</f>
        <v>Mm2</v>
      </c>
      <c r="E66" t="s">
        <v>214</v>
      </c>
      <c r="F66">
        <f>Trans_Demand!C62</f>
        <v>2045</v>
      </c>
      <c r="G66" s="11">
        <f>SUMIFS(Trans_Demand!D:D,Trans_Demand!A:A,B66,Trans_Demand!C:C,F66)</f>
        <v>44.382259283666471</v>
      </c>
    </row>
    <row r="67" spans="2:7">
      <c r="B67" t="str">
        <f>Trans_Demand!A63</f>
        <v>COMHOPOldDMD</v>
      </c>
      <c r="C67" t="str">
        <f>"DEMAND - "&amp;_xlfn.XLOOKUP(B67,Demand!E:E,Demand!A:A)&amp;" "&amp;_xlfn.XLOOKUP(B67,Demand!E:E,Demand!B:B)&amp;" "&amp;_xlfn.XLOOKUP(B67,Demand!E:E,Demand!C:C)&amp;" "&amp;_xlfn.XLOOKUP(B67,Demand!E:E,Demand!D:D)</f>
        <v>DEMAND - Commercial Hospital  Old</v>
      </c>
      <c r="D67" t="str">
        <f>_xlfn.XLOOKUP(B67,Trans_Demand!A:A,Trans_Demand!B:B)</f>
        <v>Mm2</v>
      </c>
      <c r="E67" t="s">
        <v>214</v>
      </c>
      <c r="F67">
        <f>Trans_Demand!C63</f>
        <v>2050</v>
      </c>
      <c r="G67" s="11">
        <f>SUMIFS(Trans_Demand!D:D,Trans_Demand!A:A,B67,Trans_Demand!C:C,F67)</f>
        <v>44.382259283666471</v>
      </c>
    </row>
    <row r="68" spans="2:7">
      <c r="B68" t="str">
        <f>Trans_Demand!A64</f>
        <v>COMHOPOldDMD</v>
      </c>
      <c r="C68" t="str">
        <f>"DEMAND - "&amp;_xlfn.XLOOKUP(B68,Demand!E:E,Demand!A:A)&amp;" "&amp;_xlfn.XLOOKUP(B68,Demand!E:E,Demand!B:B)&amp;" "&amp;_xlfn.XLOOKUP(B68,Demand!E:E,Demand!C:C)&amp;" "&amp;_xlfn.XLOOKUP(B68,Demand!E:E,Demand!D:D)</f>
        <v>DEMAND - Commercial Hospital  Old</v>
      </c>
      <c r="D68" t="str">
        <f>_xlfn.XLOOKUP(B68,Trans_Demand!A:A,Trans_Demand!B:B)</f>
        <v>Mm2</v>
      </c>
      <c r="E68" t="s">
        <v>214</v>
      </c>
      <c r="F68">
        <f>Trans_Demand!C64</f>
        <v>2055</v>
      </c>
      <c r="G68" s="11">
        <f>SUMIFS(Trans_Demand!D:D,Trans_Demand!A:A,B68,Trans_Demand!C:C,F68)</f>
        <v>44.382259283666471</v>
      </c>
    </row>
    <row r="69" spans="2:7">
      <c r="B69" t="str">
        <f>Trans_Demand!A65</f>
        <v>COMHOPOldDMD</v>
      </c>
      <c r="C69" t="str">
        <f>"DEMAND - "&amp;_xlfn.XLOOKUP(B69,Demand!E:E,Demand!A:A)&amp;" "&amp;_xlfn.XLOOKUP(B69,Demand!E:E,Demand!B:B)&amp;" "&amp;_xlfn.XLOOKUP(B69,Demand!E:E,Demand!C:C)&amp;" "&amp;_xlfn.XLOOKUP(B69,Demand!E:E,Demand!D:D)</f>
        <v>DEMAND - Commercial Hospital  Old</v>
      </c>
      <c r="D69" t="str">
        <f>_xlfn.XLOOKUP(B69,Trans_Demand!A:A,Trans_Demand!B:B)</f>
        <v>Mm2</v>
      </c>
      <c r="E69" t="s">
        <v>214</v>
      </c>
      <c r="F69">
        <f>Trans_Demand!C65</f>
        <v>2060</v>
      </c>
      <c r="G69" s="11">
        <f>SUMIFS(Trans_Demand!D:D,Trans_Demand!A:A,B69,Trans_Demand!C:C,F69)</f>
        <v>44.382259283666471</v>
      </c>
    </row>
    <row r="70" spans="2:7">
      <c r="B70" t="str">
        <f>Trans_Demand!A66</f>
        <v>COMHOPOldDMD</v>
      </c>
      <c r="C70" t="str">
        <f>"DEMAND - "&amp;_xlfn.XLOOKUP(B70,Demand!E:E,Demand!A:A)&amp;" "&amp;_xlfn.XLOOKUP(B70,Demand!E:E,Demand!B:B)&amp;" "&amp;_xlfn.XLOOKUP(B70,Demand!E:E,Demand!C:C)&amp;" "&amp;_xlfn.XLOOKUP(B70,Demand!E:E,Demand!D:D)</f>
        <v>DEMAND - Commercial Hospital  Old</v>
      </c>
      <c r="D70" t="str">
        <f>_xlfn.XLOOKUP(B70,Trans_Demand!A:A,Trans_Demand!B:B)</f>
        <v>Mm2</v>
      </c>
      <c r="E70" t="s">
        <v>214</v>
      </c>
      <c r="F70">
        <f>Trans_Demand!C66</f>
        <v>2065</v>
      </c>
      <c r="G70" s="11">
        <f>SUMIFS(Trans_Demand!D:D,Trans_Demand!A:A,B70,Trans_Demand!C:C,F70)</f>
        <v>44.382259283666471</v>
      </c>
    </row>
    <row r="71" spans="2:7">
      <c r="B71" t="str">
        <f>Trans_Demand!A67</f>
        <v>COMHOPOldDMD</v>
      </c>
      <c r="C71" t="str">
        <f>"DEMAND - "&amp;_xlfn.XLOOKUP(B71,Demand!E:E,Demand!A:A)&amp;" "&amp;_xlfn.XLOOKUP(B71,Demand!E:E,Demand!B:B)&amp;" "&amp;_xlfn.XLOOKUP(B71,Demand!E:E,Demand!C:C)&amp;" "&amp;_xlfn.XLOOKUP(B71,Demand!E:E,Demand!D:D)</f>
        <v>DEMAND - Commercial Hospital  Old</v>
      </c>
      <c r="D71" t="str">
        <f>_xlfn.XLOOKUP(B71,Trans_Demand!A:A,Trans_Demand!B:B)</f>
        <v>Mm2</v>
      </c>
      <c r="E71" t="s">
        <v>214</v>
      </c>
      <c r="F71">
        <f>Trans_Demand!C67</f>
        <v>2070</v>
      </c>
      <c r="G71" s="11">
        <f>SUMIFS(Trans_Demand!D:D,Trans_Demand!A:A,B71,Trans_Demand!C:C,F71)</f>
        <v>44.382259283666471</v>
      </c>
    </row>
    <row r="72" spans="2:7">
      <c r="B72" t="str">
        <f>Trans_Demand!A68</f>
        <v>COMHOPOldDMD</v>
      </c>
      <c r="C72" t="str">
        <f>"DEMAND - "&amp;_xlfn.XLOOKUP(B72,Demand!E:E,Demand!A:A)&amp;" "&amp;_xlfn.XLOOKUP(B72,Demand!E:E,Demand!B:B)&amp;" "&amp;_xlfn.XLOOKUP(B72,Demand!E:E,Demand!C:C)&amp;" "&amp;_xlfn.XLOOKUP(B72,Demand!E:E,Demand!D:D)</f>
        <v>DEMAND - Commercial Hospital  Old</v>
      </c>
      <c r="D72" t="str">
        <f>_xlfn.XLOOKUP(B72,Trans_Demand!A:A,Trans_Demand!B:B)</f>
        <v>Mm2</v>
      </c>
      <c r="E72" t="s">
        <v>214</v>
      </c>
      <c r="F72">
        <f>Trans_Demand!C68</f>
        <v>2075</v>
      </c>
      <c r="G72" s="11">
        <f>SUMIFS(Trans_Demand!D:D,Trans_Demand!A:A,B72,Trans_Demand!C:C,F72)</f>
        <v>44.382259283666471</v>
      </c>
    </row>
    <row r="73" spans="2:7">
      <c r="B73" t="str">
        <f>Trans_Demand!A69</f>
        <v>COMHOPOldDMD</v>
      </c>
      <c r="C73" t="str">
        <f>"DEMAND - "&amp;_xlfn.XLOOKUP(B73,Demand!E:E,Demand!A:A)&amp;" "&amp;_xlfn.XLOOKUP(B73,Demand!E:E,Demand!B:B)&amp;" "&amp;_xlfn.XLOOKUP(B73,Demand!E:E,Demand!C:C)&amp;" "&amp;_xlfn.XLOOKUP(B73,Demand!E:E,Demand!D:D)</f>
        <v>DEMAND - Commercial Hospital  Old</v>
      </c>
      <c r="D73" t="str">
        <f>_xlfn.XLOOKUP(B73,Trans_Demand!A:A,Trans_Demand!B:B)</f>
        <v>Mm2</v>
      </c>
      <c r="E73" t="s">
        <v>214</v>
      </c>
      <c r="F73">
        <f>Trans_Demand!C69</f>
        <v>2080</v>
      </c>
      <c r="G73" s="11">
        <f>SUMIFS(Trans_Demand!D:D,Trans_Demand!A:A,B73,Trans_Demand!C:C,F73)</f>
        <v>44.382259283666471</v>
      </c>
    </row>
    <row r="74" spans="2:7">
      <c r="B74" t="str">
        <f>Trans_Demand!A70</f>
        <v>COMHOPOldDMD</v>
      </c>
      <c r="C74" t="str">
        <f>"DEMAND - "&amp;_xlfn.XLOOKUP(B74,Demand!E:E,Demand!A:A)&amp;" "&amp;_xlfn.XLOOKUP(B74,Demand!E:E,Demand!B:B)&amp;" "&amp;_xlfn.XLOOKUP(B74,Demand!E:E,Demand!C:C)&amp;" "&amp;_xlfn.XLOOKUP(B74,Demand!E:E,Demand!D:D)</f>
        <v>DEMAND - Commercial Hospital  Old</v>
      </c>
      <c r="D74" t="str">
        <f>_xlfn.XLOOKUP(B74,Trans_Demand!A:A,Trans_Demand!B:B)</f>
        <v>Mm2</v>
      </c>
      <c r="E74" t="s">
        <v>214</v>
      </c>
      <c r="F74">
        <f>Trans_Demand!C70</f>
        <v>2085</v>
      </c>
      <c r="G74" s="11">
        <f>SUMIFS(Trans_Demand!D:D,Trans_Demand!A:A,B74,Trans_Demand!C:C,F74)</f>
        <v>44.382259283666471</v>
      </c>
    </row>
    <row r="75" spans="2:7">
      <c r="B75" t="str">
        <f>Trans_Demand!A71</f>
        <v>COMHOPOldDMD</v>
      </c>
      <c r="C75" t="str">
        <f>"DEMAND - "&amp;_xlfn.XLOOKUP(B75,Demand!E:E,Demand!A:A)&amp;" "&amp;_xlfn.XLOOKUP(B75,Demand!E:E,Demand!B:B)&amp;" "&amp;_xlfn.XLOOKUP(B75,Demand!E:E,Demand!C:C)&amp;" "&amp;_xlfn.XLOOKUP(B75,Demand!E:E,Demand!D:D)</f>
        <v>DEMAND - Commercial Hospital  Old</v>
      </c>
      <c r="D75" t="str">
        <f>_xlfn.XLOOKUP(B75,Trans_Demand!A:A,Trans_Demand!B:B)</f>
        <v>Mm2</v>
      </c>
      <c r="E75" t="s">
        <v>214</v>
      </c>
      <c r="F75">
        <f>Trans_Demand!C71</f>
        <v>2090</v>
      </c>
      <c r="G75" s="11">
        <f>SUMIFS(Trans_Demand!D:D,Trans_Demand!A:A,B75,Trans_Demand!C:C,F75)</f>
        <v>44.382259283666471</v>
      </c>
    </row>
    <row r="76" spans="2:7">
      <c r="B76" t="str">
        <f>Trans_Demand!A72</f>
        <v>COMHOPOldDMD</v>
      </c>
      <c r="C76" t="str">
        <f>"DEMAND - "&amp;_xlfn.XLOOKUP(B76,Demand!E:E,Demand!A:A)&amp;" "&amp;_xlfn.XLOOKUP(B76,Demand!E:E,Demand!B:B)&amp;" "&amp;_xlfn.XLOOKUP(B76,Demand!E:E,Demand!C:C)&amp;" "&amp;_xlfn.XLOOKUP(B76,Demand!E:E,Demand!D:D)</f>
        <v>DEMAND - Commercial Hospital  Old</v>
      </c>
      <c r="D76" t="str">
        <f>_xlfn.XLOOKUP(B76,Trans_Demand!A:A,Trans_Demand!B:B)</f>
        <v>Mm2</v>
      </c>
      <c r="E76" t="s">
        <v>214</v>
      </c>
      <c r="F76">
        <f>Trans_Demand!C72</f>
        <v>2095</v>
      </c>
      <c r="G76" s="11">
        <f>SUMIFS(Trans_Demand!D:D,Trans_Demand!A:A,B76,Trans_Demand!C:C,F76)</f>
        <v>44.382259283666471</v>
      </c>
    </row>
    <row r="77" spans="2:7">
      <c r="B77" t="str">
        <f>Trans_Demand!A73</f>
        <v>COMHOPOldDMD</v>
      </c>
      <c r="C77" t="str">
        <f>"DEMAND - "&amp;_xlfn.XLOOKUP(B77,Demand!E:E,Demand!A:A)&amp;" "&amp;_xlfn.XLOOKUP(B77,Demand!E:E,Demand!B:B)&amp;" "&amp;_xlfn.XLOOKUP(B77,Demand!E:E,Demand!C:C)&amp;" "&amp;_xlfn.XLOOKUP(B77,Demand!E:E,Demand!D:D)</f>
        <v>DEMAND - Commercial Hospital  Old</v>
      </c>
      <c r="D77" t="str">
        <f>_xlfn.XLOOKUP(B77,Trans_Demand!A:A,Trans_Demand!B:B)</f>
        <v>Mm2</v>
      </c>
      <c r="E77" t="s">
        <v>214</v>
      </c>
      <c r="F77">
        <f>Trans_Demand!C73</f>
        <v>2100</v>
      </c>
      <c r="G77" s="11">
        <f>SUMIFS(Trans_Demand!D:D,Trans_Demand!A:A,B77,Trans_Demand!C:C,F77)</f>
        <v>44.382259283666471</v>
      </c>
    </row>
    <row r="78" spans="2:7">
      <c r="B78" t="str">
        <f>Trans_Demand!A74</f>
        <v>COMEDUOldDMD</v>
      </c>
      <c r="C78" t="str">
        <f>"DEMAND - "&amp;_xlfn.XLOOKUP(B78,Demand!E:E,Demand!A:A)&amp;" "&amp;_xlfn.XLOOKUP(B78,Demand!E:E,Demand!B:B)&amp;" "&amp;_xlfn.XLOOKUP(B78,Demand!E:E,Demand!C:C)&amp;" "&amp;_xlfn.XLOOKUP(B78,Demand!E:E,Demand!D:D)</f>
        <v>DEMAND - Commercial Educationnal  Old</v>
      </c>
      <c r="D78" t="str">
        <f>_xlfn.XLOOKUP(B78,Trans_Demand!A:A,Trans_Demand!B:B)</f>
        <v>Mm2</v>
      </c>
      <c r="E78" t="s">
        <v>214</v>
      </c>
      <c r="F78">
        <f>Trans_Demand!C74</f>
        <v>2019</v>
      </c>
      <c r="G78" s="11">
        <f>SUMIFS(Trans_Demand!D:D,Trans_Demand!A:A,B78,Trans_Demand!C:C,F78)</f>
        <v>48.565496275889338</v>
      </c>
    </row>
    <row r="79" spans="2:7">
      <c r="B79" t="str">
        <f>Trans_Demand!A75</f>
        <v>COMEDUOldDMD</v>
      </c>
      <c r="C79" t="str">
        <f>"DEMAND - "&amp;_xlfn.XLOOKUP(B79,Demand!E:E,Demand!A:A)&amp;" "&amp;_xlfn.XLOOKUP(B79,Demand!E:E,Demand!B:B)&amp;" "&amp;_xlfn.XLOOKUP(B79,Demand!E:E,Demand!C:C)&amp;" "&amp;_xlfn.XLOOKUP(B79,Demand!E:E,Demand!D:D)</f>
        <v>DEMAND - Commercial Educationnal  Old</v>
      </c>
      <c r="D79" t="str">
        <f>_xlfn.XLOOKUP(B79,Trans_Demand!A:A,Trans_Demand!B:B)</f>
        <v>Mm2</v>
      </c>
      <c r="E79" t="s">
        <v>214</v>
      </c>
      <c r="F79">
        <f>Trans_Demand!C75</f>
        <v>2020</v>
      </c>
      <c r="G79" s="11">
        <f>SUMIFS(Trans_Demand!D:D,Trans_Demand!A:A,B79,Trans_Demand!C:C,F79)</f>
        <v>48.565496275889338</v>
      </c>
    </row>
    <row r="80" spans="2:7">
      <c r="B80" t="str">
        <f>Trans_Demand!A76</f>
        <v>COMEDUOldDMD</v>
      </c>
      <c r="C80" t="str">
        <f>"DEMAND - "&amp;_xlfn.XLOOKUP(B80,Demand!E:E,Demand!A:A)&amp;" "&amp;_xlfn.XLOOKUP(B80,Demand!E:E,Demand!B:B)&amp;" "&amp;_xlfn.XLOOKUP(B80,Demand!E:E,Demand!C:C)&amp;" "&amp;_xlfn.XLOOKUP(B80,Demand!E:E,Demand!D:D)</f>
        <v>DEMAND - Commercial Educationnal  Old</v>
      </c>
      <c r="D80" t="str">
        <f>_xlfn.XLOOKUP(B80,Trans_Demand!A:A,Trans_Demand!B:B)</f>
        <v>Mm2</v>
      </c>
      <c r="E80" t="s">
        <v>214</v>
      </c>
      <c r="F80">
        <f>Trans_Demand!C76</f>
        <v>2025</v>
      </c>
      <c r="G80" s="11">
        <f>SUMIFS(Trans_Demand!D:D,Trans_Demand!A:A,B80,Trans_Demand!C:C,F80)</f>
        <v>48.565496275889338</v>
      </c>
    </row>
    <row r="81" spans="2:7">
      <c r="B81" t="str">
        <f>Trans_Demand!A77</f>
        <v>COMEDUOldDMD</v>
      </c>
      <c r="C81" t="str">
        <f>"DEMAND - "&amp;_xlfn.XLOOKUP(B81,Demand!E:E,Demand!A:A)&amp;" "&amp;_xlfn.XLOOKUP(B81,Demand!E:E,Demand!B:B)&amp;" "&amp;_xlfn.XLOOKUP(B81,Demand!E:E,Demand!C:C)&amp;" "&amp;_xlfn.XLOOKUP(B81,Demand!E:E,Demand!D:D)</f>
        <v>DEMAND - Commercial Educationnal  Old</v>
      </c>
      <c r="D81" t="str">
        <f>_xlfn.XLOOKUP(B81,Trans_Demand!A:A,Trans_Demand!B:B)</f>
        <v>Mm2</v>
      </c>
      <c r="E81" t="s">
        <v>214</v>
      </c>
      <c r="F81">
        <f>Trans_Demand!C77</f>
        <v>2030</v>
      </c>
      <c r="G81" s="11">
        <f>SUMIFS(Trans_Demand!D:D,Trans_Demand!A:A,B81,Trans_Demand!C:C,F81)</f>
        <v>48.565496275889338</v>
      </c>
    </row>
    <row r="82" spans="2:7">
      <c r="B82" t="str">
        <f>Trans_Demand!A78</f>
        <v>COMEDUOldDMD</v>
      </c>
      <c r="C82" t="str">
        <f>"DEMAND - "&amp;_xlfn.XLOOKUP(B82,Demand!E:E,Demand!A:A)&amp;" "&amp;_xlfn.XLOOKUP(B82,Demand!E:E,Demand!B:B)&amp;" "&amp;_xlfn.XLOOKUP(B82,Demand!E:E,Demand!C:C)&amp;" "&amp;_xlfn.XLOOKUP(B82,Demand!E:E,Demand!D:D)</f>
        <v>DEMAND - Commercial Educationnal  Old</v>
      </c>
      <c r="D82" t="str">
        <f>_xlfn.XLOOKUP(B82,Trans_Demand!A:A,Trans_Demand!B:B)</f>
        <v>Mm2</v>
      </c>
      <c r="E82" t="s">
        <v>214</v>
      </c>
      <c r="F82">
        <f>Trans_Demand!C78</f>
        <v>2035</v>
      </c>
      <c r="G82" s="11">
        <f>SUMIFS(Trans_Demand!D:D,Trans_Demand!A:A,B82,Trans_Demand!C:C,F82)</f>
        <v>48.565496275889338</v>
      </c>
    </row>
    <row r="83" spans="2:7">
      <c r="B83" t="str">
        <f>Trans_Demand!A79</f>
        <v>COMEDUOldDMD</v>
      </c>
      <c r="C83" t="str">
        <f>"DEMAND - "&amp;_xlfn.XLOOKUP(B83,Demand!E:E,Demand!A:A)&amp;" "&amp;_xlfn.XLOOKUP(B83,Demand!E:E,Demand!B:B)&amp;" "&amp;_xlfn.XLOOKUP(B83,Demand!E:E,Demand!C:C)&amp;" "&amp;_xlfn.XLOOKUP(B83,Demand!E:E,Demand!D:D)</f>
        <v>DEMAND - Commercial Educationnal  Old</v>
      </c>
      <c r="D83" t="str">
        <f>_xlfn.XLOOKUP(B83,Trans_Demand!A:A,Trans_Demand!B:B)</f>
        <v>Mm2</v>
      </c>
      <c r="E83" t="s">
        <v>214</v>
      </c>
      <c r="F83">
        <f>Trans_Demand!C79</f>
        <v>2040</v>
      </c>
      <c r="G83" s="11">
        <f>SUMIFS(Trans_Demand!D:D,Trans_Demand!A:A,B83,Trans_Demand!C:C,F83)</f>
        <v>48.565496275889338</v>
      </c>
    </row>
    <row r="84" spans="2:7">
      <c r="B84" t="str">
        <f>Trans_Demand!A80</f>
        <v>COMEDUOldDMD</v>
      </c>
      <c r="C84" t="str">
        <f>"DEMAND - "&amp;_xlfn.XLOOKUP(B84,Demand!E:E,Demand!A:A)&amp;" "&amp;_xlfn.XLOOKUP(B84,Demand!E:E,Demand!B:B)&amp;" "&amp;_xlfn.XLOOKUP(B84,Demand!E:E,Demand!C:C)&amp;" "&amp;_xlfn.XLOOKUP(B84,Demand!E:E,Demand!D:D)</f>
        <v>DEMAND - Commercial Educationnal  Old</v>
      </c>
      <c r="D84" t="str">
        <f>_xlfn.XLOOKUP(B84,Trans_Demand!A:A,Trans_Demand!B:B)</f>
        <v>Mm2</v>
      </c>
      <c r="E84" t="s">
        <v>214</v>
      </c>
      <c r="F84">
        <f>Trans_Demand!C80</f>
        <v>2045</v>
      </c>
      <c r="G84" s="11">
        <f>SUMIFS(Trans_Demand!D:D,Trans_Demand!A:A,B84,Trans_Demand!C:C,F84)</f>
        <v>48.565496275889338</v>
      </c>
    </row>
    <row r="85" spans="2:7">
      <c r="B85" t="str">
        <f>Trans_Demand!A81</f>
        <v>COMEDUOldDMD</v>
      </c>
      <c r="C85" t="str">
        <f>"DEMAND - "&amp;_xlfn.XLOOKUP(B85,Demand!E:E,Demand!A:A)&amp;" "&amp;_xlfn.XLOOKUP(B85,Demand!E:E,Demand!B:B)&amp;" "&amp;_xlfn.XLOOKUP(B85,Demand!E:E,Demand!C:C)&amp;" "&amp;_xlfn.XLOOKUP(B85,Demand!E:E,Demand!D:D)</f>
        <v>DEMAND - Commercial Educationnal  Old</v>
      </c>
      <c r="D85" t="str">
        <f>_xlfn.XLOOKUP(B85,Trans_Demand!A:A,Trans_Demand!B:B)</f>
        <v>Mm2</v>
      </c>
      <c r="E85" t="s">
        <v>214</v>
      </c>
      <c r="F85">
        <f>Trans_Demand!C81</f>
        <v>2050</v>
      </c>
      <c r="G85" s="11">
        <f>SUMIFS(Trans_Demand!D:D,Trans_Demand!A:A,B85,Trans_Demand!C:C,F85)</f>
        <v>48.565496275889338</v>
      </c>
    </row>
    <row r="86" spans="2:7">
      <c r="B86" t="str">
        <f>Trans_Demand!A82</f>
        <v>COMEDUOldDMD</v>
      </c>
      <c r="C86" t="str">
        <f>"DEMAND - "&amp;_xlfn.XLOOKUP(B86,Demand!E:E,Demand!A:A)&amp;" "&amp;_xlfn.XLOOKUP(B86,Demand!E:E,Demand!B:B)&amp;" "&amp;_xlfn.XLOOKUP(B86,Demand!E:E,Demand!C:C)&amp;" "&amp;_xlfn.XLOOKUP(B86,Demand!E:E,Demand!D:D)</f>
        <v>DEMAND - Commercial Educationnal  Old</v>
      </c>
      <c r="D86" t="str">
        <f>_xlfn.XLOOKUP(B86,Trans_Demand!A:A,Trans_Demand!B:B)</f>
        <v>Mm2</v>
      </c>
      <c r="E86" t="s">
        <v>214</v>
      </c>
      <c r="F86">
        <f>Trans_Demand!C82</f>
        <v>2055</v>
      </c>
      <c r="G86" s="11">
        <f>SUMIFS(Trans_Demand!D:D,Trans_Demand!A:A,B86,Trans_Demand!C:C,F86)</f>
        <v>48.565496275889338</v>
      </c>
    </row>
    <row r="87" spans="2:7">
      <c r="B87" t="str">
        <f>Trans_Demand!A83</f>
        <v>COMEDUOldDMD</v>
      </c>
      <c r="C87" t="str">
        <f>"DEMAND - "&amp;_xlfn.XLOOKUP(B87,Demand!E:E,Demand!A:A)&amp;" "&amp;_xlfn.XLOOKUP(B87,Demand!E:E,Demand!B:B)&amp;" "&amp;_xlfn.XLOOKUP(B87,Demand!E:E,Demand!C:C)&amp;" "&amp;_xlfn.XLOOKUP(B87,Demand!E:E,Demand!D:D)</f>
        <v>DEMAND - Commercial Educationnal  Old</v>
      </c>
      <c r="D87" t="str">
        <f>_xlfn.XLOOKUP(B87,Trans_Demand!A:A,Trans_Demand!B:B)</f>
        <v>Mm2</v>
      </c>
      <c r="E87" t="s">
        <v>214</v>
      </c>
      <c r="F87">
        <f>Trans_Demand!C83</f>
        <v>2060</v>
      </c>
      <c r="G87" s="11">
        <f>SUMIFS(Trans_Demand!D:D,Trans_Demand!A:A,B87,Trans_Demand!C:C,F87)</f>
        <v>48.565496275889338</v>
      </c>
    </row>
    <row r="88" spans="2:7">
      <c r="B88" t="str">
        <f>Trans_Demand!A84</f>
        <v>COMEDUOldDMD</v>
      </c>
      <c r="C88" t="str">
        <f>"DEMAND - "&amp;_xlfn.XLOOKUP(B88,Demand!E:E,Demand!A:A)&amp;" "&amp;_xlfn.XLOOKUP(B88,Demand!E:E,Demand!B:B)&amp;" "&amp;_xlfn.XLOOKUP(B88,Demand!E:E,Demand!C:C)&amp;" "&amp;_xlfn.XLOOKUP(B88,Demand!E:E,Demand!D:D)</f>
        <v>DEMAND - Commercial Educationnal  Old</v>
      </c>
      <c r="D88" t="str">
        <f>_xlfn.XLOOKUP(B88,Trans_Demand!A:A,Trans_Demand!B:B)</f>
        <v>Mm2</v>
      </c>
      <c r="E88" t="s">
        <v>214</v>
      </c>
      <c r="F88">
        <f>Trans_Demand!C84</f>
        <v>2065</v>
      </c>
      <c r="G88" s="11">
        <f>SUMIFS(Trans_Demand!D:D,Trans_Demand!A:A,B88,Trans_Demand!C:C,F88)</f>
        <v>48.565496275889338</v>
      </c>
    </row>
    <row r="89" spans="2:7">
      <c r="B89" t="str">
        <f>Trans_Demand!A85</f>
        <v>COMEDUOldDMD</v>
      </c>
      <c r="C89" t="str">
        <f>"DEMAND - "&amp;_xlfn.XLOOKUP(B89,Demand!E:E,Demand!A:A)&amp;" "&amp;_xlfn.XLOOKUP(B89,Demand!E:E,Demand!B:B)&amp;" "&amp;_xlfn.XLOOKUP(B89,Demand!E:E,Demand!C:C)&amp;" "&amp;_xlfn.XLOOKUP(B89,Demand!E:E,Demand!D:D)</f>
        <v>DEMAND - Commercial Educationnal  Old</v>
      </c>
      <c r="D89" t="str">
        <f>_xlfn.XLOOKUP(B89,Trans_Demand!A:A,Trans_Demand!B:B)</f>
        <v>Mm2</v>
      </c>
      <c r="E89" t="s">
        <v>214</v>
      </c>
      <c r="F89">
        <f>Trans_Demand!C85</f>
        <v>2070</v>
      </c>
      <c r="G89" s="11">
        <f>SUMIFS(Trans_Demand!D:D,Trans_Demand!A:A,B89,Trans_Demand!C:C,F89)</f>
        <v>48.565496275889338</v>
      </c>
    </row>
    <row r="90" spans="2:7">
      <c r="B90" t="str">
        <f>Trans_Demand!A86</f>
        <v>COMEDUOldDMD</v>
      </c>
      <c r="C90" t="str">
        <f>"DEMAND - "&amp;_xlfn.XLOOKUP(B90,Demand!E:E,Demand!A:A)&amp;" "&amp;_xlfn.XLOOKUP(B90,Demand!E:E,Demand!B:B)&amp;" "&amp;_xlfn.XLOOKUP(B90,Demand!E:E,Demand!C:C)&amp;" "&amp;_xlfn.XLOOKUP(B90,Demand!E:E,Demand!D:D)</f>
        <v>DEMAND - Commercial Educationnal  Old</v>
      </c>
      <c r="D90" t="str">
        <f>_xlfn.XLOOKUP(B90,Trans_Demand!A:A,Trans_Demand!B:B)</f>
        <v>Mm2</v>
      </c>
      <c r="E90" t="s">
        <v>214</v>
      </c>
      <c r="F90">
        <f>Trans_Demand!C86</f>
        <v>2075</v>
      </c>
      <c r="G90" s="11">
        <f>SUMIFS(Trans_Demand!D:D,Trans_Demand!A:A,B90,Trans_Demand!C:C,F90)</f>
        <v>48.565496275889338</v>
      </c>
    </row>
    <row r="91" spans="2:7">
      <c r="B91" t="str">
        <f>Trans_Demand!A87</f>
        <v>COMEDUOldDMD</v>
      </c>
      <c r="C91" t="str">
        <f>"DEMAND - "&amp;_xlfn.XLOOKUP(B91,Demand!E:E,Demand!A:A)&amp;" "&amp;_xlfn.XLOOKUP(B91,Demand!E:E,Demand!B:B)&amp;" "&amp;_xlfn.XLOOKUP(B91,Demand!E:E,Demand!C:C)&amp;" "&amp;_xlfn.XLOOKUP(B91,Demand!E:E,Demand!D:D)</f>
        <v>DEMAND - Commercial Educationnal  Old</v>
      </c>
      <c r="D91" t="str">
        <f>_xlfn.XLOOKUP(B91,Trans_Demand!A:A,Trans_Demand!B:B)</f>
        <v>Mm2</v>
      </c>
      <c r="E91" t="s">
        <v>214</v>
      </c>
      <c r="F91">
        <f>Trans_Demand!C87</f>
        <v>2080</v>
      </c>
      <c r="G91" s="11">
        <f>SUMIFS(Trans_Demand!D:D,Trans_Demand!A:A,B91,Trans_Demand!C:C,F91)</f>
        <v>48.565496275889338</v>
      </c>
    </row>
    <row r="92" spans="2:7">
      <c r="B92" t="str">
        <f>Trans_Demand!A88</f>
        <v>COMEDUOldDMD</v>
      </c>
      <c r="C92" t="str">
        <f>"DEMAND - "&amp;_xlfn.XLOOKUP(B92,Demand!E:E,Demand!A:A)&amp;" "&amp;_xlfn.XLOOKUP(B92,Demand!E:E,Demand!B:B)&amp;" "&amp;_xlfn.XLOOKUP(B92,Demand!E:E,Demand!C:C)&amp;" "&amp;_xlfn.XLOOKUP(B92,Demand!E:E,Demand!D:D)</f>
        <v>DEMAND - Commercial Educationnal  Old</v>
      </c>
      <c r="D92" t="str">
        <f>_xlfn.XLOOKUP(B92,Trans_Demand!A:A,Trans_Demand!B:B)</f>
        <v>Mm2</v>
      </c>
      <c r="E92" t="s">
        <v>214</v>
      </c>
      <c r="F92">
        <f>Trans_Demand!C88</f>
        <v>2085</v>
      </c>
      <c r="G92" s="11">
        <f>SUMIFS(Trans_Demand!D:D,Trans_Demand!A:A,B92,Trans_Demand!C:C,F92)</f>
        <v>48.565496275889338</v>
      </c>
    </row>
    <row r="93" spans="2:7">
      <c r="B93" t="str">
        <f>Trans_Demand!A89</f>
        <v>COMEDUOldDMD</v>
      </c>
      <c r="C93" t="str">
        <f>"DEMAND - "&amp;_xlfn.XLOOKUP(B93,Demand!E:E,Demand!A:A)&amp;" "&amp;_xlfn.XLOOKUP(B93,Demand!E:E,Demand!B:B)&amp;" "&amp;_xlfn.XLOOKUP(B93,Demand!E:E,Demand!C:C)&amp;" "&amp;_xlfn.XLOOKUP(B93,Demand!E:E,Demand!D:D)</f>
        <v>DEMAND - Commercial Educationnal  Old</v>
      </c>
      <c r="D93" t="str">
        <f>_xlfn.XLOOKUP(B93,Trans_Demand!A:A,Trans_Demand!B:B)</f>
        <v>Mm2</v>
      </c>
      <c r="E93" t="s">
        <v>214</v>
      </c>
      <c r="F93">
        <f>Trans_Demand!C89</f>
        <v>2090</v>
      </c>
      <c r="G93" s="11">
        <f>SUMIFS(Trans_Demand!D:D,Trans_Demand!A:A,B93,Trans_Demand!C:C,F93)</f>
        <v>48.565496275889338</v>
      </c>
    </row>
    <row r="94" spans="2:7">
      <c r="B94" t="str">
        <f>Trans_Demand!A90</f>
        <v>COMEDUOldDMD</v>
      </c>
      <c r="C94" t="str">
        <f>"DEMAND - "&amp;_xlfn.XLOOKUP(B94,Demand!E:E,Demand!A:A)&amp;" "&amp;_xlfn.XLOOKUP(B94,Demand!E:E,Demand!B:B)&amp;" "&amp;_xlfn.XLOOKUP(B94,Demand!E:E,Demand!C:C)&amp;" "&amp;_xlfn.XLOOKUP(B94,Demand!E:E,Demand!D:D)</f>
        <v>DEMAND - Commercial Educationnal  Old</v>
      </c>
      <c r="D94" t="str">
        <f>_xlfn.XLOOKUP(B94,Trans_Demand!A:A,Trans_Demand!B:B)</f>
        <v>Mm2</v>
      </c>
      <c r="E94" t="s">
        <v>214</v>
      </c>
      <c r="F94">
        <f>Trans_Demand!C90</f>
        <v>2095</v>
      </c>
      <c r="G94" s="11">
        <f>SUMIFS(Trans_Demand!D:D,Trans_Demand!A:A,B94,Trans_Demand!C:C,F94)</f>
        <v>48.565496275889338</v>
      </c>
    </row>
    <row r="95" spans="2:7">
      <c r="B95" t="str">
        <f>Trans_Demand!A91</f>
        <v>COMEDUOldDMD</v>
      </c>
      <c r="C95" t="str">
        <f>"DEMAND - "&amp;_xlfn.XLOOKUP(B95,Demand!E:E,Demand!A:A)&amp;" "&amp;_xlfn.XLOOKUP(B95,Demand!E:E,Demand!B:B)&amp;" "&amp;_xlfn.XLOOKUP(B95,Demand!E:E,Demand!C:C)&amp;" "&amp;_xlfn.XLOOKUP(B95,Demand!E:E,Demand!D:D)</f>
        <v>DEMAND - Commercial Educationnal  Old</v>
      </c>
      <c r="D95" t="str">
        <f>_xlfn.XLOOKUP(B95,Trans_Demand!A:A,Trans_Demand!B:B)</f>
        <v>Mm2</v>
      </c>
      <c r="E95" t="s">
        <v>214</v>
      </c>
      <c r="F95">
        <f>Trans_Demand!C91</f>
        <v>2100</v>
      </c>
      <c r="G95" s="11">
        <f>SUMIFS(Trans_Demand!D:D,Trans_Demand!A:A,B95,Trans_Demand!C:C,F95)</f>
        <v>48.565496275889338</v>
      </c>
    </row>
    <row r="96" spans="2:7">
      <c r="B96" t="str">
        <f>Trans_Demand!A92</f>
        <v>COMWAROldDMD</v>
      </c>
      <c r="C96" t="str">
        <f>"DEMAND - "&amp;_xlfn.XLOOKUP(B96,Demand!E:E,Demand!A:A)&amp;" "&amp;_xlfn.XLOOKUP(B96,Demand!E:E,Demand!B:B)&amp;" "&amp;_xlfn.XLOOKUP(B96,Demand!E:E,Demand!C:C)&amp;" "&amp;_xlfn.XLOOKUP(B96,Demand!E:E,Demand!D:D)</f>
        <v>DEMAND - Commercial Warehouse  Old</v>
      </c>
      <c r="D96" t="str">
        <f>_xlfn.XLOOKUP(B96,Trans_Demand!A:A,Trans_Demand!B:B)</f>
        <v>Mm2</v>
      </c>
      <c r="E96" t="s">
        <v>214</v>
      </c>
      <c r="F96">
        <f>Trans_Demand!C92</f>
        <v>2019</v>
      </c>
      <c r="G96" s="11">
        <f>SUMIFS(Trans_Demand!D:D,Trans_Demand!A:A,B96,Trans_Demand!C:C,F96)</f>
        <v>32.733586523867501</v>
      </c>
    </row>
    <row r="97" spans="2:7">
      <c r="B97" t="str">
        <f>Trans_Demand!A93</f>
        <v>COMWAROldDMD</v>
      </c>
      <c r="C97" t="str">
        <f>"DEMAND - "&amp;_xlfn.XLOOKUP(B97,Demand!E:E,Demand!A:A)&amp;" "&amp;_xlfn.XLOOKUP(B97,Demand!E:E,Demand!B:B)&amp;" "&amp;_xlfn.XLOOKUP(B97,Demand!E:E,Demand!C:C)&amp;" "&amp;_xlfn.XLOOKUP(B97,Demand!E:E,Demand!D:D)</f>
        <v>DEMAND - Commercial Warehouse  Old</v>
      </c>
      <c r="D97" t="str">
        <f>_xlfn.XLOOKUP(B97,Trans_Demand!A:A,Trans_Demand!B:B)</f>
        <v>Mm2</v>
      </c>
      <c r="E97" t="s">
        <v>214</v>
      </c>
      <c r="F97">
        <f>Trans_Demand!C93</f>
        <v>2020</v>
      </c>
      <c r="G97" s="11">
        <f>SUMIFS(Trans_Demand!D:D,Trans_Demand!A:A,B97,Trans_Demand!C:C,F97)</f>
        <v>32.733586523867501</v>
      </c>
    </row>
    <row r="98" spans="2:7">
      <c r="B98" t="str">
        <f>Trans_Demand!A94</f>
        <v>COMWAROldDMD</v>
      </c>
      <c r="C98" t="str">
        <f>"DEMAND - "&amp;_xlfn.XLOOKUP(B98,Demand!E:E,Demand!A:A)&amp;" "&amp;_xlfn.XLOOKUP(B98,Demand!E:E,Demand!B:B)&amp;" "&amp;_xlfn.XLOOKUP(B98,Demand!E:E,Demand!C:C)&amp;" "&amp;_xlfn.XLOOKUP(B98,Demand!E:E,Demand!D:D)</f>
        <v>DEMAND - Commercial Warehouse  Old</v>
      </c>
      <c r="D98" t="str">
        <f>_xlfn.XLOOKUP(B98,Trans_Demand!A:A,Trans_Demand!B:B)</f>
        <v>Mm2</v>
      </c>
      <c r="E98" t="s">
        <v>214</v>
      </c>
      <c r="F98">
        <f>Trans_Demand!C94</f>
        <v>2025</v>
      </c>
      <c r="G98" s="11">
        <f>SUMIFS(Trans_Demand!D:D,Trans_Demand!A:A,B98,Trans_Demand!C:C,F98)</f>
        <v>32.733586523867501</v>
      </c>
    </row>
    <row r="99" spans="2:7">
      <c r="B99" t="str">
        <f>Trans_Demand!A95</f>
        <v>COMWAROldDMD</v>
      </c>
      <c r="C99" t="str">
        <f>"DEMAND - "&amp;_xlfn.XLOOKUP(B99,Demand!E:E,Demand!A:A)&amp;" "&amp;_xlfn.XLOOKUP(B99,Demand!E:E,Demand!B:B)&amp;" "&amp;_xlfn.XLOOKUP(B99,Demand!E:E,Demand!C:C)&amp;" "&amp;_xlfn.XLOOKUP(B99,Demand!E:E,Demand!D:D)</f>
        <v>DEMAND - Commercial Warehouse  Old</v>
      </c>
      <c r="D99" t="str">
        <f>_xlfn.XLOOKUP(B99,Trans_Demand!A:A,Trans_Demand!B:B)</f>
        <v>Mm2</v>
      </c>
      <c r="E99" t="s">
        <v>214</v>
      </c>
      <c r="F99">
        <f>Trans_Demand!C95</f>
        <v>2030</v>
      </c>
      <c r="G99" s="11">
        <f>SUMIFS(Trans_Demand!D:D,Trans_Demand!A:A,B99,Trans_Demand!C:C,F99)</f>
        <v>32.733586523867501</v>
      </c>
    </row>
    <row r="100" spans="2:7">
      <c r="B100" t="str">
        <f>Trans_Demand!A96</f>
        <v>COMWAROldDMD</v>
      </c>
      <c r="C100" t="str">
        <f>"DEMAND - "&amp;_xlfn.XLOOKUP(B100,Demand!E:E,Demand!A:A)&amp;" "&amp;_xlfn.XLOOKUP(B100,Demand!E:E,Demand!B:B)&amp;" "&amp;_xlfn.XLOOKUP(B100,Demand!E:E,Demand!C:C)&amp;" "&amp;_xlfn.XLOOKUP(B100,Demand!E:E,Demand!D:D)</f>
        <v>DEMAND - Commercial Warehouse  Old</v>
      </c>
      <c r="D100" t="str">
        <f>_xlfn.XLOOKUP(B100,Trans_Demand!A:A,Trans_Demand!B:B)</f>
        <v>Mm2</v>
      </c>
      <c r="E100" t="s">
        <v>214</v>
      </c>
      <c r="F100">
        <f>Trans_Demand!C96</f>
        <v>2035</v>
      </c>
      <c r="G100" s="11">
        <f>SUMIFS(Trans_Demand!D:D,Trans_Demand!A:A,B100,Trans_Demand!C:C,F100)</f>
        <v>32.733586523867501</v>
      </c>
    </row>
    <row r="101" spans="2:7">
      <c r="B101" t="str">
        <f>Trans_Demand!A97</f>
        <v>COMWAROldDMD</v>
      </c>
      <c r="C101" t="str">
        <f>"DEMAND - "&amp;_xlfn.XLOOKUP(B101,Demand!E:E,Demand!A:A)&amp;" "&amp;_xlfn.XLOOKUP(B101,Demand!E:E,Demand!B:B)&amp;" "&amp;_xlfn.XLOOKUP(B101,Demand!E:E,Demand!C:C)&amp;" "&amp;_xlfn.XLOOKUP(B101,Demand!E:E,Demand!D:D)</f>
        <v>DEMAND - Commercial Warehouse  Old</v>
      </c>
      <c r="D101" t="str">
        <f>_xlfn.XLOOKUP(B101,Trans_Demand!A:A,Trans_Demand!B:B)</f>
        <v>Mm2</v>
      </c>
      <c r="E101" t="s">
        <v>214</v>
      </c>
      <c r="F101">
        <f>Trans_Demand!C97</f>
        <v>2040</v>
      </c>
      <c r="G101" s="11">
        <f>SUMIFS(Trans_Demand!D:D,Trans_Demand!A:A,B101,Trans_Demand!C:C,F101)</f>
        <v>32.733586523867501</v>
      </c>
    </row>
    <row r="102" spans="2:7">
      <c r="B102" t="str">
        <f>Trans_Demand!A98</f>
        <v>COMWAROldDMD</v>
      </c>
      <c r="C102" t="str">
        <f>"DEMAND - "&amp;_xlfn.XLOOKUP(B102,Demand!E:E,Demand!A:A)&amp;" "&amp;_xlfn.XLOOKUP(B102,Demand!E:E,Demand!B:B)&amp;" "&amp;_xlfn.XLOOKUP(B102,Demand!E:E,Demand!C:C)&amp;" "&amp;_xlfn.XLOOKUP(B102,Demand!E:E,Demand!D:D)</f>
        <v>DEMAND - Commercial Warehouse  Old</v>
      </c>
      <c r="D102" t="str">
        <f>_xlfn.XLOOKUP(B102,Trans_Demand!A:A,Trans_Demand!B:B)</f>
        <v>Mm2</v>
      </c>
      <c r="E102" t="s">
        <v>214</v>
      </c>
      <c r="F102">
        <f>Trans_Demand!C98</f>
        <v>2045</v>
      </c>
      <c r="G102" s="11">
        <f>SUMIFS(Trans_Demand!D:D,Trans_Demand!A:A,B102,Trans_Demand!C:C,F102)</f>
        <v>32.733586523867501</v>
      </c>
    </row>
    <row r="103" spans="2:7">
      <c r="B103" t="str">
        <f>Trans_Demand!A99</f>
        <v>COMWAROldDMD</v>
      </c>
      <c r="C103" t="str">
        <f>"DEMAND - "&amp;_xlfn.XLOOKUP(B103,Demand!E:E,Demand!A:A)&amp;" "&amp;_xlfn.XLOOKUP(B103,Demand!E:E,Demand!B:B)&amp;" "&amp;_xlfn.XLOOKUP(B103,Demand!E:E,Demand!C:C)&amp;" "&amp;_xlfn.XLOOKUP(B103,Demand!E:E,Demand!D:D)</f>
        <v>DEMAND - Commercial Warehouse  Old</v>
      </c>
      <c r="D103" t="str">
        <f>_xlfn.XLOOKUP(B103,Trans_Demand!A:A,Trans_Demand!B:B)</f>
        <v>Mm2</v>
      </c>
      <c r="E103" t="s">
        <v>214</v>
      </c>
      <c r="F103">
        <f>Trans_Demand!C99</f>
        <v>2050</v>
      </c>
      <c r="G103" s="11">
        <f>SUMIFS(Trans_Demand!D:D,Trans_Demand!A:A,B103,Trans_Demand!C:C,F103)</f>
        <v>32.733586523867501</v>
      </c>
    </row>
    <row r="104" spans="2:7">
      <c r="B104" t="str">
        <f>Trans_Demand!A100</f>
        <v>COMWAROldDMD</v>
      </c>
      <c r="C104" t="str">
        <f>"DEMAND - "&amp;_xlfn.XLOOKUP(B104,Demand!E:E,Demand!A:A)&amp;" "&amp;_xlfn.XLOOKUP(B104,Demand!E:E,Demand!B:B)&amp;" "&amp;_xlfn.XLOOKUP(B104,Demand!E:E,Demand!C:C)&amp;" "&amp;_xlfn.XLOOKUP(B104,Demand!E:E,Demand!D:D)</f>
        <v>DEMAND - Commercial Warehouse  Old</v>
      </c>
      <c r="D104" t="str">
        <f>_xlfn.XLOOKUP(B104,Trans_Demand!A:A,Trans_Demand!B:B)</f>
        <v>Mm2</v>
      </c>
      <c r="E104" t="s">
        <v>214</v>
      </c>
      <c r="F104">
        <f>Trans_Demand!C100</f>
        <v>2055</v>
      </c>
      <c r="G104" s="11">
        <f>SUMIFS(Trans_Demand!D:D,Trans_Demand!A:A,B104,Trans_Demand!C:C,F104)</f>
        <v>32.733586523867501</v>
      </c>
    </row>
    <row r="105" spans="2:7">
      <c r="B105" t="str">
        <f>Trans_Demand!A101</f>
        <v>COMWAROldDMD</v>
      </c>
      <c r="C105" t="str">
        <f>"DEMAND - "&amp;_xlfn.XLOOKUP(B105,Demand!E:E,Demand!A:A)&amp;" "&amp;_xlfn.XLOOKUP(B105,Demand!E:E,Demand!B:B)&amp;" "&amp;_xlfn.XLOOKUP(B105,Demand!E:E,Demand!C:C)&amp;" "&amp;_xlfn.XLOOKUP(B105,Demand!E:E,Demand!D:D)</f>
        <v>DEMAND - Commercial Warehouse  Old</v>
      </c>
      <c r="D105" t="str">
        <f>_xlfn.XLOOKUP(B105,Trans_Demand!A:A,Trans_Demand!B:B)</f>
        <v>Mm2</v>
      </c>
      <c r="E105" t="s">
        <v>214</v>
      </c>
      <c r="F105">
        <f>Trans_Demand!C101</f>
        <v>2060</v>
      </c>
      <c r="G105" s="11">
        <f>SUMIFS(Trans_Demand!D:D,Trans_Demand!A:A,B105,Trans_Demand!C:C,F105)</f>
        <v>32.733586523867501</v>
      </c>
    </row>
    <row r="106" spans="2:7">
      <c r="B106" t="str">
        <f>Trans_Demand!A102</f>
        <v>COMWAROldDMD</v>
      </c>
      <c r="C106" t="str">
        <f>"DEMAND - "&amp;_xlfn.XLOOKUP(B106,Demand!E:E,Demand!A:A)&amp;" "&amp;_xlfn.XLOOKUP(B106,Demand!E:E,Demand!B:B)&amp;" "&amp;_xlfn.XLOOKUP(B106,Demand!E:E,Demand!C:C)&amp;" "&amp;_xlfn.XLOOKUP(B106,Demand!E:E,Demand!D:D)</f>
        <v>DEMAND - Commercial Warehouse  Old</v>
      </c>
      <c r="D106" t="str">
        <f>_xlfn.XLOOKUP(B106,Trans_Demand!A:A,Trans_Demand!B:B)</f>
        <v>Mm2</v>
      </c>
      <c r="E106" t="s">
        <v>214</v>
      </c>
      <c r="F106">
        <f>Trans_Demand!C102</f>
        <v>2065</v>
      </c>
      <c r="G106" s="11">
        <f>SUMIFS(Trans_Demand!D:D,Trans_Demand!A:A,B106,Trans_Demand!C:C,F106)</f>
        <v>32.733586523867501</v>
      </c>
    </row>
    <row r="107" spans="2:7">
      <c r="B107" t="str">
        <f>Trans_Demand!A103</f>
        <v>COMWAROldDMD</v>
      </c>
      <c r="C107" t="str">
        <f>"DEMAND - "&amp;_xlfn.XLOOKUP(B107,Demand!E:E,Demand!A:A)&amp;" "&amp;_xlfn.XLOOKUP(B107,Demand!E:E,Demand!B:B)&amp;" "&amp;_xlfn.XLOOKUP(B107,Demand!E:E,Demand!C:C)&amp;" "&amp;_xlfn.XLOOKUP(B107,Demand!E:E,Demand!D:D)</f>
        <v>DEMAND - Commercial Warehouse  Old</v>
      </c>
      <c r="D107" t="str">
        <f>_xlfn.XLOOKUP(B107,Trans_Demand!A:A,Trans_Demand!B:B)</f>
        <v>Mm2</v>
      </c>
      <c r="E107" t="s">
        <v>214</v>
      </c>
      <c r="F107">
        <f>Trans_Demand!C103</f>
        <v>2070</v>
      </c>
      <c r="G107" s="11">
        <f>SUMIFS(Trans_Demand!D:D,Trans_Demand!A:A,B107,Trans_Demand!C:C,F107)</f>
        <v>32.733586523867501</v>
      </c>
    </row>
    <row r="108" spans="2:7">
      <c r="B108" t="str">
        <f>Trans_Demand!A104</f>
        <v>COMWAROldDMD</v>
      </c>
      <c r="C108" t="str">
        <f>"DEMAND - "&amp;_xlfn.XLOOKUP(B108,Demand!E:E,Demand!A:A)&amp;" "&amp;_xlfn.XLOOKUP(B108,Demand!E:E,Demand!B:B)&amp;" "&amp;_xlfn.XLOOKUP(B108,Demand!E:E,Demand!C:C)&amp;" "&amp;_xlfn.XLOOKUP(B108,Demand!E:E,Demand!D:D)</f>
        <v>DEMAND - Commercial Warehouse  Old</v>
      </c>
      <c r="D108" t="str">
        <f>_xlfn.XLOOKUP(B108,Trans_Demand!A:A,Trans_Demand!B:B)</f>
        <v>Mm2</v>
      </c>
      <c r="E108" t="s">
        <v>214</v>
      </c>
      <c r="F108">
        <f>Trans_Demand!C104</f>
        <v>2075</v>
      </c>
      <c r="G108" s="11">
        <f>SUMIFS(Trans_Demand!D:D,Trans_Demand!A:A,B108,Trans_Demand!C:C,F108)</f>
        <v>32.733586523867501</v>
      </c>
    </row>
    <row r="109" spans="2:7">
      <c r="B109" t="str">
        <f>Trans_Demand!A105</f>
        <v>COMWAROldDMD</v>
      </c>
      <c r="C109" t="str">
        <f>"DEMAND - "&amp;_xlfn.XLOOKUP(B109,Demand!E:E,Demand!A:A)&amp;" "&amp;_xlfn.XLOOKUP(B109,Demand!E:E,Demand!B:B)&amp;" "&amp;_xlfn.XLOOKUP(B109,Demand!E:E,Demand!C:C)&amp;" "&amp;_xlfn.XLOOKUP(B109,Demand!E:E,Demand!D:D)</f>
        <v>DEMAND - Commercial Warehouse  Old</v>
      </c>
      <c r="D109" t="str">
        <f>_xlfn.XLOOKUP(B109,Trans_Demand!A:A,Trans_Demand!B:B)</f>
        <v>Mm2</v>
      </c>
      <c r="E109" t="s">
        <v>214</v>
      </c>
      <c r="F109">
        <f>Trans_Demand!C105</f>
        <v>2080</v>
      </c>
      <c r="G109" s="11">
        <f>SUMIFS(Trans_Demand!D:D,Trans_Demand!A:A,B109,Trans_Demand!C:C,F109)</f>
        <v>32.733586523867501</v>
      </c>
    </row>
    <row r="110" spans="2:7">
      <c r="B110" t="str">
        <f>Trans_Demand!A106</f>
        <v>COMWAROldDMD</v>
      </c>
      <c r="C110" t="str">
        <f>"DEMAND - "&amp;_xlfn.XLOOKUP(B110,Demand!E:E,Demand!A:A)&amp;" "&amp;_xlfn.XLOOKUP(B110,Demand!E:E,Demand!B:B)&amp;" "&amp;_xlfn.XLOOKUP(B110,Demand!E:E,Demand!C:C)&amp;" "&amp;_xlfn.XLOOKUP(B110,Demand!E:E,Demand!D:D)</f>
        <v>DEMAND - Commercial Warehouse  Old</v>
      </c>
      <c r="D110" t="str">
        <f>_xlfn.XLOOKUP(B110,Trans_Demand!A:A,Trans_Demand!B:B)</f>
        <v>Mm2</v>
      </c>
      <c r="E110" t="s">
        <v>214</v>
      </c>
      <c r="F110">
        <f>Trans_Demand!C106</f>
        <v>2085</v>
      </c>
      <c r="G110" s="11">
        <f>SUMIFS(Trans_Demand!D:D,Trans_Demand!A:A,B110,Trans_Demand!C:C,F110)</f>
        <v>32.733586523867501</v>
      </c>
    </row>
    <row r="111" spans="2:7">
      <c r="B111" t="str">
        <f>Trans_Demand!A107</f>
        <v>COMWAROldDMD</v>
      </c>
      <c r="C111" t="str">
        <f>"DEMAND - "&amp;_xlfn.XLOOKUP(B111,Demand!E:E,Demand!A:A)&amp;" "&amp;_xlfn.XLOOKUP(B111,Demand!E:E,Demand!B:B)&amp;" "&amp;_xlfn.XLOOKUP(B111,Demand!E:E,Demand!C:C)&amp;" "&amp;_xlfn.XLOOKUP(B111,Demand!E:E,Demand!D:D)</f>
        <v>DEMAND - Commercial Warehouse  Old</v>
      </c>
      <c r="D111" t="str">
        <f>_xlfn.XLOOKUP(B111,Trans_Demand!A:A,Trans_Demand!B:B)</f>
        <v>Mm2</v>
      </c>
      <c r="E111" t="s">
        <v>214</v>
      </c>
      <c r="F111">
        <f>Trans_Demand!C107</f>
        <v>2090</v>
      </c>
      <c r="G111" s="11">
        <f>SUMIFS(Trans_Demand!D:D,Trans_Demand!A:A,B111,Trans_Demand!C:C,F111)</f>
        <v>32.733586523867501</v>
      </c>
    </row>
    <row r="112" spans="2:7">
      <c r="B112" t="str">
        <f>Trans_Demand!A108</f>
        <v>COMWAROldDMD</v>
      </c>
      <c r="C112" t="str">
        <f>"DEMAND - "&amp;_xlfn.XLOOKUP(B112,Demand!E:E,Demand!A:A)&amp;" "&amp;_xlfn.XLOOKUP(B112,Demand!E:E,Demand!B:B)&amp;" "&amp;_xlfn.XLOOKUP(B112,Demand!E:E,Demand!C:C)&amp;" "&amp;_xlfn.XLOOKUP(B112,Demand!E:E,Demand!D:D)</f>
        <v>DEMAND - Commercial Warehouse  Old</v>
      </c>
      <c r="D112" t="str">
        <f>_xlfn.XLOOKUP(B112,Trans_Demand!A:A,Trans_Demand!B:B)</f>
        <v>Mm2</v>
      </c>
      <c r="E112" t="s">
        <v>214</v>
      </c>
      <c r="F112">
        <f>Trans_Demand!C108</f>
        <v>2095</v>
      </c>
      <c r="G112" s="11">
        <f>SUMIFS(Trans_Demand!D:D,Trans_Demand!A:A,B112,Trans_Demand!C:C,F112)</f>
        <v>32.733586523867501</v>
      </c>
    </row>
    <row r="113" spans="2:7">
      <c r="B113" t="str">
        <f>Trans_Demand!A109</f>
        <v>COMWAROldDMD</v>
      </c>
      <c r="C113" t="str">
        <f>"DEMAND - "&amp;_xlfn.XLOOKUP(B113,Demand!E:E,Demand!A:A)&amp;" "&amp;_xlfn.XLOOKUP(B113,Demand!E:E,Demand!B:B)&amp;" "&amp;_xlfn.XLOOKUP(B113,Demand!E:E,Demand!C:C)&amp;" "&amp;_xlfn.XLOOKUP(B113,Demand!E:E,Demand!D:D)</f>
        <v>DEMAND - Commercial Warehouse  Old</v>
      </c>
      <c r="D113" t="str">
        <f>_xlfn.XLOOKUP(B113,Trans_Demand!A:A,Trans_Demand!B:B)</f>
        <v>Mm2</v>
      </c>
      <c r="E113" t="s">
        <v>214</v>
      </c>
      <c r="F113">
        <f>Trans_Demand!C109</f>
        <v>2100</v>
      </c>
      <c r="G113" s="11">
        <f>SUMIFS(Trans_Demand!D:D,Trans_Demand!A:A,B113,Trans_Demand!C:C,F113)</f>
        <v>32.733586523867501</v>
      </c>
    </row>
    <row r="114" spans="2:7">
      <c r="B114" t="str">
        <f>Trans_Demand!A110</f>
        <v>COMMUNOldDMD</v>
      </c>
      <c r="C114" t="str">
        <f>"DEMAND - "&amp;_xlfn.XLOOKUP(B114,Demand!E:E,Demand!A:A)&amp;" "&amp;_xlfn.XLOOKUP(B114,Demand!E:E,Demand!B:B)&amp;" "&amp;_xlfn.XLOOKUP(B114,Demand!E:E,Demand!C:C)&amp;" "&amp;_xlfn.XLOOKUP(B114,Demand!E:E,Demand!D:D)</f>
        <v>DEMAND - Commercial Municipal  Old</v>
      </c>
      <c r="D114" t="str">
        <f>_xlfn.XLOOKUP(B114,Trans_Demand!A:A,Trans_Demand!B:B)</f>
        <v>Mm2</v>
      </c>
      <c r="E114" t="s">
        <v>214</v>
      </c>
      <c r="F114">
        <f>Trans_Demand!C110</f>
        <v>2019</v>
      </c>
      <c r="G114" s="11">
        <f>SUMIFS(Trans_Demand!D:D,Trans_Demand!A:A,B114,Trans_Demand!C:C,F114)</f>
        <v>16.841332845916298</v>
      </c>
    </row>
    <row r="115" spans="2:7">
      <c r="B115" t="str">
        <f>Trans_Demand!A111</f>
        <v>COMMUNOldDMD</v>
      </c>
      <c r="C115" t="str">
        <f>"DEMAND - "&amp;_xlfn.XLOOKUP(B115,Demand!E:E,Demand!A:A)&amp;" "&amp;_xlfn.XLOOKUP(B115,Demand!E:E,Demand!B:B)&amp;" "&amp;_xlfn.XLOOKUP(B115,Demand!E:E,Demand!C:C)&amp;" "&amp;_xlfn.XLOOKUP(B115,Demand!E:E,Demand!D:D)</f>
        <v>DEMAND - Commercial Municipal  Old</v>
      </c>
      <c r="D115" t="str">
        <f>_xlfn.XLOOKUP(B115,Trans_Demand!A:A,Trans_Demand!B:B)</f>
        <v>Mm2</v>
      </c>
      <c r="E115" t="s">
        <v>214</v>
      </c>
      <c r="F115">
        <f>Trans_Demand!C111</f>
        <v>2020</v>
      </c>
      <c r="G115" s="11">
        <f>SUMIFS(Trans_Demand!D:D,Trans_Demand!A:A,B115,Trans_Demand!C:C,F115)</f>
        <v>16.841332845916298</v>
      </c>
    </row>
    <row r="116" spans="2:7">
      <c r="B116" t="str">
        <f>Trans_Demand!A112</f>
        <v>COMMUNOldDMD</v>
      </c>
      <c r="C116" t="str">
        <f>"DEMAND - "&amp;_xlfn.XLOOKUP(B116,Demand!E:E,Demand!A:A)&amp;" "&amp;_xlfn.XLOOKUP(B116,Demand!E:E,Demand!B:B)&amp;" "&amp;_xlfn.XLOOKUP(B116,Demand!E:E,Demand!C:C)&amp;" "&amp;_xlfn.XLOOKUP(B116,Demand!E:E,Demand!D:D)</f>
        <v>DEMAND - Commercial Municipal  Old</v>
      </c>
      <c r="D116" t="str">
        <f>_xlfn.XLOOKUP(B116,Trans_Demand!A:A,Trans_Demand!B:B)</f>
        <v>Mm2</v>
      </c>
      <c r="E116" t="s">
        <v>214</v>
      </c>
      <c r="F116">
        <f>Trans_Demand!C112</f>
        <v>2025</v>
      </c>
      <c r="G116" s="11">
        <f>SUMIFS(Trans_Demand!D:D,Trans_Demand!A:A,B116,Trans_Demand!C:C,F116)</f>
        <v>16.841332845916298</v>
      </c>
    </row>
    <row r="117" spans="2:7">
      <c r="B117" t="str">
        <f>Trans_Demand!A113</f>
        <v>COMMUNOldDMD</v>
      </c>
      <c r="C117" t="str">
        <f>"DEMAND - "&amp;_xlfn.XLOOKUP(B117,Demand!E:E,Demand!A:A)&amp;" "&amp;_xlfn.XLOOKUP(B117,Demand!E:E,Demand!B:B)&amp;" "&amp;_xlfn.XLOOKUP(B117,Demand!E:E,Demand!C:C)&amp;" "&amp;_xlfn.XLOOKUP(B117,Demand!E:E,Demand!D:D)</f>
        <v>DEMAND - Commercial Municipal  Old</v>
      </c>
      <c r="D117" t="str">
        <f>_xlfn.XLOOKUP(B117,Trans_Demand!A:A,Trans_Demand!B:B)</f>
        <v>Mm2</v>
      </c>
      <c r="E117" t="s">
        <v>214</v>
      </c>
      <c r="F117">
        <f>Trans_Demand!C113</f>
        <v>2030</v>
      </c>
      <c r="G117" s="11">
        <f>SUMIFS(Trans_Demand!D:D,Trans_Demand!A:A,B117,Trans_Demand!C:C,F117)</f>
        <v>16.841332845916298</v>
      </c>
    </row>
    <row r="118" spans="2:7">
      <c r="B118" t="str">
        <f>Trans_Demand!A114</f>
        <v>COMMUNOldDMD</v>
      </c>
      <c r="C118" t="str">
        <f>"DEMAND - "&amp;_xlfn.XLOOKUP(B118,Demand!E:E,Demand!A:A)&amp;" "&amp;_xlfn.XLOOKUP(B118,Demand!E:E,Demand!B:B)&amp;" "&amp;_xlfn.XLOOKUP(B118,Demand!E:E,Demand!C:C)&amp;" "&amp;_xlfn.XLOOKUP(B118,Demand!E:E,Demand!D:D)</f>
        <v>DEMAND - Commercial Municipal  Old</v>
      </c>
      <c r="D118" t="str">
        <f>_xlfn.XLOOKUP(B118,Trans_Demand!A:A,Trans_Demand!B:B)</f>
        <v>Mm2</v>
      </c>
      <c r="E118" t="s">
        <v>214</v>
      </c>
      <c r="F118">
        <f>Trans_Demand!C114</f>
        <v>2035</v>
      </c>
      <c r="G118" s="11">
        <f>SUMIFS(Trans_Demand!D:D,Trans_Demand!A:A,B118,Trans_Demand!C:C,F118)</f>
        <v>16.841332845916298</v>
      </c>
    </row>
    <row r="119" spans="2:7">
      <c r="B119" t="str">
        <f>Trans_Demand!A115</f>
        <v>COMMUNOldDMD</v>
      </c>
      <c r="C119" t="str">
        <f>"DEMAND - "&amp;_xlfn.XLOOKUP(B119,Demand!E:E,Demand!A:A)&amp;" "&amp;_xlfn.XLOOKUP(B119,Demand!E:E,Demand!B:B)&amp;" "&amp;_xlfn.XLOOKUP(B119,Demand!E:E,Demand!C:C)&amp;" "&amp;_xlfn.XLOOKUP(B119,Demand!E:E,Demand!D:D)</f>
        <v>DEMAND - Commercial Municipal  Old</v>
      </c>
      <c r="D119" t="str">
        <f>_xlfn.XLOOKUP(B119,Trans_Demand!A:A,Trans_Demand!B:B)</f>
        <v>Mm2</v>
      </c>
      <c r="E119" t="s">
        <v>214</v>
      </c>
      <c r="F119">
        <f>Trans_Demand!C115</f>
        <v>2040</v>
      </c>
      <c r="G119" s="11">
        <f>SUMIFS(Trans_Demand!D:D,Trans_Demand!A:A,B119,Trans_Demand!C:C,F119)</f>
        <v>16.841332845916298</v>
      </c>
    </row>
    <row r="120" spans="2:7">
      <c r="B120" t="str">
        <f>Trans_Demand!A116</f>
        <v>COMMUNOldDMD</v>
      </c>
      <c r="C120" t="str">
        <f>"DEMAND - "&amp;_xlfn.XLOOKUP(B120,Demand!E:E,Demand!A:A)&amp;" "&amp;_xlfn.XLOOKUP(B120,Demand!E:E,Demand!B:B)&amp;" "&amp;_xlfn.XLOOKUP(B120,Demand!E:E,Demand!C:C)&amp;" "&amp;_xlfn.XLOOKUP(B120,Demand!E:E,Demand!D:D)</f>
        <v>DEMAND - Commercial Municipal  Old</v>
      </c>
      <c r="D120" t="str">
        <f>_xlfn.XLOOKUP(B120,Trans_Demand!A:A,Trans_Demand!B:B)</f>
        <v>Mm2</v>
      </c>
      <c r="E120" t="s">
        <v>214</v>
      </c>
      <c r="F120">
        <f>Trans_Demand!C116</f>
        <v>2045</v>
      </c>
      <c r="G120" s="11">
        <f>SUMIFS(Trans_Demand!D:D,Trans_Demand!A:A,B120,Trans_Demand!C:C,F120)</f>
        <v>16.841332845916298</v>
      </c>
    </row>
    <row r="121" spans="2:7">
      <c r="B121" t="str">
        <f>Trans_Demand!A117</f>
        <v>COMMUNOldDMD</v>
      </c>
      <c r="C121" t="str">
        <f>"DEMAND - "&amp;_xlfn.XLOOKUP(B121,Demand!E:E,Demand!A:A)&amp;" "&amp;_xlfn.XLOOKUP(B121,Demand!E:E,Demand!B:B)&amp;" "&amp;_xlfn.XLOOKUP(B121,Demand!E:E,Demand!C:C)&amp;" "&amp;_xlfn.XLOOKUP(B121,Demand!E:E,Demand!D:D)</f>
        <v>DEMAND - Commercial Municipal  Old</v>
      </c>
      <c r="D121" t="str">
        <f>_xlfn.XLOOKUP(B121,Trans_Demand!A:A,Trans_Demand!B:B)</f>
        <v>Mm2</v>
      </c>
      <c r="E121" t="s">
        <v>214</v>
      </c>
      <c r="F121">
        <f>Trans_Demand!C117</f>
        <v>2050</v>
      </c>
      <c r="G121" s="11">
        <f>SUMIFS(Trans_Demand!D:D,Trans_Demand!A:A,B121,Trans_Demand!C:C,F121)</f>
        <v>16.841332845916298</v>
      </c>
    </row>
    <row r="122" spans="2:7">
      <c r="B122" t="str">
        <f>Trans_Demand!A118</f>
        <v>COMMUNOldDMD</v>
      </c>
      <c r="C122" t="str">
        <f>"DEMAND - "&amp;_xlfn.XLOOKUP(B122,Demand!E:E,Demand!A:A)&amp;" "&amp;_xlfn.XLOOKUP(B122,Demand!E:E,Demand!B:B)&amp;" "&amp;_xlfn.XLOOKUP(B122,Demand!E:E,Demand!C:C)&amp;" "&amp;_xlfn.XLOOKUP(B122,Demand!E:E,Demand!D:D)</f>
        <v>DEMAND - Commercial Municipal  Old</v>
      </c>
      <c r="D122" t="str">
        <f>_xlfn.XLOOKUP(B122,Trans_Demand!A:A,Trans_Demand!B:B)</f>
        <v>Mm2</v>
      </c>
      <c r="E122" t="s">
        <v>214</v>
      </c>
      <c r="F122">
        <f>Trans_Demand!C118</f>
        <v>2055</v>
      </c>
      <c r="G122" s="11">
        <f>SUMIFS(Trans_Demand!D:D,Trans_Demand!A:A,B122,Trans_Demand!C:C,F122)</f>
        <v>16.841332845916298</v>
      </c>
    </row>
    <row r="123" spans="2:7">
      <c r="B123" t="str">
        <f>Trans_Demand!A119</f>
        <v>COMMUNOldDMD</v>
      </c>
      <c r="C123" t="str">
        <f>"DEMAND - "&amp;_xlfn.XLOOKUP(B123,Demand!E:E,Demand!A:A)&amp;" "&amp;_xlfn.XLOOKUP(B123,Demand!E:E,Demand!B:B)&amp;" "&amp;_xlfn.XLOOKUP(B123,Demand!E:E,Demand!C:C)&amp;" "&amp;_xlfn.XLOOKUP(B123,Demand!E:E,Demand!D:D)</f>
        <v>DEMAND - Commercial Municipal  Old</v>
      </c>
      <c r="D123" t="str">
        <f>_xlfn.XLOOKUP(B123,Trans_Demand!A:A,Trans_Demand!B:B)</f>
        <v>Mm2</v>
      </c>
      <c r="E123" t="s">
        <v>214</v>
      </c>
      <c r="F123">
        <f>Trans_Demand!C119</f>
        <v>2060</v>
      </c>
      <c r="G123" s="11">
        <f>SUMIFS(Trans_Demand!D:D,Trans_Demand!A:A,B123,Trans_Demand!C:C,F123)</f>
        <v>16.841332845916298</v>
      </c>
    </row>
    <row r="124" spans="2:7">
      <c r="B124" t="str">
        <f>Trans_Demand!A120</f>
        <v>COMMUNOldDMD</v>
      </c>
      <c r="C124" t="str">
        <f>"DEMAND - "&amp;_xlfn.XLOOKUP(B124,Demand!E:E,Demand!A:A)&amp;" "&amp;_xlfn.XLOOKUP(B124,Demand!E:E,Demand!B:B)&amp;" "&amp;_xlfn.XLOOKUP(B124,Demand!E:E,Demand!C:C)&amp;" "&amp;_xlfn.XLOOKUP(B124,Demand!E:E,Demand!D:D)</f>
        <v>DEMAND - Commercial Municipal  Old</v>
      </c>
      <c r="D124" t="str">
        <f>_xlfn.XLOOKUP(B124,Trans_Demand!A:A,Trans_Demand!B:B)</f>
        <v>Mm2</v>
      </c>
      <c r="E124" t="s">
        <v>214</v>
      </c>
      <c r="F124">
        <f>Trans_Demand!C120</f>
        <v>2065</v>
      </c>
      <c r="G124" s="11">
        <f>SUMIFS(Trans_Demand!D:D,Trans_Demand!A:A,B124,Trans_Demand!C:C,F124)</f>
        <v>16.841332845916298</v>
      </c>
    </row>
    <row r="125" spans="2:7">
      <c r="B125" t="str">
        <f>Trans_Demand!A121</f>
        <v>COMMUNOldDMD</v>
      </c>
      <c r="C125" t="str">
        <f>"DEMAND - "&amp;_xlfn.XLOOKUP(B125,Demand!E:E,Demand!A:A)&amp;" "&amp;_xlfn.XLOOKUP(B125,Demand!E:E,Demand!B:B)&amp;" "&amp;_xlfn.XLOOKUP(B125,Demand!E:E,Demand!C:C)&amp;" "&amp;_xlfn.XLOOKUP(B125,Demand!E:E,Demand!D:D)</f>
        <v>DEMAND - Commercial Municipal  Old</v>
      </c>
      <c r="D125" t="str">
        <f>_xlfn.XLOOKUP(B125,Trans_Demand!A:A,Trans_Demand!B:B)</f>
        <v>Mm2</v>
      </c>
      <c r="E125" t="s">
        <v>214</v>
      </c>
      <c r="F125">
        <f>Trans_Demand!C121</f>
        <v>2070</v>
      </c>
      <c r="G125" s="11">
        <f>SUMIFS(Trans_Demand!D:D,Trans_Demand!A:A,B125,Trans_Demand!C:C,F125)</f>
        <v>16.841332845916298</v>
      </c>
    </row>
    <row r="126" spans="2:7">
      <c r="B126" t="str">
        <f>Trans_Demand!A122</f>
        <v>COMMUNOldDMD</v>
      </c>
      <c r="C126" t="str">
        <f>"DEMAND - "&amp;_xlfn.XLOOKUP(B126,Demand!E:E,Demand!A:A)&amp;" "&amp;_xlfn.XLOOKUP(B126,Demand!E:E,Demand!B:B)&amp;" "&amp;_xlfn.XLOOKUP(B126,Demand!E:E,Demand!C:C)&amp;" "&amp;_xlfn.XLOOKUP(B126,Demand!E:E,Demand!D:D)</f>
        <v>DEMAND - Commercial Municipal  Old</v>
      </c>
      <c r="D126" t="str">
        <f>_xlfn.XLOOKUP(B126,Trans_Demand!A:A,Trans_Demand!B:B)</f>
        <v>Mm2</v>
      </c>
      <c r="E126" t="s">
        <v>214</v>
      </c>
      <c r="F126">
        <f>Trans_Demand!C122</f>
        <v>2075</v>
      </c>
      <c r="G126" s="11">
        <f>SUMIFS(Trans_Demand!D:D,Trans_Demand!A:A,B126,Trans_Demand!C:C,F126)</f>
        <v>16.841332845916298</v>
      </c>
    </row>
    <row r="127" spans="2:7">
      <c r="B127" t="str">
        <f>Trans_Demand!A123</f>
        <v>COMMUNOldDMD</v>
      </c>
      <c r="C127" t="str">
        <f>"DEMAND - "&amp;_xlfn.XLOOKUP(B127,Demand!E:E,Demand!A:A)&amp;" "&amp;_xlfn.XLOOKUP(B127,Demand!E:E,Demand!B:B)&amp;" "&amp;_xlfn.XLOOKUP(B127,Demand!E:E,Demand!C:C)&amp;" "&amp;_xlfn.XLOOKUP(B127,Demand!E:E,Demand!D:D)</f>
        <v>DEMAND - Commercial Municipal  Old</v>
      </c>
      <c r="D127" t="str">
        <f>_xlfn.XLOOKUP(B127,Trans_Demand!A:A,Trans_Demand!B:B)</f>
        <v>Mm2</v>
      </c>
      <c r="E127" t="s">
        <v>214</v>
      </c>
      <c r="F127">
        <f>Trans_Demand!C123</f>
        <v>2080</v>
      </c>
      <c r="G127" s="11">
        <f>SUMIFS(Trans_Demand!D:D,Trans_Demand!A:A,B127,Trans_Demand!C:C,F127)</f>
        <v>16.841332845916298</v>
      </c>
    </row>
    <row r="128" spans="2:7">
      <c r="B128" t="str">
        <f>Trans_Demand!A124</f>
        <v>COMMUNOldDMD</v>
      </c>
      <c r="C128" t="str">
        <f>"DEMAND - "&amp;_xlfn.XLOOKUP(B128,Demand!E:E,Demand!A:A)&amp;" "&amp;_xlfn.XLOOKUP(B128,Demand!E:E,Demand!B:B)&amp;" "&amp;_xlfn.XLOOKUP(B128,Demand!E:E,Demand!C:C)&amp;" "&amp;_xlfn.XLOOKUP(B128,Demand!E:E,Demand!D:D)</f>
        <v>DEMAND - Commercial Municipal  Old</v>
      </c>
      <c r="D128" t="str">
        <f>_xlfn.XLOOKUP(B128,Trans_Demand!A:A,Trans_Demand!B:B)</f>
        <v>Mm2</v>
      </c>
      <c r="E128" t="s">
        <v>214</v>
      </c>
      <c r="F128">
        <f>Trans_Demand!C124</f>
        <v>2085</v>
      </c>
      <c r="G128" s="11">
        <f>SUMIFS(Trans_Demand!D:D,Trans_Demand!A:A,B128,Trans_Demand!C:C,F128)</f>
        <v>16.841332845916298</v>
      </c>
    </row>
    <row r="129" spans="2:7">
      <c r="B129" t="str">
        <f>Trans_Demand!A125</f>
        <v>COMMUNOldDMD</v>
      </c>
      <c r="C129" t="str">
        <f>"DEMAND - "&amp;_xlfn.XLOOKUP(B129,Demand!E:E,Demand!A:A)&amp;" "&amp;_xlfn.XLOOKUP(B129,Demand!E:E,Demand!B:B)&amp;" "&amp;_xlfn.XLOOKUP(B129,Demand!E:E,Demand!C:C)&amp;" "&amp;_xlfn.XLOOKUP(B129,Demand!E:E,Demand!D:D)</f>
        <v>DEMAND - Commercial Municipal  Old</v>
      </c>
      <c r="D129" t="str">
        <f>_xlfn.XLOOKUP(B129,Trans_Demand!A:A,Trans_Demand!B:B)</f>
        <v>Mm2</v>
      </c>
      <c r="E129" t="s">
        <v>214</v>
      </c>
      <c r="F129">
        <f>Trans_Demand!C125</f>
        <v>2090</v>
      </c>
      <c r="G129" s="11">
        <f>SUMIFS(Trans_Demand!D:D,Trans_Demand!A:A,B129,Trans_Demand!C:C,F129)</f>
        <v>16.841332845916298</v>
      </c>
    </row>
    <row r="130" spans="2:7">
      <c r="B130" t="str">
        <f>Trans_Demand!A126</f>
        <v>COMMUNOldDMD</v>
      </c>
      <c r="C130" t="str">
        <f>"DEMAND - "&amp;_xlfn.XLOOKUP(B130,Demand!E:E,Demand!A:A)&amp;" "&amp;_xlfn.XLOOKUP(B130,Demand!E:E,Demand!B:B)&amp;" "&amp;_xlfn.XLOOKUP(B130,Demand!E:E,Demand!C:C)&amp;" "&amp;_xlfn.XLOOKUP(B130,Demand!E:E,Demand!D:D)</f>
        <v>DEMAND - Commercial Municipal  Old</v>
      </c>
      <c r="D130" t="str">
        <f>_xlfn.XLOOKUP(B130,Trans_Demand!A:A,Trans_Demand!B:B)</f>
        <v>Mm2</v>
      </c>
      <c r="E130" t="s">
        <v>214</v>
      </c>
      <c r="F130">
        <f>Trans_Demand!C126</f>
        <v>2095</v>
      </c>
      <c r="G130" s="11">
        <f>SUMIFS(Trans_Demand!D:D,Trans_Demand!A:A,B130,Trans_Demand!C:C,F130)</f>
        <v>16.841332845916298</v>
      </c>
    </row>
    <row r="131" spans="2:7">
      <c r="B131" t="str">
        <f>Trans_Demand!A127</f>
        <v>COMMUNOldDMD</v>
      </c>
      <c r="C131" t="str">
        <f>"DEMAND - "&amp;_xlfn.XLOOKUP(B131,Demand!E:E,Demand!A:A)&amp;" "&amp;_xlfn.XLOOKUP(B131,Demand!E:E,Demand!B:B)&amp;" "&amp;_xlfn.XLOOKUP(B131,Demand!E:E,Demand!C:C)&amp;" "&amp;_xlfn.XLOOKUP(B131,Demand!E:E,Demand!D:D)</f>
        <v>DEMAND - Commercial Municipal  Old</v>
      </c>
      <c r="D131" t="str">
        <f>_xlfn.XLOOKUP(B131,Trans_Demand!A:A,Trans_Demand!B:B)</f>
        <v>Mm2</v>
      </c>
      <c r="E131" t="s">
        <v>214</v>
      </c>
      <c r="F131">
        <f>Trans_Demand!C127</f>
        <v>2100</v>
      </c>
      <c r="G131" s="11">
        <f>SUMIFS(Trans_Demand!D:D,Trans_Demand!A:A,B131,Trans_Demand!C:C,F131)</f>
        <v>16.841332845916298</v>
      </c>
    </row>
    <row r="132" spans="2:7">
      <c r="B132" t="str">
        <f>Trans_Demand!A128</f>
        <v>COMOTHOldDMD</v>
      </c>
      <c r="C132" t="str">
        <f>"DEMAND - "&amp;_xlfn.XLOOKUP(B132,Demand!E:E,Demand!A:A)&amp;" "&amp;_xlfn.XLOOKUP(B132,Demand!E:E,Demand!B:B)&amp;" "&amp;_xlfn.XLOOKUP(B132,Demand!E:E,Demand!C:C)&amp;" "&amp;_xlfn.XLOOKUP(B132,Demand!E:E,Demand!D:D)</f>
        <v>DEMAND - Commercial Other  Old</v>
      </c>
      <c r="D132" t="str">
        <f>_xlfn.XLOOKUP(B132,Trans_Demand!A:A,Trans_Demand!B:B)</f>
        <v>Mm2</v>
      </c>
      <c r="E132" t="s">
        <v>214</v>
      </c>
      <c r="F132">
        <f>Trans_Demand!C128</f>
        <v>2019</v>
      </c>
      <c r="G132" s="11">
        <f>SUMIFS(Trans_Demand!D:D,Trans_Demand!A:A,B132,Trans_Demand!C:C,F132)</f>
        <v>8.7602804457077657</v>
      </c>
    </row>
    <row r="133" spans="2:7">
      <c r="B133" t="str">
        <f>Trans_Demand!A129</f>
        <v>COMOTHOldDMD</v>
      </c>
      <c r="C133" t="str">
        <f>"DEMAND - "&amp;_xlfn.XLOOKUP(B133,Demand!E:E,Demand!A:A)&amp;" "&amp;_xlfn.XLOOKUP(B133,Demand!E:E,Demand!B:B)&amp;" "&amp;_xlfn.XLOOKUP(B133,Demand!E:E,Demand!C:C)&amp;" "&amp;_xlfn.XLOOKUP(B133,Demand!E:E,Demand!D:D)</f>
        <v>DEMAND - Commercial Other  Old</v>
      </c>
      <c r="D133" t="str">
        <f>_xlfn.XLOOKUP(B133,Trans_Demand!A:A,Trans_Demand!B:B)</f>
        <v>Mm2</v>
      </c>
      <c r="E133" t="s">
        <v>214</v>
      </c>
      <c r="F133">
        <f>Trans_Demand!C129</f>
        <v>2020</v>
      </c>
      <c r="G133" s="11">
        <f>SUMIFS(Trans_Demand!D:D,Trans_Demand!A:A,B133,Trans_Demand!C:C,F133)</f>
        <v>8.7602804457077657</v>
      </c>
    </row>
    <row r="134" spans="2:7">
      <c r="B134" t="str">
        <f>Trans_Demand!A130</f>
        <v>COMOTHOldDMD</v>
      </c>
      <c r="C134" t="str">
        <f>"DEMAND - "&amp;_xlfn.XLOOKUP(B134,Demand!E:E,Demand!A:A)&amp;" "&amp;_xlfn.XLOOKUP(B134,Demand!E:E,Demand!B:B)&amp;" "&amp;_xlfn.XLOOKUP(B134,Demand!E:E,Demand!C:C)&amp;" "&amp;_xlfn.XLOOKUP(B134,Demand!E:E,Demand!D:D)</f>
        <v>DEMAND - Commercial Other  Old</v>
      </c>
      <c r="D134" t="str">
        <f>_xlfn.XLOOKUP(B134,Trans_Demand!A:A,Trans_Demand!B:B)</f>
        <v>Mm2</v>
      </c>
      <c r="E134" t="s">
        <v>214</v>
      </c>
      <c r="F134">
        <f>Trans_Demand!C130</f>
        <v>2025</v>
      </c>
      <c r="G134" s="11">
        <f>SUMIFS(Trans_Demand!D:D,Trans_Demand!A:A,B134,Trans_Demand!C:C,F134)</f>
        <v>8.7602804457077657</v>
      </c>
    </row>
    <row r="135" spans="2:7">
      <c r="B135" t="str">
        <f>Trans_Demand!A131</f>
        <v>COMOTHOldDMD</v>
      </c>
      <c r="C135" t="str">
        <f>"DEMAND - "&amp;_xlfn.XLOOKUP(B135,Demand!E:E,Demand!A:A)&amp;" "&amp;_xlfn.XLOOKUP(B135,Demand!E:E,Demand!B:B)&amp;" "&amp;_xlfn.XLOOKUP(B135,Demand!E:E,Demand!C:C)&amp;" "&amp;_xlfn.XLOOKUP(B135,Demand!E:E,Demand!D:D)</f>
        <v>DEMAND - Commercial Other  Old</v>
      </c>
      <c r="D135" t="str">
        <f>_xlfn.XLOOKUP(B135,Trans_Demand!A:A,Trans_Demand!B:B)</f>
        <v>Mm2</v>
      </c>
      <c r="E135" t="s">
        <v>214</v>
      </c>
      <c r="F135">
        <f>Trans_Demand!C131</f>
        <v>2030</v>
      </c>
      <c r="G135" s="11">
        <f>SUMIFS(Trans_Demand!D:D,Trans_Demand!A:A,B135,Trans_Demand!C:C,F135)</f>
        <v>8.7602804457077657</v>
      </c>
    </row>
    <row r="136" spans="2:7">
      <c r="B136" t="str">
        <f>Trans_Demand!A132</f>
        <v>COMOTHOldDMD</v>
      </c>
      <c r="C136" t="str">
        <f>"DEMAND - "&amp;_xlfn.XLOOKUP(B136,Demand!E:E,Demand!A:A)&amp;" "&amp;_xlfn.XLOOKUP(B136,Demand!E:E,Demand!B:B)&amp;" "&amp;_xlfn.XLOOKUP(B136,Demand!E:E,Demand!C:C)&amp;" "&amp;_xlfn.XLOOKUP(B136,Demand!E:E,Demand!D:D)</f>
        <v>DEMAND - Commercial Other  Old</v>
      </c>
      <c r="D136" t="str">
        <f>_xlfn.XLOOKUP(B136,Trans_Demand!A:A,Trans_Demand!B:B)</f>
        <v>Mm2</v>
      </c>
      <c r="E136" t="s">
        <v>214</v>
      </c>
      <c r="F136">
        <f>Trans_Demand!C132</f>
        <v>2035</v>
      </c>
      <c r="G136" s="11">
        <f>SUMIFS(Trans_Demand!D:D,Trans_Demand!A:A,B136,Trans_Demand!C:C,F136)</f>
        <v>8.7602804457077657</v>
      </c>
    </row>
    <row r="137" spans="2:7">
      <c r="B137" t="str">
        <f>Trans_Demand!A133</f>
        <v>COMOTHOldDMD</v>
      </c>
      <c r="C137" t="str">
        <f>"DEMAND - "&amp;_xlfn.XLOOKUP(B137,Demand!E:E,Demand!A:A)&amp;" "&amp;_xlfn.XLOOKUP(B137,Demand!E:E,Demand!B:B)&amp;" "&amp;_xlfn.XLOOKUP(B137,Demand!E:E,Demand!C:C)&amp;" "&amp;_xlfn.XLOOKUP(B137,Demand!E:E,Demand!D:D)</f>
        <v>DEMAND - Commercial Other  Old</v>
      </c>
      <c r="D137" t="str">
        <f>_xlfn.XLOOKUP(B137,Trans_Demand!A:A,Trans_Demand!B:B)</f>
        <v>Mm2</v>
      </c>
      <c r="E137" t="s">
        <v>214</v>
      </c>
      <c r="F137">
        <f>Trans_Demand!C133</f>
        <v>2040</v>
      </c>
      <c r="G137" s="11">
        <f>SUMIFS(Trans_Demand!D:D,Trans_Demand!A:A,B137,Trans_Demand!C:C,F137)</f>
        <v>8.7602804457077657</v>
      </c>
    </row>
    <row r="138" spans="2:7">
      <c r="B138" t="str">
        <f>Trans_Demand!A134</f>
        <v>COMOTHOldDMD</v>
      </c>
      <c r="C138" t="str">
        <f>"DEMAND - "&amp;_xlfn.XLOOKUP(B138,Demand!E:E,Demand!A:A)&amp;" "&amp;_xlfn.XLOOKUP(B138,Demand!E:E,Demand!B:B)&amp;" "&amp;_xlfn.XLOOKUP(B138,Demand!E:E,Demand!C:C)&amp;" "&amp;_xlfn.XLOOKUP(B138,Demand!E:E,Demand!D:D)</f>
        <v>DEMAND - Commercial Other  Old</v>
      </c>
      <c r="D138" t="str">
        <f>_xlfn.XLOOKUP(B138,Trans_Demand!A:A,Trans_Demand!B:B)</f>
        <v>Mm2</v>
      </c>
      <c r="E138" t="s">
        <v>214</v>
      </c>
      <c r="F138">
        <f>Trans_Demand!C134</f>
        <v>2045</v>
      </c>
      <c r="G138" s="11">
        <f>SUMIFS(Trans_Demand!D:D,Trans_Demand!A:A,B138,Trans_Demand!C:C,F138)</f>
        <v>8.7602804457077657</v>
      </c>
    </row>
    <row r="139" spans="2:7">
      <c r="B139" t="str">
        <f>Trans_Demand!A135</f>
        <v>COMOTHOldDMD</v>
      </c>
      <c r="C139" t="str">
        <f>"DEMAND - "&amp;_xlfn.XLOOKUP(B139,Demand!E:E,Demand!A:A)&amp;" "&amp;_xlfn.XLOOKUP(B139,Demand!E:E,Demand!B:B)&amp;" "&amp;_xlfn.XLOOKUP(B139,Demand!E:E,Demand!C:C)&amp;" "&amp;_xlfn.XLOOKUP(B139,Demand!E:E,Demand!D:D)</f>
        <v>DEMAND - Commercial Other  Old</v>
      </c>
      <c r="D139" t="str">
        <f>_xlfn.XLOOKUP(B139,Trans_Demand!A:A,Trans_Demand!B:B)</f>
        <v>Mm2</v>
      </c>
      <c r="E139" t="s">
        <v>214</v>
      </c>
      <c r="F139">
        <f>Trans_Demand!C135</f>
        <v>2050</v>
      </c>
      <c r="G139" s="11">
        <f>SUMIFS(Trans_Demand!D:D,Trans_Demand!A:A,B139,Trans_Demand!C:C,F139)</f>
        <v>8.7602804457077657</v>
      </c>
    </row>
    <row r="140" spans="2:7">
      <c r="B140" t="str">
        <f>Trans_Demand!A136</f>
        <v>COMOTHOldDMD</v>
      </c>
      <c r="C140" t="str">
        <f>"DEMAND - "&amp;_xlfn.XLOOKUP(B140,Demand!E:E,Demand!A:A)&amp;" "&amp;_xlfn.XLOOKUP(B140,Demand!E:E,Demand!B:B)&amp;" "&amp;_xlfn.XLOOKUP(B140,Demand!E:E,Demand!C:C)&amp;" "&amp;_xlfn.XLOOKUP(B140,Demand!E:E,Demand!D:D)</f>
        <v>DEMAND - Commercial Other  Old</v>
      </c>
      <c r="D140" t="str">
        <f>_xlfn.XLOOKUP(B140,Trans_Demand!A:A,Trans_Demand!B:B)</f>
        <v>Mm2</v>
      </c>
      <c r="E140" t="s">
        <v>214</v>
      </c>
      <c r="F140">
        <f>Trans_Demand!C136</f>
        <v>2055</v>
      </c>
      <c r="G140" s="11">
        <f>SUMIFS(Trans_Demand!D:D,Trans_Demand!A:A,B140,Trans_Demand!C:C,F140)</f>
        <v>8.7602804457077657</v>
      </c>
    </row>
    <row r="141" spans="2:7">
      <c r="B141" t="str">
        <f>Trans_Demand!A137</f>
        <v>COMOTHOldDMD</v>
      </c>
      <c r="C141" t="str">
        <f>"DEMAND - "&amp;_xlfn.XLOOKUP(B141,Demand!E:E,Demand!A:A)&amp;" "&amp;_xlfn.XLOOKUP(B141,Demand!E:E,Demand!B:B)&amp;" "&amp;_xlfn.XLOOKUP(B141,Demand!E:E,Demand!C:C)&amp;" "&amp;_xlfn.XLOOKUP(B141,Demand!E:E,Demand!D:D)</f>
        <v>DEMAND - Commercial Other  Old</v>
      </c>
      <c r="D141" t="str">
        <f>_xlfn.XLOOKUP(B141,Trans_Demand!A:A,Trans_Demand!B:B)</f>
        <v>Mm2</v>
      </c>
      <c r="E141" t="s">
        <v>214</v>
      </c>
      <c r="F141">
        <f>Trans_Demand!C137</f>
        <v>2060</v>
      </c>
      <c r="G141" s="11">
        <f>SUMIFS(Trans_Demand!D:D,Trans_Demand!A:A,B141,Trans_Demand!C:C,F141)</f>
        <v>8.7602804457077657</v>
      </c>
    </row>
    <row r="142" spans="2:7">
      <c r="B142" t="str">
        <f>Trans_Demand!A138</f>
        <v>COMOTHOldDMD</v>
      </c>
      <c r="C142" t="str">
        <f>"DEMAND - "&amp;_xlfn.XLOOKUP(B142,Demand!E:E,Demand!A:A)&amp;" "&amp;_xlfn.XLOOKUP(B142,Demand!E:E,Demand!B:B)&amp;" "&amp;_xlfn.XLOOKUP(B142,Demand!E:E,Demand!C:C)&amp;" "&amp;_xlfn.XLOOKUP(B142,Demand!E:E,Demand!D:D)</f>
        <v>DEMAND - Commercial Other  Old</v>
      </c>
      <c r="D142" t="str">
        <f>_xlfn.XLOOKUP(B142,Trans_Demand!A:A,Trans_Demand!B:B)</f>
        <v>Mm2</v>
      </c>
      <c r="E142" t="s">
        <v>214</v>
      </c>
      <c r="F142">
        <f>Trans_Demand!C138</f>
        <v>2065</v>
      </c>
      <c r="G142" s="11">
        <f>SUMIFS(Trans_Demand!D:D,Trans_Demand!A:A,B142,Trans_Demand!C:C,F142)</f>
        <v>8.7602804457077657</v>
      </c>
    </row>
    <row r="143" spans="2:7">
      <c r="B143" t="str">
        <f>Trans_Demand!A139</f>
        <v>COMOTHOldDMD</v>
      </c>
      <c r="C143" t="str">
        <f>"DEMAND - "&amp;_xlfn.XLOOKUP(B143,Demand!E:E,Demand!A:A)&amp;" "&amp;_xlfn.XLOOKUP(B143,Demand!E:E,Demand!B:B)&amp;" "&amp;_xlfn.XLOOKUP(B143,Demand!E:E,Demand!C:C)&amp;" "&amp;_xlfn.XLOOKUP(B143,Demand!E:E,Demand!D:D)</f>
        <v>DEMAND - Commercial Other  Old</v>
      </c>
      <c r="D143" t="str">
        <f>_xlfn.XLOOKUP(B143,Trans_Demand!A:A,Trans_Demand!B:B)</f>
        <v>Mm2</v>
      </c>
      <c r="E143" t="s">
        <v>214</v>
      </c>
      <c r="F143">
        <f>Trans_Demand!C139</f>
        <v>2070</v>
      </c>
      <c r="G143" s="11">
        <f>SUMIFS(Trans_Demand!D:D,Trans_Demand!A:A,B143,Trans_Demand!C:C,F143)</f>
        <v>8.7602804457077657</v>
      </c>
    </row>
    <row r="144" spans="2:7">
      <c r="B144" t="str">
        <f>Trans_Demand!A140</f>
        <v>COMOTHOldDMD</v>
      </c>
      <c r="C144" t="str">
        <f>"DEMAND - "&amp;_xlfn.XLOOKUP(B144,Demand!E:E,Demand!A:A)&amp;" "&amp;_xlfn.XLOOKUP(B144,Demand!E:E,Demand!B:B)&amp;" "&amp;_xlfn.XLOOKUP(B144,Demand!E:E,Demand!C:C)&amp;" "&amp;_xlfn.XLOOKUP(B144,Demand!E:E,Demand!D:D)</f>
        <v>DEMAND - Commercial Other  Old</v>
      </c>
      <c r="D144" t="str">
        <f>_xlfn.XLOOKUP(B144,Trans_Demand!A:A,Trans_Demand!B:B)</f>
        <v>Mm2</v>
      </c>
      <c r="E144" t="s">
        <v>214</v>
      </c>
      <c r="F144">
        <f>Trans_Demand!C140</f>
        <v>2075</v>
      </c>
      <c r="G144" s="11">
        <f>SUMIFS(Trans_Demand!D:D,Trans_Demand!A:A,B144,Trans_Demand!C:C,F144)</f>
        <v>8.7602804457077657</v>
      </c>
    </row>
    <row r="145" spans="2:7">
      <c r="B145" t="str">
        <f>Trans_Demand!A141</f>
        <v>COMOTHOldDMD</v>
      </c>
      <c r="C145" t="str">
        <f>"DEMAND - "&amp;_xlfn.XLOOKUP(B145,Demand!E:E,Demand!A:A)&amp;" "&amp;_xlfn.XLOOKUP(B145,Demand!E:E,Demand!B:B)&amp;" "&amp;_xlfn.XLOOKUP(B145,Demand!E:E,Demand!C:C)&amp;" "&amp;_xlfn.XLOOKUP(B145,Demand!E:E,Demand!D:D)</f>
        <v>DEMAND - Commercial Other  Old</v>
      </c>
      <c r="D145" t="str">
        <f>_xlfn.XLOOKUP(B145,Trans_Demand!A:A,Trans_Demand!B:B)</f>
        <v>Mm2</v>
      </c>
      <c r="E145" t="s">
        <v>214</v>
      </c>
      <c r="F145">
        <f>Trans_Demand!C141</f>
        <v>2080</v>
      </c>
      <c r="G145" s="11">
        <f>SUMIFS(Trans_Demand!D:D,Trans_Demand!A:A,B145,Trans_Demand!C:C,F145)</f>
        <v>8.7602804457077657</v>
      </c>
    </row>
    <row r="146" spans="2:7">
      <c r="B146" t="str">
        <f>Trans_Demand!A142</f>
        <v>COMOTHOldDMD</v>
      </c>
      <c r="C146" t="str">
        <f>"DEMAND - "&amp;_xlfn.XLOOKUP(B146,Demand!E:E,Demand!A:A)&amp;" "&amp;_xlfn.XLOOKUP(B146,Demand!E:E,Demand!B:B)&amp;" "&amp;_xlfn.XLOOKUP(B146,Demand!E:E,Demand!C:C)&amp;" "&amp;_xlfn.XLOOKUP(B146,Demand!E:E,Demand!D:D)</f>
        <v>DEMAND - Commercial Other  Old</v>
      </c>
      <c r="D146" t="str">
        <f>_xlfn.XLOOKUP(B146,Trans_Demand!A:A,Trans_Demand!B:B)</f>
        <v>Mm2</v>
      </c>
      <c r="E146" t="s">
        <v>214</v>
      </c>
      <c r="F146">
        <f>Trans_Demand!C142</f>
        <v>2085</v>
      </c>
      <c r="G146" s="11">
        <f>SUMIFS(Trans_Demand!D:D,Trans_Demand!A:A,B146,Trans_Demand!C:C,F146)</f>
        <v>8.7602804457077657</v>
      </c>
    </row>
    <row r="147" spans="2:7">
      <c r="B147" t="str">
        <f>Trans_Demand!A143</f>
        <v>COMOTHOldDMD</v>
      </c>
      <c r="C147" t="str">
        <f>"DEMAND - "&amp;_xlfn.XLOOKUP(B147,Demand!E:E,Demand!A:A)&amp;" "&amp;_xlfn.XLOOKUP(B147,Demand!E:E,Demand!B:B)&amp;" "&amp;_xlfn.XLOOKUP(B147,Demand!E:E,Demand!C:C)&amp;" "&amp;_xlfn.XLOOKUP(B147,Demand!E:E,Demand!D:D)</f>
        <v>DEMAND - Commercial Other  Old</v>
      </c>
      <c r="D147" t="str">
        <f>_xlfn.XLOOKUP(B147,Trans_Demand!A:A,Trans_Demand!B:B)</f>
        <v>Mm2</v>
      </c>
      <c r="E147" t="s">
        <v>214</v>
      </c>
      <c r="F147">
        <f>Trans_Demand!C143</f>
        <v>2090</v>
      </c>
      <c r="G147" s="11">
        <f>SUMIFS(Trans_Demand!D:D,Trans_Demand!A:A,B147,Trans_Demand!C:C,F147)</f>
        <v>8.7602804457077657</v>
      </c>
    </row>
    <row r="148" spans="2:7">
      <c r="B148" t="str">
        <f>Trans_Demand!A144</f>
        <v>COMOTHOldDMD</v>
      </c>
      <c r="C148" t="str">
        <f>"DEMAND - "&amp;_xlfn.XLOOKUP(B148,Demand!E:E,Demand!A:A)&amp;" "&amp;_xlfn.XLOOKUP(B148,Demand!E:E,Demand!B:B)&amp;" "&amp;_xlfn.XLOOKUP(B148,Demand!E:E,Demand!C:C)&amp;" "&amp;_xlfn.XLOOKUP(B148,Demand!E:E,Demand!D:D)</f>
        <v>DEMAND - Commercial Other  Old</v>
      </c>
      <c r="D148" t="str">
        <f>_xlfn.XLOOKUP(B148,Trans_Demand!A:A,Trans_Demand!B:B)</f>
        <v>Mm2</v>
      </c>
      <c r="E148" t="s">
        <v>214</v>
      </c>
      <c r="F148">
        <f>Trans_Demand!C144</f>
        <v>2095</v>
      </c>
      <c r="G148" s="11">
        <f>SUMIFS(Trans_Demand!D:D,Trans_Demand!A:A,B148,Trans_Demand!C:C,F148)</f>
        <v>8.7602804457077657</v>
      </c>
    </row>
    <row r="149" spans="2:7">
      <c r="B149" t="str">
        <f>Trans_Demand!A145</f>
        <v>COMOTHOldDMD</v>
      </c>
      <c r="C149" t="str">
        <f>"DEMAND - "&amp;_xlfn.XLOOKUP(B149,Demand!E:E,Demand!A:A)&amp;" "&amp;_xlfn.XLOOKUP(B149,Demand!E:E,Demand!B:B)&amp;" "&amp;_xlfn.XLOOKUP(B149,Demand!E:E,Demand!C:C)&amp;" "&amp;_xlfn.XLOOKUP(B149,Demand!E:E,Demand!D:D)</f>
        <v>DEMAND - Commercial Other  Old</v>
      </c>
      <c r="D149" t="str">
        <f>_xlfn.XLOOKUP(B149,Trans_Demand!A:A,Trans_Demand!B:B)</f>
        <v>Mm2</v>
      </c>
      <c r="E149" t="s">
        <v>214</v>
      </c>
      <c r="F149">
        <f>Trans_Demand!C145</f>
        <v>2100</v>
      </c>
      <c r="G149" s="11">
        <f>SUMIFS(Trans_Demand!D:D,Trans_Demand!A:A,B149,Trans_Demand!C:C,F149)</f>
        <v>8.7602804457077657</v>
      </c>
    </row>
    <row r="150" spans="2:7">
      <c r="B150" t="str">
        <f>Trans_Demand!A146</f>
        <v>COMHOTNewDMD</v>
      </c>
      <c r="C150" t="str">
        <f>"DEMAND - "&amp;_xlfn.XLOOKUP(B150,Demand!E:E,Demand!A:A)&amp;" "&amp;_xlfn.XLOOKUP(B150,Demand!E:E,Demand!B:B)&amp;" "&amp;_xlfn.XLOOKUP(B150,Demand!E:E,Demand!C:C)&amp;" "&amp;_xlfn.XLOOKUP(B150,Demand!E:E,Demand!D:D)</f>
        <v>DEMAND - Commercial Hotel  New</v>
      </c>
      <c r="D150" t="str">
        <f>_xlfn.XLOOKUP(B150,Trans_Demand!A:A,Trans_Demand!B:B)</f>
        <v>Mm2</v>
      </c>
      <c r="E150" t="s">
        <v>214</v>
      </c>
      <c r="F150">
        <f>Trans_Demand!C146</f>
        <v>2019</v>
      </c>
      <c r="G150" s="11">
        <f>SUMIFS(Trans_Demand!D:D,Trans_Demand!A:A,B150,Trans_Demand!C:C,F150)</f>
        <v>0</v>
      </c>
    </row>
    <row r="151" spans="2:7">
      <c r="B151" t="str">
        <f>Trans_Demand!A147</f>
        <v>COMHOTNewDMD</v>
      </c>
      <c r="C151" t="str">
        <f>"DEMAND - "&amp;_xlfn.XLOOKUP(B151,Demand!E:E,Demand!A:A)&amp;" "&amp;_xlfn.XLOOKUP(B151,Demand!E:E,Demand!B:B)&amp;" "&amp;_xlfn.XLOOKUP(B151,Demand!E:E,Demand!C:C)&amp;" "&amp;_xlfn.XLOOKUP(B151,Demand!E:E,Demand!D:D)</f>
        <v>DEMAND - Commercial Hotel  New</v>
      </c>
      <c r="D151" t="str">
        <f>_xlfn.XLOOKUP(B151,Trans_Demand!A:A,Trans_Demand!B:B)</f>
        <v>Mm2</v>
      </c>
      <c r="E151" t="s">
        <v>214</v>
      </c>
      <c r="F151">
        <f>Trans_Demand!C147</f>
        <v>2020</v>
      </c>
      <c r="G151" s="11">
        <f>SUMIFS(Trans_Demand!D:D,Trans_Demand!A:A,B151,Trans_Demand!C:C,F151)</f>
        <v>0.239574023641031</v>
      </c>
    </row>
    <row r="152" spans="2:7">
      <c r="B152" t="str">
        <f>Trans_Demand!A148</f>
        <v>COMHOTNewDMD</v>
      </c>
      <c r="C152" t="str">
        <f>"DEMAND - "&amp;_xlfn.XLOOKUP(B152,Demand!E:E,Demand!A:A)&amp;" "&amp;_xlfn.XLOOKUP(B152,Demand!E:E,Demand!B:B)&amp;" "&amp;_xlfn.XLOOKUP(B152,Demand!E:E,Demand!C:C)&amp;" "&amp;_xlfn.XLOOKUP(B152,Demand!E:E,Demand!D:D)</f>
        <v>DEMAND - Commercial Hotel  New</v>
      </c>
      <c r="D152" t="str">
        <f>_xlfn.XLOOKUP(B152,Trans_Demand!A:A,Trans_Demand!B:B)</f>
        <v>Mm2</v>
      </c>
      <c r="E152" t="s">
        <v>214</v>
      </c>
      <c r="F152">
        <f>Trans_Demand!C148</f>
        <v>2025</v>
      </c>
      <c r="G152" s="11">
        <f>SUMIFS(Trans_Demand!D:D,Trans_Demand!A:A,B152,Trans_Demand!C:C,F152)</f>
        <v>1.4374441418461861</v>
      </c>
    </row>
    <row r="153" spans="2:7">
      <c r="B153" t="str">
        <f>Trans_Demand!A149</f>
        <v>COMHOTNewDMD</v>
      </c>
      <c r="C153" t="str">
        <f>"DEMAND - "&amp;_xlfn.XLOOKUP(B153,Demand!E:E,Demand!A:A)&amp;" "&amp;_xlfn.XLOOKUP(B153,Demand!E:E,Demand!B:B)&amp;" "&amp;_xlfn.XLOOKUP(B153,Demand!E:E,Demand!C:C)&amp;" "&amp;_xlfn.XLOOKUP(B153,Demand!E:E,Demand!D:D)</f>
        <v>DEMAND - Commercial Hotel  New</v>
      </c>
      <c r="D153" t="str">
        <f>_xlfn.XLOOKUP(B153,Trans_Demand!A:A,Trans_Demand!B:B)</f>
        <v>Mm2</v>
      </c>
      <c r="E153" t="s">
        <v>214</v>
      </c>
      <c r="F153">
        <f>Trans_Demand!C149</f>
        <v>2030</v>
      </c>
      <c r="G153" s="11">
        <f>SUMIFS(Trans_Demand!D:D,Trans_Demand!A:A,B153,Trans_Demand!C:C,F153)</f>
        <v>2.6353142600513411</v>
      </c>
    </row>
    <row r="154" spans="2:7">
      <c r="B154" t="str">
        <f>Trans_Demand!A150</f>
        <v>COMHOTNewDMD</v>
      </c>
      <c r="C154" t="str">
        <f>"DEMAND - "&amp;_xlfn.XLOOKUP(B154,Demand!E:E,Demand!A:A)&amp;" "&amp;_xlfn.XLOOKUP(B154,Demand!E:E,Demand!B:B)&amp;" "&amp;_xlfn.XLOOKUP(B154,Demand!E:E,Demand!C:C)&amp;" "&amp;_xlfn.XLOOKUP(B154,Demand!E:E,Demand!D:D)</f>
        <v>DEMAND - Commercial Hotel  New</v>
      </c>
      <c r="D154" t="str">
        <f>_xlfn.XLOOKUP(B154,Trans_Demand!A:A,Trans_Demand!B:B)</f>
        <v>Mm2</v>
      </c>
      <c r="E154" t="s">
        <v>214</v>
      </c>
      <c r="F154">
        <f>Trans_Demand!C150</f>
        <v>2035</v>
      </c>
      <c r="G154" s="11">
        <f>SUMIFS(Trans_Demand!D:D,Trans_Demand!A:A,B154,Trans_Demand!C:C,F154)</f>
        <v>3.833184378256496</v>
      </c>
    </row>
    <row r="155" spans="2:7">
      <c r="B155" t="str">
        <f>Trans_Demand!A151</f>
        <v>COMHOTNewDMD</v>
      </c>
      <c r="C155" t="str">
        <f>"DEMAND - "&amp;_xlfn.XLOOKUP(B155,Demand!E:E,Demand!A:A)&amp;" "&amp;_xlfn.XLOOKUP(B155,Demand!E:E,Demand!B:B)&amp;" "&amp;_xlfn.XLOOKUP(B155,Demand!E:E,Demand!C:C)&amp;" "&amp;_xlfn.XLOOKUP(B155,Demand!E:E,Demand!D:D)</f>
        <v>DEMAND - Commercial Hotel  New</v>
      </c>
      <c r="D155" t="str">
        <f>_xlfn.XLOOKUP(B155,Trans_Demand!A:A,Trans_Demand!B:B)</f>
        <v>Mm2</v>
      </c>
      <c r="E155" t="s">
        <v>214</v>
      </c>
      <c r="F155">
        <f>Trans_Demand!C151</f>
        <v>2040</v>
      </c>
      <c r="G155" s="11">
        <f>SUMIFS(Trans_Demand!D:D,Trans_Demand!A:A,B155,Trans_Demand!C:C,F155)</f>
        <v>5.0310544964616506</v>
      </c>
    </row>
    <row r="156" spans="2:7">
      <c r="B156" t="str">
        <f>Trans_Demand!A152</f>
        <v>COMHOTNewDMD</v>
      </c>
      <c r="C156" t="str">
        <f>"DEMAND - "&amp;_xlfn.XLOOKUP(B156,Demand!E:E,Demand!A:A)&amp;" "&amp;_xlfn.XLOOKUP(B156,Demand!E:E,Demand!B:B)&amp;" "&amp;_xlfn.XLOOKUP(B156,Demand!E:E,Demand!C:C)&amp;" "&amp;_xlfn.XLOOKUP(B156,Demand!E:E,Demand!D:D)</f>
        <v>DEMAND - Commercial Hotel  New</v>
      </c>
      <c r="D156" t="str">
        <f>_xlfn.XLOOKUP(B156,Trans_Demand!A:A,Trans_Demand!B:B)</f>
        <v>Mm2</v>
      </c>
      <c r="E156" t="s">
        <v>214</v>
      </c>
      <c r="F156">
        <f>Trans_Demand!C152</f>
        <v>2045</v>
      </c>
      <c r="G156" s="11">
        <f>SUMIFS(Trans_Demand!D:D,Trans_Demand!A:A,B156,Trans_Demand!C:C,F156)</f>
        <v>6.2289246146668056</v>
      </c>
    </row>
    <row r="157" spans="2:7">
      <c r="B157" t="str">
        <f>Trans_Demand!A153</f>
        <v>COMHOTNewDMD</v>
      </c>
      <c r="C157" t="str">
        <f>"DEMAND - "&amp;_xlfn.XLOOKUP(B157,Demand!E:E,Demand!A:A)&amp;" "&amp;_xlfn.XLOOKUP(B157,Demand!E:E,Demand!B:B)&amp;" "&amp;_xlfn.XLOOKUP(B157,Demand!E:E,Demand!C:C)&amp;" "&amp;_xlfn.XLOOKUP(B157,Demand!E:E,Demand!D:D)</f>
        <v>DEMAND - Commercial Hotel  New</v>
      </c>
      <c r="D157" t="str">
        <f>_xlfn.XLOOKUP(B157,Trans_Demand!A:A,Trans_Demand!B:B)</f>
        <v>Mm2</v>
      </c>
      <c r="E157" t="s">
        <v>214</v>
      </c>
      <c r="F157">
        <f>Trans_Demand!C153</f>
        <v>2050</v>
      </c>
      <c r="G157" s="11">
        <f>SUMIFS(Trans_Demand!D:D,Trans_Demand!A:A,B157,Trans_Demand!C:C,F157)</f>
        <v>7.4267947328719606</v>
      </c>
    </row>
    <row r="158" spans="2:7">
      <c r="B158" t="str">
        <f>Trans_Demand!A154</f>
        <v>COMHOTNewDMD</v>
      </c>
      <c r="C158" t="str">
        <f>"DEMAND - "&amp;_xlfn.XLOOKUP(B158,Demand!E:E,Demand!A:A)&amp;" "&amp;_xlfn.XLOOKUP(B158,Demand!E:E,Demand!B:B)&amp;" "&amp;_xlfn.XLOOKUP(B158,Demand!E:E,Demand!C:C)&amp;" "&amp;_xlfn.XLOOKUP(B158,Demand!E:E,Demand!D:D)</f>
        <v>DEMAND - Commercial Hotel  New</v>
      </c>
      <c r="D158" t="str">
        <f>_xlfn.XLOOKUP(B158,Trans_Demand!A:A,Trans_Demand!B:B)</f>
        <v>Mm2</v>
      </c>
      <c r="E158" t="s">
        <v>214</v>
      </c>
      <c r="F158">
        <f>Trans_Demand!C154</f>
        <v>2055</v>
      </c>
      <c r="G158" s="11">
        <f>SUMIFS(Trans_Demand!D:D,Trans_Demand!A:A,B158,Trans_Demand!C:C,F158)</f>
        <v>8.6246648510771173</v>
      </c>
    </row>
    <row r="159" spans="2:7">
      <c r="B159" t="str">
        <f>Trans_Demand!A155</f>
        <v>COMHOTNewDMD</v>
      </c>
      <c r="C159" t="str">
        <f>"DEMAND - "&amp;_xlfn.XLOOKUP(B159,Demand!E:E,Demand!A:A)&amp;" "&amp;_xlfn.XLOOKUP(B159,Demand!E:E,Demand!B:B)&amp;" "&amp;_xlfn.XLOOKUP(B159,Demand!E:E,Demand!C:C)&amp;" "&amp;_xlfn.XLOOKUP(B159,Demand!E:E,Demand!D:D)</f>
        <v>DEMAND - Commercial Hotel  New</v>
      </c>
      <c r="D159" t="str">
        <f>_xlfn.XLOOKUP(B159,Trans_Demand!A:A,Trans_Demand!B:B)</f>
        <v>Mm2</v>
      </c>
      <c r="E159" t="s">
        <v>214</v>
      </c>
      <c r="F159">
        <f>Trans_Demand!C155</f>
        <v>2060</v>
      </c>
      <c r="G159" s="11">
        <f>SUMIFS(Trans_Demand!D:D,Trans_Demand!A:A,B159,Trans_Demand!C:C,F159)</f>
        <v>9.8225349692822732</v>
      </c>
    </row>
    <row r="160" spans="2:7">
      <c r="B160" t="str">
        <f>Trans_Demand!A156</f>
        <v>COMHOTNewDMD</v>
      </c>
      <c r="C160" t="str">
        <f>"DEMAND - "&amp;_xlfn.XLOOKUP(B160,Demand!E:E,Demand!A:A)&amp;" "&amp;_xlfn.XLOOKUP(B160,Demand!E:E,Demand!B:B)&amp;" "&amp;_xlfn.XLOOKUP(B160,Demand!E:E,Demand!C:C)&amp;" "&amp;_xlfn.XLOOKUP(B160,Demand!E:E,Demand!D:D)</f>
        <v>DEMAND - Commercial Hotel  New</v>
      </c>
      <c r="D160" t="str">
        <f>_xlfn.XLOOKUP(B160,Trans_Demand!A:A,Trans_Demand!B:B)</f>
        <v>Mm2</v>
      </c>
      <c r="E160" t="s">
        <v>214</v>
      </c>
      <c r="F160">
        <f>Trans_Demand!C156</f>
        <v>2065</v>
      </c>
      <c r="G160" s="11">
        <f>SUMIFS(Trans_Demand!D:D,Trans_Demand!A:A,B160,Trans_Demand!C:C,F160)</f>
        <v>11.020405087487431</v>
      </c>
    </row>
    <row r="161" spans="2:7">
      <c r="B161" t="str">
        <f>Trans_Demand!A157</f>
        <v>COMHOTNewDMD</v>
      </c>
      <c r="C161" t="str">
        <f>"DEMAND - "&amp;_xlfn.XLOOKUP(B161,Demand!E:E,Demand!A:A)&amp;" "&amp;_xlfn.XLOOKUP(B161,Demand!E:E,Demand!B:B)&amp;" "&amp;_xlfn.XLOOKUP(B161,Demand!E:E,Demand!C:C)&amp;" "&amp;_xlfn.XLOOKUP(B161,Demand!E:E,Demand!D:D)</f>
        <v>DEMAND - Commercial Hotel  New</v>
      </c>
      <c r="D161" t="str">
        <f>_xlfn.XLOOKUP(B161,Trans_Demand!A:A,Trans_Demand!B:B)</f>
        <v>Mm2</v>
      </c>
      <c r="E161" t="s">
        <v>214</v>
      </c>
      <c r="F161">
        <f>Trans_Demand!C157</f>
        <v>2070</v>
      </c>
      <c r="G161" s="11">
        <f>SUMIFS(Trans_Demand!D:D,Trans_Demand!A:A,B161,Trans_Demand!C:C,F161)</f>
        <v>12.21827520569258</v>
      </c>
    </row>
    <row r="162" spans="2:7">
      <c r="B162" t="str">
        <f>Trans_Demand!A158</f>
        <v>COMHOTNewDMD</v>
      </c>
      <c r="C162" t="str">
        <f>"DEMAND - "&amp;_xlfn.XLOOKUP(B162,Demand!E:E,Demand!A:A)&amp;" "&amp;_xlfn.XLOOKUP(B162,Demand!E:E,Demand!B:B)&amp;" "&amp;_xlfn.XLOOKUP(B162,Demand!E:E,Demand!C:C)&amp;" "&amp;_xlfn.XLOOKUP(B162,Demand!E:E,Demand!D:D)</f>
        <v>DEMAND - Commercial Hotel  New</v>
      </c>
      <c r="D162" t="str">
        <f>_xlfn.XLOOKUP(B162,Trans_Demand!A:A,Trans_Demand!B:B)</f>
        <v>Mm2</v>
      </c>
      <c r="E162" t="s">
        <v>214</v>
      </c>
      <c r="F162">
        <f>Trans_Demand!C158</f>
        <v>2075</v>
      </c>
      <c r="G162" s="11">
        <f>SUMIFS(Trans_Demand!D:D,Trans_Demand!A:A,B162,Trans_Demand!C:C,F162)</f>
        <v>13.416145323897741</v>
      </c>
    </row>
    <row r="163" spans="2:7">
      <c r="B163" t="str">
        <f>Trans_Demand!A159</f>
        <v>COMHOTNewDMD</v>
      </c>
      <c r="C163" t="str">
        <f>"DEMAND - "&amp;_xlfn.XLOOKUP(B163,Demand!E:E,Demand!A:A)&amp;" "&amp;_xlfn.XLOOKUP(B163,Demand!E:E,Demand!B:B)&amp;" "&amp;_xlfn.XLOOKUP(B163,Demand!E:E,Demand!C:C)&amp;" "&amp;_xlfn.XLOOKUP(B163,Demand!E:E,Demand!D:D)</f>
        <v>DEMAND - Commercial Hotel  New</v>
      </c>
      <c r="D163" t="str">
        <f>_xlfn.XLOOKUP(B163,Trans_Demand!A:A,Trans_Demand!B:B)</f>
        <v>Mm2</v>
      </c>
      <c r="E163" t="s">
        <v>214</v>
      </c>
      <c r="F163">
        <f>Trans_Demand!C159</f>
        <v>2080</v>
      </c>
      <c r="G163" s="11">
        <f>SUMIFS(Trans_Demand!D:D,Trans_Demand!A:A,B163,Trans_Demand!C:C,F163)</f>
        <v>14.6140154421029</v>
      </c>
    </row>
    <row r="164" spans="2:7">
      <c r="B164" t="str">
        <f>Trans_Demand!A160</f>
        <v>COMHOTNewDMD</v>
      </c>
      <c r="C164" t="str">
        <f>"DEMAND - "&amp;_xlfn.XLOOKUP(B164,Demand!E:E,Demand!A:A)&amp;" "&amp;_xlfn.XLOOKUP(B164,Demand!E:E,Demand!B:B)&amp;" "&amp;_xlfn.XLOOKUP(B164,Demand!E:E,Demand!C:C)&amp;" "&amp;_xlfn.XLOOKUP(B164,Demand!E:E,Demand!D:D)</f>
        <v>DEMAND - Commercial Hotel  New</v>
      </c>
      <c r="D164" t="str">
        <f>_xlfn.XLOOKUP(B164,Trans_Demand!A:A,Trans_Demand!B:B)</f>
        <v>Mm2</v>
      </c>
      <c r="E164" t="s">
        <v>214</v>
      </c>
      <c r="F164">
        <f>Trans_Demand!C160</f>
        <v>2085</v>
      </c>
      <c r="G164" s="11">
        <f>SUMIFS(Trans_Demand!D:D,Trans_Demand!A:A,B164,Trans_Demand!C:C,F164)</f>
        <v>15.811885560308051</v>
      </c>
    </row>
    <row r="165" spans="2:7">
      <c r="B165" t="str">
        <f>Trans_Demand!A161</f>
        <v>COMHOTNewDMD</v>
      </c>
      <c r="C165" t="str">
        <f>"DEMAND - "&amp;_xlfn.XLOOKUP(B165,Demand!E:E,Demand!A:A)&amp;" "&amp;_xlfn.XLOOKUP(B165,Demand!E:E,Demand!B:B)&amp;" "&amp;_xlfn.XLOOKUP(B165,Demand!E:E,Demand!C:C)&amp;" "&amp;_xlfn.XLOOKUP(B165,Demand!E:E,Demand!D:D)</f>
        <v>DEMAND - Commercial Hotel  New</v>
      </c>
      <c r="D165" t="str">
        <f>_xlfn.XLOOKUP(B165,Trans_Demand!A:A,Trans_Demand!B:B)</f>
        <v>Mm2</v>
      </c>
      <c r="E165" t="s">
        <v>214</v>
      </c>
      <c r="F165">
        <f>Trans_Demand!C161</f>
        <v>2090</v>
      </c>
      <c r="G165" s="11">
        <f>SUMIFS(Trans_Demand!D:D,Trans_Demand!A:A,B165,Trans_Demand!C:C,F165)</f>
        <v>17.009755678513208</v>
      </c>
    </row>
    <row r="166" spans="2:7">
      <c r="B166" t="str">
        <f>Trans_Demand!A162</f>
        <v>COMHOTNewDMD</v>
      </c>
      <c r="C166" t="str">
        <f>"DEMAND - "&amp;_xlfn.XLOOKUP(B166,Demand!E:E,Demand!A:A)&amp;" "&amp;_xlfn.XLOOKUP(B166,Demand!E:E,Demand!B:B)&amp;" "&amp;_xlfn.XLOOKUP(B166,Demand!E:E,Demand!C:C)&amp;" "&amp;_xlfn.XLOOKUP(B166,Demand!E:E,Demand!D:D)</f>
        <v>DEMAND - Commercial Hotel  New</v>
      </c>
      <c r="D166" t="str">
        <f>_xlfn.XLOOKUP(B166,Trans_Demand!A:A,Trans_Demand!B:B)</f>
        <v>Mm2</v>
      </c>
      <c r="E166" t="s">
        <v>214</v>
      </c>
      <c r="F166">
        <f>Trans_Demand!C162</f>
        <v>2095</v>
      </c>
      <c r="G166" s="11">
        <f>SUMIFS(Trans_Demand!D:D,Trans_Demand!A:A,B166,Trans_Demand!C:C,F166)</f>
        <v>18.207625796718361</v>
      </c>
    </row>
    <row r="167" spans="2:7">
      <c r="B167" t="str">
        <f>Trans_Demand!A163</f>
        <v>COMHOTNewDMD</v>
      </c>
      <c r="C167" t="str">
        <f>"DEMAND - "&amp;_xlfn.XLOOKUP(B167,Demand!E:E,Demand!A:A)&amp;" "&amp;_xlfn.XLOOKUP(B167,Demand!E:E,Demand!B:B)&amp;" "&amp;_xlfn.XLOOKUP(B167,Demand!E:E,Demand!C:C)&amp;" "&amp;_xlfn.XLOOKUP(B167,Demand!E:E,Demand!D:D)</f>
        <v>DEMAND - Commercial Hotel  New</v>
      </c>
      <c r="D167" t="str">
        <f>_xlfn.XLOOKUP(B167,Trans_Demand!A:A,Trans_Demand!B:B)</f>
        <v>Mm2</v>
      </c>
      <c r="E167" t="s">
        <v>214</v>
      </c>
      <c r="F167">
        <f>Trans_Demand!C163</f>
        <v>2100</v>
      </c>
      <c r="G167" s="11">
        <f>SUMIFS(Trans_Demand!D:D,Trans_Demand!A:A,B167,Trans_Demand!C:C,F167)</f>
        <v>19.40549591492352</v>
      </c>
    </row>
    <row r="168" spans="2:7">
      <c r="B168" t="str">
        <f>Trans_Demand!A164</f>
        <v>COMRETNewDMD</v>
      </c>
      <c r="C168" t="str">
        <f>"DEMAND - "&amp;_xlfn.XLOOKUP(B168,Demand!E:E,Demand!A:A)&amp;" "&amp;_xlfn.XLOOKUP(B168,Demand!E:E,Demand!B:B)&amp;" "&amp;_xlfn.XLOOKUP(B168,Demand!E:E,Demand!C:C)&amp;" "&amp;_xlfn.XLOOKUP(B168,Demand!E:E,Demand!D:D)</f>
        <v>DEMAND - Commercial Retail  New</v>
      </c>
      <c r="D168" t="str">
        <f>_xlfn.XLOOKUP(B168,Trans_Demand!A:A,Trans_Demand!B:B)</f>
        <v>Mm2</v>
      </c>
      <c r="E168" t="s">
        <v>214</v>
      </c>
      <c r="F168">
        <f>Trans_Demand!C164</f>
        <v>2019</v>
      </c>
      <c r="G168" s="11">
        <f>SUMIFS(Trans_Demand!D:D,Trans_Demand!A:A,B168,Trans_Demand!C:C,F168)</f>
        <v>0</v>
      </c>
    </row>
    <row r="169" spans="2:7">
      <c r="B169" t="str">
        <f>Trans_Demand!A165</f>
        <v>COMRETNewDMD</v>
      </c>
      <c r="C169" t="str">
        <f>"DEMAND - "&amp;_xlfn.XLOOKUP(B169,Demand!E:E,Demand!A:A)&amp;" "&amp;_xlfn.XLOOKUP(B169,Demand!E:E,Demand!B:B)&amp;" "&amp;_xlfn.XLOOKUP(B169,Demand!E:E,Demand!C:C)&amp;" "&amp;_xlfn.XLOOKUP(B169,Demand!E:E,Demand!D:D)</f>
        <v>DEMAND - Commercial Retail  New</v>
      </c>
      <c r="D169" t="str">
        <f>_xlfn.XLOOKUP(B169,Trans_Demand!A:A,Trans_Demand!B:B)</f>
        <v>Mm2</v>
      </c>
      <c r="E169" t="s">
        <v>214</v>
      </c>
      <c r="F169">
        <f>Trans_Demand!C165</f>
        <v>2020</v>
      </c>
      <c r="G169" s="11">
        <f>SUMIFS(Trans_Demand!D:D,Trans_Demand!A:A,B169,Trans_Demand!C:C,F169)</f>
        <v>0.46162112907409131</v>
      </c>
    </row>
    <row r="170" spans="2:7">
      <c r="B170" t="str">
        <f>Trans_Demand!A166</f>
        <v>COMRETNewDMD</v>
      </c>
      <c r="C170" t="str">
        <f>"DEMAND - "&amp;_xlfn.XLOOKUP(B170,Demand!E:E,Demand!A:A)&amp;" "&amp;_xlfn.XLOOKUP(B170,Demand!E:E,Demand!B:B)&amp;" "&amp;_xlfn.XLOOKUP(B170,Demand!E:E,Demand!C:C)&amp;" "&amp;_xlfn.XLOOKUP(B170,Demand!E:E,Demand!D:D)</f>
        <v>DEMAND - Commercial Retail  New</v>
      </c>
      <c r="D170" t="str">
        <f>_xlfn.XLOOKUP(B170,Trans_Demand!A:A,Trans_Demand!B:B)</f>
        <v>Mm2</v>
      </c>
      <c r="E170" t="s">
        <v>214</v>
      </c>
      <c r="F170">
        <f>Trans_Demand!C166</f>
        <v>2025</v>
      </c>
      <c r="G170" s="11">
        <f>SUMIFS(Trans_Demand!D:D,Trans_Demand!A:A,B170,Trans_Demand!C:C,F170)</f>
        <v>2.7697267744445471</v>
      </c>
    </row>
    <row r="171" spans="2:7">
      <c r="B171" t="str">
        <f>Trans_Demand!A167</f>
        <v>COMRETNewDMD</v>
      </c>
      <c r="C171" t="str">
        <f>"DEMAND - "&amp;_xlfn.XLOOKUP(B171,Demand!E:E,Demand!A:A)&amp;" "&amp;_xlfn.XLOOKUP(B171,Demand!E:E,Demand!B:B)&amp;" "&amp;_xlfn.XLOOKUP(B171,Demand!E:E,Demand!C:C)&amp;" "&amp;_xlfn.XLOOKUP(B171,Demand!E:E,Demand!D:D)</f>
        <v>DEMAND - Commercial Retail  New</v>
      </c>
      <c r="D171" t="str">
        <f>_xlfn.XLOOKUP(B171,Trans_Demand!A:A,Trans_Demand!B:B)</f>
        <v>Mm2</v>
      </c>
      <c r="E171" t="s">
        <v>214</v>
      </c>
      <c r="F171">
        <f>Trans_Demand!C167</f>
        <v>2030</v>
      </c>
      <c r="G171" s="11">
        <f>SUMIFS(Trans_Demand!D:D,Trans_Demand!A:A,B171,Trans_Demand!C:C,F171)</f>
        <v>5.0778324198150031</v>
      </c>
    </row>
    <row r="172" spans="2:7">
      <c r="B172" t="str">
        <f>Trans_Demand!A168</f>
        <v>COMRETNewDMD</v>
      </c>
      <c r="C172" t="str">
        <f>"DEMAND - "&amp;_xlfn.XLOOKUP(B172,Demand!E:E,Demand!A:A)&amp;" "&amp;_xlfn.XLOOKUP(B172,Demand!E:E,Demand!B:B)&amp;" "&amp;_xlfn.XLOOKUP(B172,Demand!E:E,Demand!C:C)&amp;" "&amp;_xlfn.XLOOKUP(B172,Demand!E:E,Demand!D:D)</f>
        <v>DEMAND - Commercial Retail  New</v>
      </c>
      <c r="D172" t="str">
        <f>_xlfn.XLOOKUP(B172,Trans_Demand!A:A,Trans_Demand!B:B)</f>
        <v>Mm2</v>
      </c>
      <c r="E172" t="s">
        <v>214</v>
      </c>
      <c r="F172">
        <f>Trans_Demand!C168</f>
        <v>2035</v>
      </c>
      <c r="G172" s="11">
        <f>SUMIFS(Trans_Demand!D:D,Trans_Demand!A:A,B172,Trans_Demand!C:C,F172)</f>
        <v>7.3859380651854591</v>
      </c>
    </row>
    <row r="173" spans="2:7">
      <c r="B173" t="str">
        <f>Trans_Demand!A169</f>
        <v>COMRETNewDMD</v>
      </c>
      <c r="C173" t="str">
        <f>"DEMAND - "&amp;_xlfn.XLOOKUP(B173,Demand!E:E,Demand!A:A)&amp;" "&amp;_xlfn.XLOOKUP(B173,Demand!E:E,Demand!B:B)&amp;" "&amp;_xlfn.XLOOKUP(B173,Demand!E:E,Demand!C:C)&amp;" "&amp;_xlfn.XLOOKUP(B173,Demand!E:E,Demand!D:D)</f>
        <v>DEMAND - Commercial Retail  New</v>
      </c>
      <c r="D173" t="str">
        <f>_xlfn.XLOOKUP(B173,Trans_Demand!A:A,Trans_Demand!B:B)</f>
        <v>Mm2</v>
      </c>
      <c r="E173" t="s">
        <v>214</v>
      </c>
      <c r="F173">
        <f>Trans_Demand!C169</f>
        <v>2040</v>
      </c>
      <c r="G173" s="11">
        <f>SUMIFS(Trans_Demand!D:D,Trans_Demand!A:A,B173,Trans_Demand!C:C,F173)</f>
        <v>9.6940437105559152</v>
      </c>
    </row>
    <row r="174" spans="2:7">
      <c r="B174" t="str">
        <f>Trans_Demand!A170</f>
        <v>COMRETNewDMD</v>
      </c>
      <c r="C174" t="str">
        <f>"DEMAND - "&amp;_xlfn.XLOOKUP(B174,Demand!E:E,Demand!A:A)&amp;" "&amp;_xlfn.XLOOKUP(B174,Demand!E:E,Demand!B:B)&amp;" "&amp;_xlfn.XLOOKUP(B174,Demand!E:E,Demand!C:C)&amp;" "&amp;_xlfn.XLOOKUP(B174,Demand!E:E,Demand!D:D)</f>
        <v>DEMAND - Commercial Retail  New</v>
      </c>
      <c r="D174" t="str">
        <f>_xlfn.XLOOKUP(B174,Trans_Demand!A:A,Trans_Demand!B:B)</f>
        <v>Mm2</v>
      </c>
      <c r="E174" t="s">
        <v>214</v>
      </c>
      <c r="F174">
        <f>Trans_Demand!C170</f>
        <v>2045</v>
      </c>
      <c r="G174" s="11">
        <f>SUMIFS(Trans_Demand!D:D,Trans_Demand!A:A,B174,Trans_Demand!C:C,F174)</f>
        <v>12.00214935592637</v>
      </c>
    </row>
    <row r="175" spans="2:7">
      <c r="B175" t="str">
        <f>Trans_Demand!A171</f>
        <v>COMRETNewDMD</v>
      </c>
      <c r="C175" t="str">
        <f>"DEMAND - "&amp;_xlfn.XLOOKUP(B175,Demand!E:E,Demand!A:A)&amp;" "&amp;_xlfn.XLOOKUP(B175,Demand!E:E,Demand!B:B)&amp;" "&amp;_xlfn.XLOOKUP(B175,Demand!E:E,Demand!C:C)&amp;" "&amp;_xlfn.XLOOKUP(B175,Demand!E:E,Demand!D:D)</f>
        <v>DEMAND - Commercial Retail  New</v>
      </c>
      <c r="D175" t="str">
        <f>_xlfn.XLOOKUP(B175,Trans_Demand!A:A,Trans_Demand!B:B)</f>
        <v>Mm2</v>
      </c>
      <c r="E175" t="s">
        <v>214</v>
      </c>
      <c r="F175">
        <f>Trans_Demand!C171</f>
        <v>2050</v>
      </c>
      <c r="G175" s="11">
        <f>SUMIFS(Trans_Demand!D:D,Trans_Demand!A:A,B175,Trans_Demand!C:C,F175)</f>
        <v>14.310255001296831</v>
      </c>
    </row>
    <row r="176" spans="2:7">
      <c r="B176" t="str">
        <f>Trans_Demand!A172</f>
        <v>COMRETNewDMD</v>
      </c>
      <c r="C176" t="str">
        <f>"DEMAND - "&amp;_xlfn.XLOOKUP(B176,Demand!E:E,Demand!A:A)&amp;" "&amp;_xlfn.XLOOKUP(B176,Demand!E:E,Demand!B:B)&amp;" "&amp;_xlfn.XLOOKUP(B176,Demand!E:E,Demand!C:C)&amp;" "&amp;_xlfn.XLOOKUP(B176,Demand!E:E,Demand!D:D)</f>
        <v>DEMAND - Commercial Retail  New</v>
      </c>
      <c r="D176" t="str">
        <f>_xlfn.XLOOKUP(B176,Trans_Demand!A:A,Trans_Demand!B:B)</f>
        <v>Mm2</v>
      </c>
      <c r="E176" t="s">
        <v>214</v>
      </c>
      <c r="F176">
        <f>Trans_Demand!C172</f>
        <v>2055</v>
      </c>
      <c r="G176" s="11">
        <f>SUMIFS(Trans_Demand!D:D,Trans_Demand!A:A,B176,Trans_Demand!C:C,F176)</f>
        <v>16.618360646667281</v>
      </c>
    </row>
    <row r="177" spans="2:7">
      <c r="B177" t="str">
        <f>Trans_Demand!A173</f>
        <v>COMRETNewDMD</v>
      </c>
      <c r="C177" t="str">
        <f>"DEMAND - "&amp;_xlfn.XLOOKUP(B177,Demand!E:E,Demand!A:A)&amp;" "&amp;_xlfn.XLOOKUP(B177,Demand!E:E,Demand!B:B)&amp;" "&amp;_xlfn.XLOOKUP(B177,Demand!E:E,Demand!C:C)&amp;" "&amp;_xlfn.XLOOKUP(B177,Demand!E:E,Demand!D:D)</f>
        <v>DEMAND - Commercial Retail  New</v>
      </c>
      <c r="D177" t="str">
        <f>_xlfn.XLOOKUP(B177,Trans_Demand!A:A,Trans_Demand!B:B)</f>
        <v>Mm2</v>
      </c>
      <c r="E177" t="s">
        <v>214</v>
      </c>
      <c r="F177">
        <f>Trans_Demand!C173</f>
        <v>2060</v>
      </c>
      <c r="G177" s="11">
        <f>SUMIFS(Trans_Demand!D:D,Trans_Demand!A:A,B177,Trans_Demand!C:C,F177)</f>
        <v>18.926466292037741</v>
      </c>
    </row>
    <row r="178" spans="2:7">
      <c r="B178" t="str">
        <f>Trans_Demand!A174</f>
        <v>COMRETNewDMD</v>
      </c>
      <c r="C178" t="str">
        <f>"DEMAND - "&amp;_xlfn.XLOOKUP(B178,Demand!E:E,Demand!A:A)&amp;" "&amp;_xlfn.XLOOKUP(B178,Demand!E:E,Demand!B:B)&amp;" "&amp;_xlfn.XLOOKUP(B178,Demand!E:E,Demand!C:C)&amp;" "&amp;_xlfn.XLOOKUP(B178,Demand!E:E,Demand!D:D)</f>
        <v>DEMAND - Commercial Retail  New</v>
      </c>
      <c r="D178" t="str">
        <f>_xlfn.XLOOKUP(B178,Trans_Demand!A:A,Trans_Demand!B:B)</f>
        <v>Mm2</v>
      </c>
      <c r="E178" t="s">
        <v>214</v>
      </c>
      <c r="F178">
        <f>Trans_Demand!C174</f>
        <v>2065</v>
      </c>
      <c r="G178" s="11">
        <f>SUMIFS(Trans_Demand!D:D,Trans_Demand!A:A,B178,Trans_Demand!C:C,F178)</f>
        <v>21.234571937408202</v>
      </c>
    </row>
    <row r="179" spans="2:7">
      <c r="B179" t="str">
        <f>Trans_Demand!A175</f>
        <v>COMRETNewDMD</v>
      </c>
      <c r="C179" t="str">
        <f>"DEMAND - "&amp;_xlfn.XLOOKUP(B179,Demand!E:E,Demand!A:A)&amp;" "&amp;_xlfn.XLOOKUP(B179,Demand!E:E,Demand!B:B)&amp;" "&amp;_xlfn.XLOOKUP(B179,Demand!E:E,Demand!C:C)&amp;" "&amp;_xlfn.XLOOKUP(B179,Demand!E:E,Demand!D:D)</f>
        <v>DEMAND - Commercial Retail  New</v>
      </c>
      <c r="D179" t="str">
        <f>_xlfn.XLOOKUP(B179,Trans_Demand!A:A,Trans_Demand!B:B)</f>
        <v>Mm2</v>
      </c>
      <c r="E179" t="s">
        <v>214</v>
      </c>
      <c r="F179">
        <f>Trans_Demand!C175</f>
        <v>2070</v>
      </c>
      <c r="G179" s="11">
        <f>SUMIFS(Trans_Demand!D:D,Trans_Demand!A:A,B179,Trans_Demand!C:C,F179)</f>
        <v>23.542677582778651</v>
      </c>
    </row>
    <row r="180" spans="2:7">
      <c r="B180" t="str">
        <f>Trans_Demand!A176</f>
        <v>COMRETNewDMD</v>
      </c>
      <c r="C180" t="str">
        <f>"DEMAND - "&amp;_xlfn.XLOOKUP(B180,Demand!E:E,Demand!A:A)&amp;" "&amp;_xlfn.XLOOKUP(B180,Demand!E:E,Demand!B:B)&amp;" "&amp;_xlfn.XLOOKUP(B180,Demand!E:E,Demand!C:C)&amp;" "&amp;_xlfn.XLOOKUP(B180,Demand!E:E,Demand!D:D)</f>
        <v>DEMAND - Commercial Retail  New</v>
      </c>
      <c r="D180" t="str">
        <f>_xlfn.XLOOKUP(B180,Trans_Demand!A:A,Trans_Demand!B:B)</f>
        <v>Mm2</v>
      </c>
      <c r="E180" t="s">
        <v>214</v>
      </c>
      <c r="F180">
        <f>Trans_Demand!C176</f>
        <v>2075</v>
      </c>
      <c r="G180" s="11">
        <f>SUMIFS(Trans_Demand!D:D,Trans_Demand!A:A,B180,Trans_Demand!C:C,F180)</f>
        <v>25.850783228149108</v>
      </c>
    </row>
    <row r="181" spans="2:7">
      <c r="B181" t="str">
        <f>Trans_Demand!A177</f>
        <v>COMRETNewDMD</v>
      </c>
      <c r="C181" t="str">
        <f>"DEMAND - "&amp;_xlfn.XLOOKUP(B181,Demand!E:E,Demand!A:A)&amp;" "&amp;_xlfn.XLOOKUP(B181,Demand!E:E,Demand!B:B)&amp;" "&amp;_xlfn.XLOOKUP(B181,Demand!E:E,Demand!C:C)&amp;" "&amp;_xlfn.XLOOKUP(B181,Demand!E:E,Demand!D:D)</f>
        <v>DEMAND - Commercial Retail  New</v>
      </c>
      <c r="D181" t="str">
        <f>_xlfn.XLOOKUP(B181,Trans_Demand!A:A,Trans_Demand!B:B)</f>
        <v>Mm2</v>
      </c>
      <c r="E181" t="s">
        <v>214</v>
      </c>
      <c r="F181">
        <f>Trans_Demand!C177</f>
        <v>2080</v>
      </c>
      <c r="G181" s="11">
        <f>SUMIFS(Trans_Demand!D:D,Trans_Demand!A:A,B181,Trans_Demand!C:C,F181)</f>
        <v>28.158888873519569</v>
      </c>
    </row>
    <row r="182" spans="2:7">
      <c r="B182" t="str">
        <f>Trans_Demand!A178</f>
        <v>COMRETNewDMD</v>
      </c>
      <c r="C182" t="str">
        <f>"DEMAND - "&amp;_xlfn.XLOOKUP(B182,Demand!E:E,Demand!A:A)&amp;" "&amp;_xlfn.XLOOKUP(B182,Demand!E:E,Demand!B:B)&amp;" "&amp;_xlfn.XLOOKUP(B182,Demand!E:E,Demand!C:C)&amp;" "&amp;_xlfn.XLOOKUP(B182,Demand!E:E,Demand!D:D)</f>
        <v>DEMAND - Commercial Retail  New</v>
      </c>
      <c r="D182" t="str">
        <f>_xlfn.XLOOKUP(B182,Trans_Demand!A:A,Trans_Demand!B:B)</f>
        <v>Mm2</v>
      </c>
      <c r="E182" t="s">
        <v>214</v>
      </c>
      <c r="F182">
        <f>Trans_Demand!C178</f>
        <v>2085</v>
      </c>
      <c r="G182" s="11">
        <f>SUMIFS(Trans_Demand!D:D,Trans_Demand!A:A,B182,Trans_Demand!C:C,F182)</f>
        <v>30.466994518890029</v>
      </c>
    </row>
    <row r="183" spans="2:7">
      <c r="B183" t="str">
        <f>Trans_Demand!A179</f>
        <v>COMRETNewDMD</v>
      </c>
      <c r="C183" t="str">
        <f>"DEMAND - "&amp;_xlfn.XLOOKUP(B183,Demand!E:E,Demand!A:A)&amp;" "&amp;_xlfn.XLOOKUP(B183,Demand!E:E,Demand!B:B)&amp;" "&amp;_xlfn.XLOOKUP(B183,Demand!E:E,Demand!C:C)&amp;" "&amp;_xlfn.XLOOKUP(B183,Demand!E:E,Demand!D:D)</f>
        <v>DEMAND - Commercial Retail  New</v>
      </c>
      <c r="D183" t="str">
        <f>_xlfn.XLOOKUP(B183,Trans_Demand!A:A,Trans_Demand!B:B)</f>
        <v>Mm2</v>
      </c>
      <c r="E183" t="s">
        <v>214</v>
      </c>
      <c r="F183">
        <f>Trans_Demand!C179</f>
        <v>2090</v>
      </c>
      <c r="G183" s="11">
        <f>SUMIFS(Trans_Demand!D:D,Trans_Demand!A:A,B183,Trans_Demand!C:C,F183)</f>
        <v>32.775100164260479</v>
      </c>
    </row>
    <row r="184" spans="2:7">
      <c r="B184" t="str">
        <f>Trans_Demand!A180</f>
        <v>COMRETNewDMD</v>
      </c>
      <c r="C184" t="str">
        <f>"DEMAND - "&amp;_xlfn.XLOOKUP(B184,Demand!E:E,Demand!A:A)&amp;" "&amp;_xlfn.XLOOKUP(B184,Demand!E:E,Demand!B:B)&amp;" "&amp;_xlfn.XLOOKUP(B184,Demand!E:E,Demand!C:C)&amp;" "&amp;_xlfn.XLOOKUP(B184,Demand!E:E,Demand!D:D)</f>
        <v>DEMAND - Commercial Retail  New</v>
      </c>
      <c r="D184" t="str">
        <f>_xlfn.XLOOKUP(B184,Trans_Demand!A:A,Trans_Demand!B:B)</f>
        <v>Mm2</v>
      </c>
      <c r="E184" t="s">
        <v>214</v>
      </c>
      <c r="F184">
        <f>Trans_Demand!C180</f>
        <v>2095</v>
      </c>
      <c r="G184" s="11">
        <f>SUMIFS(Trans_Demand!D:D,Trans_Demand!A:A,B184,Trans_Demand!C:C,F184)</f>
        <v>35.083205809630932</v>
      </c>
    </row>
    <row r="185" spans="2:7">
      <c r="B185" t="str">
        <f>Trans_Demand!A181</f>
        <v>COMRETNewDMD</v>
      </c>
      <c r="C185" t="str">
        <f>"DEMAND - "&amp;_xlfn.XLOOKUP(B185,Demand!E:E,Demand!A:A)&amp;" "&amp;_xlfn.XLOOKUP(B185,Demand!E:E,Demand!B:B)&amp;" "&amp;_xlfn.XLOOKUP(B185,Demand!E:E,Demand!C:C)&amp;" "&amp;_xlfn.XLOOKUP(B185,Demand!E:E,Demand!D:D)</f>
        <v>DEMAND - Commercial Retail  New</v>
      </c>
      <c r="D185" t="str">
        <f>_xlfn.XLOOKUP(B185,Trans_Demand!A:A,Trans_Demand!B:B)</f>
        <v>Mm2</v>
      </c>
      <c r="E185" t="s">
        <v>214</v>
      </c>
      <c r="F185">
        <f>Trans_Demand!C181</f>
        <v>2100</v>
      </c>
      <c r="G185" s="11">
        <f>SUMIFS(Trans_Demand!D:D,Trans_Demand!A:A,B185,Trans_Demand!C:C,F185)</f>
        <v>37.391311455001393</v>
      </c>
    </row>
    <row r="186" spans="2:7">
      <c r="B186" t="str">
        <f>Trans_Demand!A182</f>
        <v>COMOFFNewDMD</v>
      </c>
      <c r="C186" t="str">
        <f>"DEMAND - "&amp;_xlfn.XLOOKUP(B186,Demand!E:E,Demand!A:A)&amp;" "&amp;_xlfn.XLOOKUP(B186,Demand!E:E,Demand!B:B)&amp;" "&amp;_xlfn.XLOOKUP(B186,Demand!E:E,Demand!C:C)&amp;" "&amp;_xlfn.XLOOKUP(B186,Demand!E:E,Demand!D:D)</f>
        <v>DEMAND - Commercial Office  New</v>
      </c>
      <c r="D186" t="str">
        <f>_xlfn.XLOOKUP(B186,Trans_Demand!A:A,Trans_Demand!B:B)</f>
        <v>Mm2</v>
      </c>
      <c r="E186" t="s">
        <v>214</v>
      </c>
      <c r="F186">
        <f>Trans_Demand!C182</f>
        <v>2019</v>
      </c>
      <c r="G186" s="11">
        <f>SUMIFS(Trans_Demand!D:D,Trans_Demand!A:A,B186,Trans_Demand!C:C,F186)</f>
        <v>0</v>
      </c>
    </row>
    <row r="187" spans="2:7">
      <c r="B187" t="str">
        <f>Trans_Demand!A183</f>
        <v>COMOFFNewDMD</v>
      </c>
      <c r="C187" t="str">
        <f>"DEMAND - "&amp;_xlfn.XLOOKUP(B187,Demand!E:E,Demand!A:A)&amp;" "&amp;_xlfn.XLOOKUP(B187,Demand!E:E,Demand!B:B)&amp;" "&amp;_xlfn.XLOOKUP(B187,Demand!E:E,Demand!C:C)&amp;" "&amp;_xlfn.XLOOKUP(B187,Demand!E:E,Demand!D:D)</f>
        <v>DEMAND - Commercial Office  New</v>
      </c>
      <c r="D187" t="str">
        <f>_xlfn.XLOOKUP(B187,Trans_Demand!A:A,Trans_Demand!B:B)</f>
        <v>Mm2</v>
      </c>
      <c r="E187" t="s">
        <v>214</v>
      </c>
      <c r="F187">
        <f>Trans_Demand!C183</f>
        <v>2020</v>
      </c>
      <c r="G187" s="11">
        <f>SUMIFS(Trans_Demand!D:D,Trans_Demand!A:A,B187,Trans_Demand!C:C,F187)</f>
        <v>1.463296379292889</v>
      </c>
    </row>
    <row r="188" spans="2:7">
      <c r="B188" t="str">
        <f>Trans_Demand!A184</f>
        <v>COMOFFNewDMD</v>
      </c>
      <c r="C188" t="str">
        <f>"DEMAND - "&amp;_xlfn.XLOOKUP(B188,Demand!E:E,Demand!A:A)&amp;" "&amp;_xlfn.XLOOKUP(B188,Demand!E:E,Demand!B:B)&amp;" "&amp;_xlfn.XLOOKUP(B188,Demand!E:E,Demand!C:C)&amp;" "&amp;_xlfn.XLOOKUP(B188,Demand!E:E,Demand!D:D)</f>
        <v>DEMAND - Commercial Office  New</v>
      </c>
      <c r="D188" t="str">
        <f>_xlfn.XLOOKUP(B188,Trans_Demand!A:A,Trans_Demand!B:B)</f>
        <v>Mm2</v>
      </c>
      <c r="E188" t="s">
        <v>214</v>
      </c>
      <c r="F188">
        <f>Trans_Demand!C184</f>
        <v>2025</v>
      </c>
      <c r="G188" s="11">
        <f>SUMIFS(Trans_Demand!D:D,Trans_Demand!A:A,B188,Trans_Demand!C:C,F188)</f>
        <v>8.7797782757573319</v>
      </c>
    </row>
    <row r="189" spans="2:7">
      <c r="B189" t="str">
        <f>Trans_Demand!A185</f>
        <v>COMOFFNewDMD</v>
      </c>
      <c r="C189" t="str">
        <f>"DEMAND - "&amp;_xlfn.XLOOKUP(B189,Demand!E:E,Demand!A:A)&amp;" "&amp;_xlfn.XLOOKUP(B189,Demand!E:E,Demand!B:B)&amp;" "&amp;_xlfn.XLOOKUP(B189,Demand!E:E,Demand!C:C)&amp;" "&amp;_xlfn.XLOOKUP(B189,Demand!E:E,Demand!D:D)</f>
        <v>DEMAND - Commercial Office  New</v>
      </c>
      <c r="D189" t="str">
        <f>_xlfn.XLOOKUP(B189,Trans_Demand!A:A,Trans_Demand!B:B)</f>
        <v>Mm2</v>
      </c>
      <c r="E189" t="s">
        <v>214</v>
      </c>
      <c r="F189">
        <f>Trans_Demand!C185</f>
        <v>2030</v>
      </c>
      <c r="G189" s="11">
        <f>SUMIFS(Trans_Demand!D:D,Trans_Demand!A:A,B189,Trans_Demand!C:C,F189)</f>
        <v>16.096260172221779</v>
      </c>
    </row>
    <row r="190" spans="2:7">
      <c r="B190" t="str">
        <f>Trans_Demand!A186</f>
        <v>COMOFFNewDMD</v>
      </c>
      <c r="C190" t="str">
        <f>"DEMAND - "&amp;_xlfn.XLOOKUP(B190,Demand!E:E,Demand!A:A)&amp;" "&amp;_xlfn.XLOOKUP(B190,Demand!E:E,Demand!B:B)&amp;" "&amp;_xlfn.XLOOKUP(B190,Demand!E:E,Demand!C:C)&amp;" "&amp;_xlfn.XLOOKUP(B190,Demand!E:E,Demand!D:D)</f>
        <v>DEMAND - Commercial Office  New</v>
      </c>
      <c r="D190" t="str">
        <f>_xlfn.XLOOKUP(B190,Trans_Demand!A:A,Trans_Demand!B:B)</f>
        <v>Mm2</v>
      </c>
      <c r="E190" t="s">
        <v>214</v>
      </c>
      <c r="F190">
        <f>Trans_Demand!C186</f>
        <v>2035</v>
      </c>
      <c r="G190" s="11">
        <f>SUMIFS(Trans_Demand!D:D,Trans_Demand!A:A,B190,Trans_Demand!C:C,F190)</f>
        <v>23.412742068686221</v>
      </c>
    </row>
    <row r="191" spans="2:7">
      <c r="B191" t="str">
        <f>Trans_Demand!A187</f>
        <v>COMOFFNewDMD</v>
      </c>
      <c r="C191" t="str">
        <f>"DEMAND - "&amp;_xlfn.XLOOKUP(B191,Demand!E:E,Demand!A:A)&amp;" "&amp;_xlfn.XLOOKUP(B191,Demand!E:E,Demand!B:B)&amp;" "&amp;_xlfn.XLOOKUP(B191,Demand!E:E,Demand!C:C)&amp;" "&amp;_xlfn.XLOOKUP(B191,Demand!E:E,Demand!D:D)</f>
        <v>DEMAND - Commercial Office  New</v>
      </c>
      <c r="D191" t="str">
        <f>_xlfn.XLOOKUP(B191,Trans_Demand!A:A,Trans_Demand!B:B)</f>
        <v>Mm2</v>
      </c>
      <c r="E191" t="s">
        <v>214</v>
      </c>
      <c r="F191">
        <f>Trans_Demand!C187</f>
        <v>2040</v>
      </c>
      <c r="G191" s="11">
        <f>SUMIFS(Trans_Demand!D:D,Trans_Demand!A:A,B191,Trans_Demand!C:C,F191)</f>
        <v>30.72922396515067</v>
      </c>
    </row>
    <row r="192" spans="2:7">
      <c r="B192" t="str">
        <f>Trans_Demand!A188</f>
        <v>COMOFFNewDMD</v>
      </c>
      <c r="C192" t="str">
        <f>"DEMAND - "&amp;_xlfn.XLOOKUP(B192,Demand!E:E,Demand!A:A)&amp;" "&amp;_xlfn.XLOOKUP(B192,Demand!E:E,Demand!B:B)&amp;" "&amp;_xlfn.XLOOKUP(B192,Demand!E:E,Demand!C:C)&amp;" "&amp;_xlfn.XLOOKUP(B192,Demand!E:E,Demand!D:D)</f>
        <v>DEMAND - Commercial Office  New</v>
      </c>
      <c r="D192" t="str">
        <f>_xlfn.XLOOKUP(B192,Trans_Demand!A:A,Trans_Demand!B:B)</f>
        <v>Mm2</v>
      </c>
      <c r="E192" t="s">
        <v>214</v>
      </c>
      <c r="F192">
        <f>Trans_Demand!C188</f>
        <v>2045</v>
      </c>
      <c r="G192" s="11">
        <f>SUMIFS(Trans_Demand!D:D,Trans_Demand!A:A,B192,Trans_Demand!C:C,F192)</f>
        <v>38.045705861615112</v>
      </c>
    </row>
    <row r="193" spans="2:7">
      <c r="B193" t="str">
        <f>Trans_Demand!A189</f>
        <v>COMOFFNewDMD</v>
      </c>
      <c r="C193" t="str">
        <f>"DEMAND - "&amp;_xlfn.XLOOKUP(B193,Demand!E:E,Demand!A:A)&amp;" "&amp;_xlfn.XLOOKUP(B193,Demand!E:E,Demand!B:B)&amp;" "&amp;_xlfn.XLOOKUP(B193,Demand!E:E,Demand!C:C)&amp;" "&amp;_xlfn.XLOOKUP(B193,Demand!E:E,Demand!D:D)</f>
        <v>DEMAND - Commercial Office  New</v>
      </c>
      <c r="D193" t="str">
        <f>_xlfn.XLOOKUP(B193,Trans_Demand!A:A,Trans_Demand!B:B)</f>
        <v>Mm2</v>
      </c>
      <c r="E193" t="s">
        <v>214</v>
      </c>
      <c r="F193">
        <f>Trans_Demand!C189</f>
        <v>2050</v>
      </c>
      <c r="G193" s="11">
        <f>SUMIFS(Trans_Demand!D:D,Trans_Demand!A:A,B193,Trans_Demand!C:C,F193)</f>
        <v>45.362187758079557</v>
      </c>
    </row>
    <row r="194" spans="2:7">
      <c r="B194" t="str">
        <f>Trans_Demand!A190</f>
        <v>COMOFFNewDMD</v>
      </c>
      <c r="C194" t="str">
        <f>"DEMAND - "&amp;_xlfn.XLOOKUP(B194,Demand!E:E,Demand!A:A)&amp;" "&amp;_xlfn.XLOOKUP(B194,Demand!E:E,Demand!B:B)&amp;" "&amp;_xlfn.XLOOKUP(B194,Demand!E:E,Demand!C:C)&amp;" "&amp;_xlfn.XLOOKUP(B194,Demand!E:E,Demand!D:D)</f>
        <v>DEMAND - Commercial Office  New</v>
      </c>
      <c r="D194" t="str">
        <f>_xlfn.XLOOKUP(B194,Trans_Demand!A:A,Trans_Demand!B:B)</f>
        <v>Mm2</v>
      </c>
      <c r="E194" t="s">
        <v>214</v>
      </c>
      <c r="F194">
        <f>Trans_Demand!C190</f>
        <v>2055</v>
      </c>
      <c r="G194" s="11">
        <f>SUMIFS(Trans_Demand!D:D,Trans_Demand!A:A,B194,Trans_Demand!C:C,F194)</f>
        <v>52.678669654544002</v>
      </c>
    </row>
    <row r="195" spans="2:7">
      <c r="B195" t="str">
        <f>Trans_Demand!A191</f>
        <v>COMOFFNewDMD</v>
      </c>
      <c r="C195" t="str">
        <f>"DEMAND - "&amp;_xlfn.XLOOKUP(B195,Demand!E:E,Demand!A:A)&amp;" "&amp;_xlfn.XLOOKUP(B195,Demand!E:E,Demand!B:B)&amp;" "&amp;_xlfn.XLOOKUP(B195,Demand!E:E,Demand!C:C)&amp;" "&amp;_xlfn.XLOOKUP(B195,Demand!E:E,Demand!D:D)</f>
        <v>DEMAND - Commercial Office  New</v>
      </c>
      <c r="D195" t="str">
        <f>_xlfn.XLOOKUP(B195,Trans_Demand!A:A,Trans_Demand!B:B)</f>
        <v>Mm2</v>
      </c>
      <c r="E195" t="s">
        <v>214</v>
      </c>
      <c r="F195">
        <f>Trans_Demand!C191</f>
        <v>2060</v>
      </c>
      <c r="G195" s="11">
        <f>SUMIFS(Trans_Demand!D:D,Trans_Demand!A:A,B195,Trans_Demand!C:C,F195)</f>
        <v>59.995151551008448</v>
      </c>
    </row>
    <row r="196" spans="2:7">
      <c r="B196" t="str">
        <f>Trans_Demand!A192</f>
        <v>COMOFFNewDMD</v>
      </c>
      <c r="C196" t="str">
        <f>"DEMAND - "&amp;_xlfn.XLOOKUP(B196,Demand!E:E,Demand!A:A)&amp;" "&amp;_xlfn.XLOOKUP(B196,Demand!E:E,Demand!B:B)&amp;" "&amp;_xlfn.XLOOKUP(B196,Demand!E:E,Demand!C:C)&amp;" "&amp;_xlfn.XLOOKUP(B196,Demand!E:E,Demand!D:D)</f>
        <v>DEMAND - Commercial Office  New</v>
      </c>
      <c r="D196" t="str">
        <f>_xlfn.XLOOKUP(B196,Trans_Demand!A:A,Trans_Demand!B:B)</f>
        <v>Mm2</v>
      </c>
      <c r="E196" t="s">
        <v>214</v>
      </c>
      <c r="F196">
        <f>Trans_Demand!C192</f>
        <v>2065</v>
      </c>
      <c r="G196" s="11">
        <f>SUMIFS(Trans_Demand!D:D,Trans_Demand!A:A,B196,Trans_Demand!C:C,F196)</f>
        <v>67.311633447472886</v>
      </c>
    </row>
    <row r="197" spans="2:7">
      <c r="B197" t="str">
        <f>Trans_Demand!A193</f>
        <v>COMOFFNewDMD</v>
      </c>
      <c r="C197" t="str">
        <f>"DEMAND - "&amp;_xlfn.XLOOKUP(B197,Demand!E:E,Demand!A:A)&amp;" "&amp;_xlfn.XLOOKUP(B197,Demand!E:E,Demand!B:B)&amp;" "&amp;_xlfn.XLOOKUP(B197,Demand!E:E,Demand!C:C)&amp;" "&amp;_xlfn.XLOOKUP(B197,Demand!E:E,Demand!D:D)</f>
        <v>DEMAND - Commercial Office  New</v>
      </c>
      <c r="D197" t="str">
        <f>_xlfn.XLOOKUP(B197,Trans_Demand!A:A,Trans_Demand!B:B)</f>
        <v>Mm2</v>
      </c>
      <c r="E197" t="s">
        <v>214</v>
      </c>
      <c r="F197">
        <f>Trans_Demand!C193</f>
        <v>2070</v>
      </c>
      <c r="G197" s="11">
        <f>SUMIFS(Trans_Demand!D:D,Trans_Demand!A:A,B197,Trans_Demand!C:C,F197)</f>
        <v>74.628115343937324</v>
      </c>
    </row>
    <row r="198" spans="2:7">
      <c r="B198" t="str">
        <f>Trans_Demand!A194</f>
        <v>COMOFFNewDMD</v>
      </c>
      <c r="C198" t="str">
        <f>"DEMAND - "&amp;_xlfn.XLOOKUP(B198,Demand!E:E,Demand!A:A)&amp;" "&amp;_xlfn.XLOOKUP(B198,Demand!E:E,Demand!B:B)&amp;" "&amp;_xlfn.XLOOKUP(B198,Demand!E:E,Demand!C:C)&amp;" "&amp;_xlfn.XLOOKUP(B198,Demand!E:E,Demand!D:D)</f>
        <v>DEMAND - Commercial Office  New</v>
      </c>
      <c r="D198" t="str">
        <f>_xlfn.XLOOKUP(B198,Trans_Demand!A:A,Trans_Demand!B:B)</f>
        <v>Mm2</v>
      </c>
      <c r="E198" t="s">
        <v>214</v>
      </c>
      <c r="F198">
        <f>Trans_Demand!C194</f>
        <v>2075</v>
      </c>
      <c r="G198" s="11">
        <f>SUMIFS(Trans_Demand!D:D,Trans_Demand!A:A,B198,Trans_Demand!C:C,F198)</f>
        <v>81.944597240401762</v>
      </c>
    </row>
    <row r="199" spans="2:7">
      <c r="B199" t="str">
        <f>Trans_Demand!A195</f>
        <v>COMOFFNewDMD</v>
      </c>
      <c r="C199" t="str">
        <f>"DEMAND - "&amp;_xlfn.XLOOKUP(B199,Demand!E:E,Demand!A:A)&amp;" "&amp;_xlfn.XLOOKUP(B199,Demand!E:E,Demand!B:B)&amp;" "&amp;_xlfn.XLOOKUP(B199,Demand!E:E,Demand!C:C)&amp;" "&amp;_xlfn.XLOOKUP(B199,Demand!E:E,Demand!D:D)</f>
        <v>DEMAND - Commercial Office  New</v>
      </c>
      <c r="D199" t="str">
        <f>_xlfn.XLOOKUP(B199,Trans_Demand!A:A,Trans_Demand!B:B)</f>
        <v>Mm2</v>
      </c>
      <c r="E199" t="s">
        <v>214</v>
      </c>
      <c r="F199">
        <f>Trans_Demand!C195</f>
        <v>2080</v>
      </c>
      <c r="G199" s="11">
        <f>SUMIFS(Trans_Demand!D:D,Trans_Demand!A:A,B199,Trans_Demand!C:C,F199)</f>
        <v>89.261079136866201</v>
      </c>
    </row>
    <row r="200" spans="2:7">
      <c r="B200" t="str">
        <f>Trans_Demand!A196</f>
        <v>COMOFFNewDMD</v>
      </c>
      <c r="C200" t="str">
        <f>"DEMAND - "&amp;_xlfn.XLOOKUP(B200,Demand!E:E,Demand!A:A)&amp;" "&amp;_xlfn.XLOOKUP(B200,Demand!E:E,Demand!B:B)&amp;" "&amp;_xlfn.XLOOKUP(B200,Demand!E:E,Demand!C:C)&amp;" "&amp;_xlfn.XLOOKUP(B200,Demand!E:E,Demand!D:D)</f>
        <v>DEMAND - Commercial Office  New</v>
      </c>
      <c r="D200" t="str">
        <f>_xlfn.XLOOKUP(B200,Trans_Demand!A:A,Trans_Demand!B:B)</f>
        <v>Mm2</v>
      </c>
      <c r="E200" t="s">
        <v>214</v>
      </c>
      <c r="F200">
        <f>Trans_Demand!C196</f>
        <v>2085</v>
      </c>
      <c r="G200" s="11">
        <f>SUMIFS(Trans_Demand!D:D,Trans_Demand!A:A,B200,Trans_Demand!C:C,F200)</f>
        <v>96.577561033330639</v>
      </c>
    </row>
    <row r="201" spans="2:7">
      <c r="B201" t="str">
        <f>Trans_Demand!A197</f>
        <v>COMOFFNewDMD</v>
      </c>
      <c r="C201" t="str">
        <f>"DEMAND - "&amp;_xlfn.XLOOKUP(B201,Demand!E:E,Demand!A:A)&amp;" "&amp;_xlfn.XLOOKUP(B201,Demand!E:E,Demand!B:B)&amp;" "&amp;_xlfn.XLOOKUP(B201,Demand!E:E,Demand!C:C)&amp;" "&amp;_xlfn.XLOOKUP(B201,Demand!E:E,Demand!D:D)</f>
        <v>DEMAND - Commercial Office  New</v>
      </c>
      <c r="D201" t="str">
        <f>_xlfn.XLOOKUP(B201,Trans_Demand!A:A,Trans_Demand!B:B)</f>
        <v>Mm2</v>
      </c>
      <c r="E201" t="s">
        <v>214</v>
      </c>
      <c r="F201">
        <f>Trans_Demand!C197</f>
        <v>2090</v>
      </c>
      <c r="G201" s="11">
        <f>SUMIFS(Trans_Demand!D:D,Trans_Demand!A:A,B201,Trans_Demand!C:C,F201)</f>
        <v>103.89404292979511</v>
      </c>
    </row>
    <row r="202" spans="2:7">
      <c r="B202" t="str">
        <f>Trans_Demand!A198</f>
        <v>COMOFFNewDMD</v>
      </c>
      <c r="C202" t="str">
        <f>"DEMAND - "&amp;_xlfn.XLOOKUP(B202,Demand!E:E,Demand!A:A)&amp;" "&amp;_xlfn.XLOOKUP(B202,Demand!E:E,Demand!B:B)&amp;" "&amp;_xlfn.XLOOKUP(B202,Demand!E:E,Demand!C:C)&amp;" "&amp;_xlfn.XLOOKUP(B202,Demand!E:E,Demand!D:D)</f>
        <v>DEMAND - Commercial Office  New</v>
      </c>
      <c r="D202" t="str">
        <f>_xlfn.XLOOKUP(B202,Trans_Demand!A:A,Trans_Demand!B:B)</f>
        <v>Mm2</v>
      </c>
      <c r="E202" t="s">
        <v>214</v>
      </c>
      <c r="F202">
        <f>Trans_Demand!C198</f>
        <v>2095</v>
      </c>
      <c r="G202" s="11">
        <f>SUMIFS(Trans_Demand!D:D,Trans_Demand!A:A,B202,Trans_Demand!C:C,F202)</f>
        <v>111.2105248262595</v>
      </c>
    </row>
    <row r="203" spans="2:7">
      <c r="B203" t="str">
        <f>Trans_Demand!A199</f>
        <v>COMOFFNewDMD</v>
      </c>
      <c r="C203" t="str">
        <f>"DEMAND - "&amp;_xlfn.XLOOKUP(B203,Demand!E:E,Demand!A:A)&amp;" "&amp;_xlfn.XLOOKUP(B203,Demand!E:E,Demand!B:B)&amp;" "&amp;_xlfn.XLOOKUP(B203,Demand!E:E,Demand!C:C)&amp;" "&amp;_xlfn.XLOOKUP(B203,Demand!E:E,Demand!D:D)</f>
        <v>DEMAND - Commercial Office  New</v>
      </c>
      <c r="D203" t="str">
        <f>_xlfn.XLOOKUP(B203,Trans_Demand!A:A,Trans_Demand!B:B)</f>
        <v>Mm2</v>
      </c>
      <c r="E203" t="s">
        <v>214</v>
      </c>
      <c r="F203">
        <f>Trans_Demand!C199</f>
        <v>2100</v>
      </c>
      <c r="G203" s="11">
        <f>SUMIFS(Trans_Demand!D:D,Trans_Demand!A:A,B203,Trans_Demand!C:C,F203)</f>
        <v>118.527006722724</v>
      </c>
    </row>
    <row r="204" spans="2:7">
      <c r="B204" t="str">
        <f>Trans_Demand!A200</f>
        <v>COMHOPNewDMD</v>
      </c>
      <c r="C204" t="str">
        <f>"DEMAND - "&amp;_xlfn.XLOOKUP(B204,Demand!E:E,Demand!A:A)&amp;" "&amp;_xlfn.XLOOKUP(B204,Demand!E:E,Demand!B:B)&amp;" "&amp;_xlfn.XLOOKUP(B204,Demand!E:E,Demand!C:C)&amp;" "&amp;_xlfn.XLOOKUP(B204,Demand!E:E,Demand!D:D)</f>
        <v>DEMAND - Commercial Hospital  New</v>
      </c>
      <c r="D204" t="str">
        <f>_xlfn.XLOOKUP(B204,Trans_Demand!A:A,Trans_Demand!B:B)</f>
        <v>Mm2</v>
      </c>
      <c r="E204" t="s">
        <v>214</v>
      </c>
      <c r="F204">
        <f>Trans_Demand!C200</f>
        <v>2019</v>
      </c>
      <c r="G204" s="11">
        <f>SUMIFS(Trans_Demand!D:D,Trans_Demand!A:A,B204,Trans_Demand!C:C,F204)</f>
        <v>0</v>
      </c>
    </row>
    <row r="205" spans="2:7">
      <c r="B205" t="str">
        <f>Trans_Demand!A201</f>
        <v>COMHOPNewDMD</v>
      </c>
      <c r="C205" t="str">
        <f>"DEMAND - "&amp;_xlfn.XLOOKUP(B205,Demand!E:E,Demand!A:A)&amp;" "&amp;_xlfn.XLOOKUP(B205,Demand!E:E,Demand!B:B)&amp;" "&amp;_xlfn.XLOOKUP(B205,Demand!E:E,Demand!C:C)&amp;" "&amp;_xlfn.XLOOKUP(B205,Demand!E:E,Demand!D:D)</f>
        <v>DEMAND - Commercial Hospital  New</v>
      </c>
      <c r="D205" t="str">
        <f>_xlfn.XLOOKUP(B205,Trans_Demand!A:A,Trans_Demand!B:B)</f>
        <v>Mm2</v>
      </c>
      <c r="E205" t="s">
        <v>214</v>
      </c>
      <c r="F205">
        <f>Trans_Demand!C201</f>
        <v>2020</v>
      </c>
      <c r="G205" s="11">
        <f>SUMIFS(Trans_Demand!D:D,Trans_Demand!A:A,B205,Trans_Demand!C:C,F205)</f>
        <v>0.8876451856733294</v>
      </c>
    </row>
    <row r="206" spans="2:7">
      <c r="B206" t="str">
        <f>Trans_Demand!A202</f>
        <v>COMHOPNewDMD</v>
      </c>
      <c r="C206" t="str">
        <f>"DEMAND - "&amp;_xlfn.XLOOKUP(B206,Demand!E:E,Demand!A:A)&amp;" "&amp;_xlfn.XLOOKUP(B206,Demand!E:E,Demand!B:B)&amp;" "&amp;_xlfn.XLOOKUP(B206,Demand!E:E,Demand!C:C)&amp;" "&amp;_xlfn.XLOOKUP(B206,Demand!E:E,Demand!D:D)</f>
        <v>DEMAND - Commercial Hospital  New</v>
      </c>
      <c r="D206" t="str">
        <f>_xlfn.XLOOKUP(B206,Trans_Demand!A:A,Trans_Demand!B:B)</f>
        <v>Mm2</v>
      </c>
      <c r="E206" t="s">
        <v>214</v>
      </c>
      <c r="F206">
        <f>Trans_Demand!C202</f>
        <v>2025</v>
      </c>
      <c r="G206" s="11">
        <f>SUMIFS(Trans_Demand!D:D,Trans_Demand!A:A,B206,Trans_Demand!C:C,F206)</f>
        <v>5.3258711140399759</v>
      </c>
    </row>
    <row r="207" spans="2:7">
      <c r="B207" t="str">
        <f>Trans_Demand!A203</f>
        <v>COMHOPNewDMD</v>
      </c>
      <c r="C207" t="str">
        <f>"DEMAND - "&amp;_xlfn.XLOOKUP(B207,Demand!E:E,Demand!A:A)&amp;" "&amp;_xlfn.XLOOKUP(B207,Demand!E:E,Demand!B:B)&amp;" "&amp;_xlfn.XLOOKUP(B207,Demand!E:E,Demand!C:C)&amp;" "&amp;_xlfn.XLOOKUP(B207,Demand!E:E,Demand!D:D)</f>
        <v>DEMAND - Commercial Hospital  New</v>
      </c>
      <c r="D207" t="str">
        <f>_xlfn.XLOOKUP(B207,Trans_Demand!A:A,Trans_Demand!B:B)</f>
        <v>Mm2</v>
      </c>
      <c r="E207" t="s">
        <v>214</v>
      </c>
      <c r="F207">
        <f>Trans_Demand!C203</f>
        <v>2030</v>
      </c>
      <c r="G207" s="11">
        <f>SUMIFS(Trans_Demand!D:D,Trans_Demand!A:A,B207,Trans_Demand!C:C,F207)</f>
        <v>9.7640970424066218</v>
      </c>
    </row>
    <row r="208" spans="2:7">
      <c r="B208" t="str">
        <f>Trans_Demand!A204</f>
        <v>COMHOPNewDMD</v>
      </c>
      <c r="C208" t="str">
        <f>"DEMAND - "&amp;_xlfn.XLOOKUP(B208,Demand!E:E,Demand!A:A)&amp;" "&amp;_xlfn.XLOOKUP(B208,Demand!E:E,Demand!B:B)&amp;" "&amp;_xlfn.XLOOKUP(B208,Demand!E:E,Demand!C:C)&amp;" "&amp;_xlfn.XLOOKUP(B208,Demand!E:E,Demand!D:D)</f>
        <v>DEMAND - Commercial Hospital  New</v>
      </c>
      <c r="D208" t="str">
        <f>_xlfn.XLOOKUP(B208,Trans_Demand!A:A,Trans_Demand!B:B)</f>
        <v>Mm2</v>
      </c>
      <c r="E208" t="s">
        <v>214</v>
      </c>
      <c r="F208">
        <f>Trans_Demand!C204</f>
        <v>2035</v>
      </c>
      <c r="G208" s="11">
        <f>SUMIFS(Trans_Demand!D:D,Trans_Demand!A:A,B208,Trans_Demand!C:C,F208)</f>
        <v>14.20232297077327</v>
      </c>
    </row>
    <row r="209" spans="2:7">
      <c r="B209" t="str">
        <f>Trans_Demand!A205</f>
        <v>COMHOPNewDMD</v>
      </c>
      <c r="C209" t="str">
        <f>"DEMAND - "&amp;_xlfn.XLOOKUP(B209,Demand!E:E,Demand!A:A)&amp;" "&amp;_xlfn.XLOOKUP(B209,Demand!E:E,Demand!B:B)&amp;" "&amp;_xlfn.XLOOKUP(B209,Demand!E:E,Demand!C:C)&amp;" "&amp;_xlfn.XLOOKUP(B209,Demand!E:E,Demand!D:D)</f>
        <v>DEMAND - Commercial Hospital  New</v>
      </c>
      <c r="D209" t="str">
        <f>_xlfn.XLOOKUP(B209,Trans_Demand!A:A,Trans_Demand!B:B)</f>
        <v>Mm2</v>
      </c>
      <c r="E209" t="s">
        <v>214</v>
      </c>
      <c r="F209">
        <f>Trans_Demand!C205</f>
        <v>2040</v>
      </c>
      <c r="G209" s="11">
        <f>SUMIFS(Trans_Demand!D:D,Trans_Demand!A:A,B209,Trans_Demand!C:C,F209)</f>
        <v>18.640548899139919</v>
      </c>
    </row>
    <row r="210" spans="2:7">
      <c r="B210" t="str">
        <f>Trans_Demand!A206</f>
        <v>COMHOPNewDMD</v>
      </c>
      <c r="C210" t="str">
        <f>"DEMAND - "&amp;_xlfn.XLOOKUP(B210,Demand!E:E,Demand!A:A)&amp;" "&amp;_xlfn.XLOOKUP(B210,Demand!E:E,Demand!B:B)&amp;" "&amp;_xlfn.XLOOKUP(B210,Demand!E:E,Demand!C:C)&amp;" "&amp;_xlfn.XLOOKUP(B210,Demand!E:E,Demand!D:D)</f>
        <v>DEMAND - Commercial Hospital  New</v>
      </c>
      <c r="D210" t="str">
        <f>_xlfn.XLOOKUP(B210,Trans_Demand!A:A,Trans_Demand!B:B)</f>
        <v>Mm2</v>
      </c>
      <c r="E210" t="s">
        <v>214</v>
      </c>
      <c r="F210">
        <f>Trans_Demand!C206</f>
        <v>2045</v>
      </c>
      <c r="G210" s="11">
        <f>SUMIFS(Trans_Demand!D:D,Trans_Demand!A:A,B210,Trans_Demand!C:C,F210)</f>
        <v>23.07877482750656</v>
      </c>
    </row>
    <row r="211" spans="2:7">
      <c r="B211" t="str">
        <f>Trans_Demand!A207</f>
        <v>COMHOPNewDMD</v>
      </c>
      <c r="C211" t="str">
        <f>"DEMAND - "&amp;_xlfn.XLOOKUP(B211,Demand!E:E,Demand!A:A)&amp;" "&amp;_xlfn.XLOOKUP(B211,Demand!E:E,Demand!B:B)&amp;" "&amp;_xlfn.XLOOKUP(B211,Demand!E:E,Demand!C:C)&amp;" "&amp;_xlfn.XLOOKUP(B211,Demand!E:E,Demand!D:D)</f>
        <v>DEMAND - Commercial Hospital  New</v>
      </c>
      <c r="D211" t="str">
        <f>_xlfn.XLOOKUP(B211,Trans_Demand!A:A,Trans_Demand!B:B)</f>
        <v>Mm2</v>
      </c>
      <c r="E211" t="s">
        <v>214</v>
      </c>
      <c r="F211">
        <f>Trans_Demand!C207</f>
        <v>2050</v>
      </c>
      <c r="G211" s="11">
        <f>SUMIFS(Trans_Demand!D:D,Trans_Demand!A:A,B211,Trans_Demand!C:C,F211)</f>
        <v>27.517000755873209</v>
      </c>
    </row>
    <row r="212" spans="2:7">
      <c r="B212" t="str">
        <f>Trans_Demand!A208</f>
        <v>COMHOPNewDMD</v>
      </c>
      <c r="C212" t="str">
        <f>"DEMAND - "&amp;_xlfn.XLOOKUP(B212,Demand!E:E,Demand!A:A)&amp;" "&amp;_xlfn.XLOOKUP(B212,Demand!E:E,Demand!B:B)&amp;" "&amp;_xlfn.XLOOKUP(B212,Demand!E:E,Demand!C:C)&amp;" "&amp;_xlfn.XLOOKUP(B212,Demand!E:E,Demand!D:D)</f>
        <v>DEMAND - Commercial Hospital  New</v>
      </c>
      <c r="D212" t="str">
        <f>_xlfn.XLOOKUP(B212,Trans_Demand!A:A,Trans_Demand!B:B)</f>
        <v>Mm2</v>
      </c>
      <c r="E212" t="s">
        <v>214</v>
      </c>
      <c r="F212">
        <f>Trans_Demand!C208</f>
        <v>2055</v>
      </c>
      <c r="G212" s="11">
        <f>SUMIFS(Trans_Demand!D:D,Trans_Demand!A:A,B212,Trans_Demand!C:C,F212)</f>
        <v>31.955226684239861</v>
      </c>
    </row>
    <row r="213" spans="2:7">
      <c r="B213" t="str">
        <f>Trans_Demand!A209</f>
        <v>COMHOPNewDMD</v>
      </c>
      <c r="C213" t="str">
        <f>"DEMAND - "&amp;_xlfn.XLOOKUP(B213,Demand!E:E,Demand!A:A)&amp;" "&amp;_xlfn.XLOOKUP(B213,Demand!E:E,Demand!B:B)&amp;" "&amp;_xlfn.XLOOKUP(B213,Demand!E:E,Demand!C:C)&amp;" "&amp;_xlfn.XLOOKUP(B213,Demand!E:E,Demand!D:D)</f>
        <v>DEMAND - Commercial Hospital  New</v>
      </c>
      <c r="D213" t="str">
        <f>_xlfn.XLOOKUP(B213,Trans_Demand!A:A,Trans_Demand!B:B)</f>
        <v>Mm2</v>
      </c>
      <c r="E213" t="s">
        <v>214</v>
      </c>
      <c r="F213">
        <f>Trans_Demand!C209</f>
        <v>2060</v>
      </c>
      <c r="G213" s="11">
        <f>SUMIFS(Trans_Demand!D:D,Trans_Demand!A:A,B213,Trans_Demand!C:C,F213)</f>
        <v>36.393452612606509</v>
      </c>
    </row>
    <row r="214" spans="2:7">
      <c r="B214" t="str">
        <f>Trans_Demand!A210</f>
        <v>COMHOPNewDMD</v>
      </c>
      <c r="C214" t="str">
        <f>"DEMAND - "&amp;_xlfn.XLOOKUP(B214,Demand!E:E,Demand!A:A)&amp;" "&amp;_xlfn.XLOOKUP(B214,Demand!E:E,Demand!B:B)&amp;" "&amp;_xlfn.XLOOKUP(B214,Demand!E:E,Demand!C:C)&amp;" "&amp;_xlfn.XLOOKUP(B214,Demand!E:E,Demand!D:D)</f>
        <v>DEMAND - Commercial Hospital  New</v>
      </c>
      <c r="D214" t="str">
        <f>_xlfn.XLOOKUP(B214,Trans_Demand!A:A,Trans_Demand!B:B)</f>
        <v>Mm2</v>
      </c>
      <c r="E214" t="s">
        <v>214</v>
      </c>
      <c r="F214">
        <f>Trans_Demand!C210</f>
        <v>2065</v>
      </c>
      <c r="G214" s="11">
        <f>SUMIFS(Trans_Demand!D:D,Trans_Demand!A:A,B214,Trans_Demand!C:C,F214)</f>
        <v>40.831678540973158</v>
      </c>
    </row>
    <row r="215" spans="2:7">
      <c r="B215" t="str">
        <f>Trans_Demand!A211</f>
        <v>COMHOPNewDMD</v>
      </c>
      <c r="C215" t="str">
        <f>"DEMAND - "&amp;_xlfn.XLOOKUP(B215,Demand!E:E,Demand!A:A)&amp;" "&amp;_xlfn.XLOOKUP(B215,Demand!E:E,Demand!B:B)&amp;" "&amp;_xlfn.XLOOKUP(B215,Demand!E:E,Demand!C:C)&amp;" "&amp;_xlfn.XLOOKUP(B215,Demand!E:E,Demand!D:D)</f>
        <v>DEMAND - Commercial Hospital  New</v>
      </c>
      <c r="D215" t="str">
        <f>_xlfn.XLOOKUP(B215,Trans_Demand!A:A,Trans_Demand!B:B)</f>
        <v>Mm2</v>
      </c>
      <c r="E215" t="s">
        <v>214</v>
      </c>
      <c r="F215">
        <f>Trans_Demand!C211</f>
        <v>2070</v>
      </c>
      <c r="G215" s="11">
        <f>SUMIFS(Trans_Demand!D:D,Trans_Demand!A:A,B215,Trans_Demand!C:C,F215)</f>
        <v>45.269904469339806</v>
      </c>
    </row>
    <row r="216" spans="2:7">
      <c r="B216" t="str">
        <f>Trans_Demand!A212</f>
        <v>COMHOPNewDMD</v>
      </c>
      <c r="C216" t="str">
        <f>"DEMAND - "&amp;_xlfn.XLOOKUP(B216,Demand!E:E,Demand!A:A)&amp;" "&amp;_xlfn.XLOOKUP(B216,Demand!E:E,Demand!B:B)&amp;" "&amp;_xlfn.XLOOKUP(B216,Demand!E:E,Demand!C:C)&amp;" "&amp;_xlfn.XLOOKUP(B216,Demand!E:E,Demand!D:D)</f>
        <v>DEMAND - Commercial Hospital  New</v>
      </c>
      <c r="D216" t="str">
        <f>_xlfn.XLOOKUP(B216,Trans_Demand!A:A,Trans_Demand!B:B)</f>
        <v>Mm2</v>
      </c>
      <c r="E216" t="s">
        <v>214</v>
      </c>
      <c r="F216">
        <f>Trans_Demand!C212</f>
        <v>2075</v>
      </c>
      <c r="G216" s="11">
        <f>SUMIFS(Trans_Demand!D:D,Trans_Demand!A:A,B216,Trans_Demand!C:C,F216)</f>
        <v>49.708130397706462</v>
      </c>
    </row>
    <row r="217" spans="2:7">
      <c r="B217" t="str">
        <f>Trans_Demand!A213</f>
        <v>COMHOPNewDMD</v>
      </c>
      <c r="C217" t="str">
        <f>"DEMAND - "&amp;_xlfn.XLOOKUP(B217,Demand!E:E,Demand!A:A)&amp;" "&amp;_xlfn.XLOOKUP(B217,Demand!E:E,Demand!B:B)&amp;" "&amp;_xlfn.XLOOKUP(B217,Demand!E:E,Demand!C:C)&amp;" "&amp;_xlfn.XLOOKUP(B217,Demand!E:E,Demand!D:D)</f>
        <v>DEMAND - Commercial Hospital  New</v>
      </c>
      <c r="D217" t="str">
        <f>_xlfn.XLOOKUP(B217,Trans_Demand!A:A,Trans_Demand!B:B)</f>
        <v>Mm2</v>
      </c>
      <c r="E217" t="s">
        <v>214</v>
      </c>
      <c r="F217">
        <f>Trans_Demand!C213</f>
        <v>2080</v>
      </c>
      <c r="G217" s="11">
        <f>SUMIFS(Trans_Demand!D:D,Trans_Demand!A:A,B217,Trans_Demand!C:C,F217)</f>
        <v>54.146356326073096</v>
      </c>
    </row>
    <row r="218" spans="2:7">
      <c r="B218" t="str">
        <f>Trans_Demand!A214</f>
        <v>COMHOPNewDMD</v>
      </c>
      <c r="C218" t="str">
        <f>"DEMAND - "&amp;_xlfn.XLOOKUP(B218,Demand!E:E,Demand!A:A)&amp;" "&amp;_xlfn.XLOOKUP(B218,Demand!E:E,Demand!B:B)&amp;" "&amp;_xlfn.XLOOKUP(B218,Demand!E:E,Demand!C:C)&amp;" "&amp;_xlfn.XLOOKUP(B218,Demand!E:E,Demand!D:D)</f>
        <v>DEMAND - Commercial Hospital  New</v>
      </c>
      <c r="D218" t="str">
        <f>_xlfn.XLOOKUP(B218,Trans_Demand!A:A,Trans_Demand!B:B)</f>
        <v>Mm2</v>
      </c>
      <c r="E218" t="s">
        <v>214</v>
      </c>
      <c r="F218">
        <f>Trans_Demand!C214</f>
        <v>2085</v>
      </c>
      <c r="G218" s="11">
        <f>SUMIFS(Trans_Demand!D:D,Trans_Demand!A:A,B218,Trans_Demand!C:C,F218)</f>
        <v>58.584582254439752</v>
      </c>
    </row>
    <row r="219" spans="2:7">
      <c r="B219" t="str">
        <f>Trans_Demand!A215</f>
        <v>COMHOPNewDMD</v>
      </c>
      <c r="C219" t="str">
        <f>"DEMAND - "&amp;_xlfn.XLOOKUP(B219,Demand!E:E,Demand!A:A)&amp;" "&amp;_xlfn.XLOOKUP(B219,Demand!E:E,Demand!B:B)&amp;" "&amp;_xlfn.XLOOKUP(B219,Demand!E:E,Demand!C:C)&amp;" "&amp;_xlfn.XLOOKUP(B219,Demand!E:E,Demand!D:D)</f>
        <v>DEMAND - Commercial Hospital  New</v>
      </c>
      <c r="D219" t="str">
        <f>_xlfn.XLOOKUP(B219,Trans_Demand!A:A,Trans_Demand!B:B)</f>
        <v>Mm2</v>
      </c>
      <c r="E219" t="s">
        <v>214</v>
      </c>
      <c r="F219">
        <f>Trans_Demand!C215</f>
        <v>2090</v>
      </c>
      <c r="G219" s="11">
        <f>SUMIFS(Trans_Demand!D:D,Trans_Demand!A:A,B219,Trans_Demand!C:C,F219)</f>
        <v>63.022808182806401</v>
      </c>
    </row>
    <row r="220" spans="2:7">
      <c r="B220" t="str">
        <f>Trans_Demand!A216</f>
        <v>COMHOPNewDMD</v>
      </c>
      <c r="C220" t="str">
        <f>"DEMAND - "&amp;_xlfn.XLOOKUP(B220,Demand!E:E,Demand!A:A)&amp;" "&amp;_xlfn.XLOOKUP(B220,Demand!E:E,Demand!B:B)&amp;" "&amp;_xlfn.XLOOKUP(B220,Demand!E:E,Demand!C:C)&amp;" "&amp;_xlfn.XLOOKUP(B220,Demand!E:E,Demand!D:D)</f>
        <v>DEMAND - Commercial Hospital  New</v>
      </c>
      <c r="D220" t="str">
        <f>_xlfn.XLOOKUP(B220,Trans_Demand!A:A,Trans_Demand!B:B)</f>
        <v>Mm2</v>
      </c>
      <c r="E220" t="s">
        <v>214</v>
      </c>
      <c r="F220">
        <f>Trans_Demand!C216</f>
        <v>2095</v>
      </c>
      <c r="G220" s="11">
        <f>SUMIFS(Trans_Demand!D:D,Trans_Demand!A:A,B220,Trans_Demand!C:C,F220)</f>
        <v>67.461034111173049</v>
      </c>
    </row>
    <row r="221" spans="2:7">
      <c r="B221" t="str">
        <f>Trans_Demand!A217</f>
        <v>COMHOPNewDMD</v>
      </c>
      <c r="C221" t="str">
        <f>"DEMAND - "&amp;_xlfn.XLOOKUP(B221,Demand!E:E,Demand!A:A)&amp;" "&amp;_xlfn.XLOOKUP(B221,Demand!E:E,Demand!B:B)&amp;" "&amp;_xlfn.XLOOKUP(B221,Demand!E:E,Demand!C:C)&amp;" "&amp;_xlfn.XLOOKUP(B221,Demand!E:E,Demand!D:D)</f>
        <v>DEMAND - Commercial Hospital  New</v>
      </c>
      <c r="D221" t="str">
        <f>_xlfn.XLOOKUP(B221,Trans_Demand!A:A,Trans_Demand!B:B)</f>
        <v>Mm2</v>
      </c>
      <c r="E221" t="s">
        <v>214</v>
      </c>
      <c r="F221">
        <f>Trans_Demand!C217</f>
        <v>2100</v>
      </c>
      <c r="G221" s="11">
        <f>SUMIFS(Trans_Demand!D:D,Trans_Demand!A:A,B221,Trans_Demand!C:C,F221)</f>
        <v>71.899260039539698</v>
      </c>
    </row>
    <row r="222" spans="2:7">
      <c r="B222" t="str">
        <f>Trans_Demand!A218</f>
        <v>COMEDUNewDMD</v>
      </c>
      <c r="C222" t="str">
        <f>"DEMAND - "&amp;_xlfn.XLOOKUP(B222,Demand!E:E,Demand!A:A)&amp;" "&amp;_xlfn.XLOOKUP(B222,Demand!E:E,Demand!B:B)&amp;" "&amp;_xlfn.XLOOKUP(B222,Demand!E:E,Demand!C:C)&amp;" "&amp;_xlfn.XLOOKUP(B222,Demand!E:E,Demand!D:D)</f>
        <v>DEMAND - Commercial Educationnal  New</v>
      </c>
      <c r="D222" t="str">
        <f>_xlfn.XLOOKUP(B222,Trans_Demand!A:A,Trans_Demand!B:B)</f>
        <v>Mm2</v>
      </c>
      <c r="E222" t="s">
        <v>214</v>
      </c>
      <c r="F222">
        <f>Trans_Demand!C218</f>
        <v>2019</v>
      </c>
      <c r="G222" s="11">
        <f>SUMIFS(Trans_Demand!D:D,Trans_Demand!A:A,B222,Trans_Demand!C:C,F222)</f>
        <v>0</v>
      </c>
    </row>
    <row r="223" spans="2:7">
      <c r="B223" t="str">
        <f>Trans_Demand!A219</f>
        <v>COMEDUNewDMD</v>
      </c>
      <c r="C223" t="str">
        <f>"DEMAND - "&amp;_xlfn.XLOOKUP(B223,Demand!E:E,Demand!A:A)&amp;" "&amp;_xlfn.XLOOKUP(B223,Demand!E:E,Demand!B:B)&amp;" "&amp;_xlfn.XLOOKUP(B223,Demand!E:E,Demand!C:C)&amp;" "&amp;_xlfn.XLOOKUP(B223,Demand!E:E,Demand!D:D)</f>
        <v>DEMAND - Commercial Educationnal  New</v>
      </c>
      <c r="D223" t="str">
        <f>_xlfn.XLOOKUP(B223,Trans_Demand!A:A,Trans_Demand!B:B)</f>
        <v>Mm2</v>
      </c>
      <c r="E223" t="s">
        <v>214</v>
      </c>
      <c r="F223">
        <f>Trans_Demand!C219</f>
        <v>2020</v>
      </c>
      <c r="G223" s="11">
        <f>SUMIFS(Trans_Demand!D:D,Trans_Demand!A:A,B223,Trans_Demand!C:C,F223)</f>
        <v>0.97130992551778672</v>
      </c>
    </row>
    <row r="224" spans="2:7">
      <c r="B224" t="str">
        <f>Trans_Demand!A220</f>
        <v>COMEDUNewDMD</v>
      </c>
      <c r="C224" t="str">
        <f>"DEMAND - "&amp;_xlfn.XLOOKUP(B224,Demand!E:E,Demand!A:A)&amp;" "&amp;_xlfn.XLOOKUP(B224,Demand!E:E,Demand!B:B)&amp;" "&amp;_xlfn.XLOOKUP(B224,Demand!E:E,Demand!C:C)&amp;" "&amp;_xlfn.XLOOKUP(B224,Demand!E:E,Demand!D:D)</f>
        <v>DEMAND - Commercial Educationnal  New</v>
      </c>
      <c r="D224" t="str">
        <f>_xlfn.XLOOKUP(B224,Trans_Demand!A:A,Trans_Demand!B:B)</f>
        <v>Mm2</v>
      </c>
      <c r="E224" t="s">
        <v>214</v>
      </c>
      <c r="F224">
        <f>Trans_Demand!C220</f>
        <v>2025</v>
      </c>
      <c r="G224" s="11">
        <f>SUMIFS(Trans_Demand!D:D,Trans_Demand!A:A,B224,Trans_Demand!C:C,F224)</f>
        <v>5.8278595531067214</v>
      </c>
    </row>
    <row r="225" spans="2:7">
      <c r="B225" t="str">
        <f>Trans_Demand!A221</f>
        <v>COMEDUNewDMD</v>
      </c>
      <c r="C225" t="str">
        <f>"DEMAND - "&amp;_xlfn.XLOOKUP(B225,Demand!E:E,Demand!A:A)&amp;" "&amp;_xlfn.XLOOKUP(B225,Demand!E:E,Demand!B:B)&amp;" "&amp;_xlfn.XLOOKUP(B225,Demand!E:E,Demand!C:C)&amp;" "&amp;_xlfn.XLOOKUP(B225,Demand!E:E,Demand!D:D)</f>
        <v>DEMAND - Commercial Educationnal  New</v>
      </c>
      <c r="D225" t="str">
        <f>_xlfn.XLOOKUP(B225,Trans_Demand!A:A,Trans_Demand!B:B)</f>
        <v>Mm2</v>
      </c>
      <c r="E225" t="s">
        <v>214</v>
      </c>
      <c r="F225">
        <f>Trans_Demand!C221</f>
        <v>2030</v>
      </c>
      <c r="G225" s="11">
        <f>SUMIFS(Trans_Demand!D:D,Trans_Demand!A:A,B225,Trans_Demand!C:C,F225)</f>
        <v>10.684409180695649</v>
      </c>
    </row>
    <row r="226" spans="2:7">
      <c r="B226" t="str">
        <f>Trans_Demand!A222</f>
        <v>COMEDUNewDMD</v>
      </c>
      <c r="C226" t="str">
        <f>"DEMAND - "&amp;_xlfn.XLOOKUP(B226,Demand!E:E,Demand!A:A)&amp;" "&amp;_xlfn.XLOOKUP(B226,Demand!E:E,Demand!B:B)&amp;" "&amp;_xlfn.XLOOKUP(B226,Demand!E:E,Demand!C:C)&amp;" "&amp;_xlfn.XLOOKUP(B226,Demand!E:E,Demand!D:D)</f>
        <v>DEMAND - Commercial Educationnal  New</v>
      </c>
      <c r="D226" t="str">
        <f>_xlfn.XLOOKUP(B226,Trans_Demand!A:A,Trans_Demand!B:B)</f>
        <v>Mm2</v>
      </c>
      <c r="E226" t="s">
        <v>214</v>
      </c>
      <c r="F226">
        <f>Trans_Demand!C222</f>
        <v>2035</v>
      </c>
      <c r="G226" s="11">
        <f>SUMIFS(Trans_Demand!D:D,Trans_Demand!A:A,B226,Trans_Demand!C:C,F226)</f>
        <v>15.540958808284589</v>
      </c>
    </row>
    <row r="227" spans="2:7">
      <c r="B227" t="str">
        <f>Trans_Demand!A223</f>
        <v>COMEDUNewDMD</v>
      </c>
      <c r="C227" t="str">
        <f>"DEMAND - "&amp;_xlfn.XLOOKUP(B227,Demand!E:E,Demand!A:A)&amp;" "&amp;_xlfn.XLOOKUP(B227,Demand!E:E,Demand!B:B)&amp;" "&amp;_xlfn.XLOOKUP(B227,Demand!E:E,Demand!C:C)&amp;" "&amp;_xlfn.XLOOKUP(B227,Demand!E:E,Demand!D:D)</f>
        <v>DEMAND - Commercial Educationnal  New</v>
      </c>
      <c r="D227" t="str">
        <f>_xlfn.XLOOKUP(B227,Trans_Demand!A:A,Trans_Demand!B:B)</f>
        <v>Mm2</v>
      </c>
      <c r="E227" t="s">
        <v>214</v>
      </c>
      <c r="F227">
        <f>Trans_Demand!C223</f>
        <v>2040</v>
      </c>
      <c r="G227" s="11">
        <f>SUMIFS(Trans_Demand!D:D,Trans_Demand!A:A,B227,Trans_Demand!C:C,F227)</f>
        <v>20.397508435873519</v>
      </c>
    </row>
    <row r="228" spans="2:7">
      <c r="B228" t="str">
        <f>Trans_Demand!A224</f>
        <v>COMEDUNewDMD</v>
      </c>
      <c r="C228" t="str">
        <f>"DEMAND - "&amp;_xlfn.XLOOKUP(B228,Demand!E:E,Demand!A:A)&amp;" "&amp;_xlfn.XLOOKUP(B228,Demand!E:E,Demand!B:B)&amp;" "&amp;_xlfn.XLOOKUP(B228,Demand!E:E,Demand!C:C)&amp;" "&amp;_xlfn.XLOOKUP(B228,Demand!E:E,Demand!D:D)</f>
        <v>DEMAND - Commercial Educationnal  New</v>
      </c>
      <c r="D228" t="str">
        <f>_xlfn.XLOOKUP(B228,Trans_Demand!A:A,Trans_Demand!B:B)</f>
        <v>Mm2</v>
      </c>
      <c r="E228" t="s">
        <v>214</v>
      </c>
      <c r="F228">
        <f>Trans_Demand!C224</f>
        <v>2045</v>
      </c>
      <c r="G228" s="11">
        <f>SUMIFS(Trans_Demand!D:D,Trans_Demand!A:A,B228,Trans_Demand!C:C,F228)</f>
        <v>25.254058063462459</v>
      </c>
    </row>
    <row r="229" spans="2:7">
      <c r="B229" t="str">
        <f>Trans_Demand!A225</f>
        <v>COMEDUNewDMD</v>
      </c>
      <c r="C229" t="str">
        <f>"DEMAND - "&amp;_xlfn.XLOOKUP(B229,Demand!E:E,Demand!A:A)&amp;" "&amp;_xlfn.XLOOKUP(B229,Demand!E:E,Demand!B:B)&amp;" "&amp;_xlfn.XLOOKUP(B229,Demand!E:E,Demand!C:C)&amp;" "&amp;_xlfn.XLOOKUP(B229,Demand!E:E,Demand!D:D)</f>
        <v>DEMAND - Commercial Educationnal  New</v>
      </c>
      <c r="D229" t="str">
        <f>_xlfn.XLOOKUP(B229,Trans_Demand!A:A,Trans_Demand!B:B)</f>
        <v>Mm2</v>
      </c>
      <c r="E229" t="s">
        <v>214</v>
      </c>
      <c r="F229">
        <f>Trans_Demand!C225</f>
        <v>2050</v>
      </c>
      <c r="G229" s="11">
        <f>SUMIFS(Trans_Demand!D:D,Trans_Demand!A:A,B229,Trans_Demand!C:C,F229)</f>
        <v>30.110607691051388</v>
      </c>
    </row>
    <row r="230" spans="2:7">
      <c r="B230" t="str">
        <f>Trans_Demand!A226</f>
        <v>COMEDUNewDMD</v>
      </c>
      <c r="C230" t="str">
        <f>"DEMAND - "&amp;_xlfn.XLOOKUP(B230,Demand!E:E,Demand!A:A)&amp;" "&amp;_xlfn.XLOOKUP(B230,Demand!E:E,Demand!B:B)&amp;" "&amp;_xlfn.XLOOKUP(B230,Demand!E:E,Demand!C:C)&amp;" "&amp;_xlfn.XLOOKUP(B230,Demand!E:E,Demand!D:D)</f>
        <v>DEMAND - Commercial Educationnal  New</v>
      </c>
      <c r="D230" t="str">
        <f>_xlfn.XLOOKUP(B230,Trans_Demand!A:A,Trans_Demand!B:B)</f>
        <v>Mm2</v>
      </c>
      <c r="E230" t="s">
        <v>214</v>
      </c>
      <c r="F230">
        <f>Trans_Demand!C226</f>
        <v>2055</v>
      </c>
      <c r="G230" s="11">
        <f>SUMIFS(Trans_Demand!D:D,Trans_Demand!A:A,B230,Trans_Demand!C:C,F230)</f>
        <v>34.967157318640332</v>
      </c>
    </row>
    <row r="231" spans="2:7">
      <c r="B231" t="str">
        <f>Trans_Demand!A227</f>
        <v>COMEDUNewDMD</v>
      </c>
      <c r="C231" t="str">
        <f>"DEMAND - "&amp;_xlfn.XLOOKUP(B231,Demand!E:E,Demand!A:A)&amp;" "&amp;_xlfn.XLOOKUP(B231,Demand!E:E,Demand!B:B)&amp;" "&amp;_xlfn.XLOOKUP(B231,Demand!E:E,Demand!C:C)&amp;" "&amp;_xlfn.XLOOKUP(B231,Demand!E:E,Demand!D:D)</f>
        <v>DEMAND - Commercial Educationnal  New</v>
      </c>
      <c r="D231" t="str">
        <f>_xlfn.XLOOKUP(B231,Trans_Demand!A:A,Trans_Demand!B:B)</f>
        <v>Mm2</v>
      </c>
      <c r="E231" t="s">
        <v>214</v>
      </c>
      <c r="F231">
        <f>Trans_Demand!C227</f>
        <v>2060</v>
      </c>
      <c r="G231" s="11">
        <f>SUMIFS(Trans_Demand!D:D,Trans_Demand!A:A,B231,Trans_Demand!C:C,F231)</f>
        <v>39.823706946229258</v>
      </c>
    </row>
    <row r="232" spans="2:7">
      <c r="B232" t="str">
        <f>Trans_Demand!A228</f>
        <v>COMEDUNewDMD</v>
      </c>
      <c r="C232" t="str">
        <f>"DEMAND - "&amp;_xlfn.XLOOKUP(B232,Demand!E:E,Demand!A:A)&amp;" "&amp;_xlfn.XLOOKUP(B232,Demand!E:E,Demand!B:B)&amp;" "&amp;_xlfn.XLOOKUP(B232,Demand!E:E,Demand!C:C)&amp;" "&amp;_xlfn.XLOOKUP(B232,Demand!E:E,Demand!D:D)</f>
        <v>DEMAND - Commercial Educationnal  New</v>
      </c>
      <c r="D232" t="str">
        <f>_xlfn.XLOOKUP(B232,Trans_Demand!A:A,Trans_Demand!B:B)</f>
        <v>Mm2</v>
      </c>
      <c r="E232" t="s">
        <v>214</v>
      </c>
      <c r="F232">
        <f>Trans_Demand!C228</f>
        <v>2065</v>
      </c>
      <c r="G232" s="11">
        <f>SUMIFS(Trans_Demand!D:D,Trans_Demand!A:A,B232,Trans_Demand!C:C,F232)</f>
        <v>44.680256573818191</v>
      </c>
    </row>
    <row r="233" spans="2:7">
      <c r="B233" t="str">
        <f>Trans_Demand!A229</f>
        <v>COMEDUNewDMD</v>
      </c>
      <c r="C233" t="str">
        <f>"DEMAND - "&amp;_xlfn.XLOOKUP(B233,Demand!E:E,Demand!A:A)&amp;" "&amp;_xlfn.XLOOKUP(B233,Demand!E:E,Demand!B:B)&amp;" "&amp;_xlfn.XLOOKUP(B233,Demand!E:E,Demand!C:C)&amp;" "&amp;_xlfn.XLOOKUP(B233,Demand!E:E,Demand!D:D)</f>
        <v>DEMAND - Commercial Educationnal  New</v>
      </c>
      <c r="D233" t="str">
        <f>_xlfn.XLOOKUP(B233,Trans_Demand!A:A,Trans_Demand!B:B)</f>
        <v>Mm2</v>
      </c>
      <c r="E233" t="s">
        <v>214</v>
      </c>
      <c r="F233">
        <f>Trans_Demand!C229</f>
        <v>2070</v>
      </c>
      <c r="G233" s="11">
        <f>SUMIFS(Trans_Demand!D:D,Trans_Demand!A:A,B233,Trans_Demand!C:C,F233)</f>
        <v>49.536806201407117</v>
      </c>
    </row>
    <row r="234" spans="2:7">
      <c r="B234" t="str">
        <f>Trans_Demand!A230</f>
        <v>COMEDUNewDMD</v>
      </c>
      <c r="C234" t="str">
        <f>"DEMAND - "&amp;_xlfn.XLOOKUP(B234,Demand!E:E,Demand!A:A)&amp;" "&amp;_xlfn.XLOOKUP(B234,Demand!E:E,Demand!B:B)&amp;" "&amp;_xlfn.XLOOKUP(B234,Demand!E:E,Demand!C:C)&amp;" "&amp;_xlfn.XLOOKUP(B234,Demand!E:E,Demand!D:D)</f>
        <v>DEMAND - Commercial Educationnal  New</v>
      </c>
      <c r="D234" t="str">
        <f>_xlfn.XLOOKUP(B234,Trans_Demand!A:A,Trans_Demand!B:B)</f>
        <v>Mm2</v>
      </c>
      <c r="E234" t="s">
        <v>214</v>
      </c>
      <c r="F234">
        <f>Trans_Demand!C230</f>
        <v>2075</v>
      </c>
      <c r="G234" s="11">
        <f>SUMIFS(Trans_Demand!D:D,Trans_Demand!A:A,B234,Trans_Demand!C:C,F234)</f>
        <v>54.393355828996057</v>
      </c>
    </row>
    <row r="235" spans="2:7">
      <c r="B235" t="str">
        <f>Trans_Demand!A231</f>
        <v>COMEDUNewDMD</v>
      </c>
      <c r="C235" t="str">
        <f>"DEMAND - "&amp;_xlfn.XLOOKUP(B235,Demand!E:E,Demand!A:A)&amp;" "&amp;_xlfn.XLOOKUP(B235,Demand!E:E,Demand!B:B)&amp;" "&amp;_xlfn.XLOOKUP(B235,Demand!E:E,Demand!C:C)&amp;" "&amp;_xlfn.XLOOKUP(B235,Demand!E:E,Demand!D:D)</f>
        <v>DEMAND - Commercial Educationnal  New</v>
      </c>
      <c r="D235" t="str">
        <f>_xlfn.XLOOKUP(B235,Trans_Demand!A:A,Trans_Demand!B:B)</f>
        <v>Mm2</v>
      </c>
      <c r="E235" t="s">
        <v>214</v>
      </c>
      <c r="F235">
        <f>Trans_Demand!C231</f>
        <v>2080</v>
      </c>
      <c r="G235" s="11">
        <f>SUMIFS(Trans_Demand!D:D,Trans_Demand!A:A,B235,Trans_Demand!C:C,F235)</f>
        <v>59.24990545658499</v>
      </c>
    </row>
    <row r="236" spans="2:7">
      <c r="B236" t="str">
        <f>Trans_Demand!A232</f>
        <v>COMEDUNewDMD</v>
      </c>
      <c r="C236" t="str">
        <f>"DEMAND - "&amp;_xlfn.XLOOKUP(B236,Demand!E:E,Demand!A:A)&amp;" "&amp;_xlfn.XLOOKUP(B236,Demand!E:E,Demand!B:B)&amp;" "&amp;_xlfn.XLOOKUP(B236,Demand!E:E,Demand!C:C)&amp;" "&amp;_xlfn.XLOOKUP(B236,Demand!E:E,Demand!D:D)</f>
        <v>DEMAND - Commercial Educationnal  New</v>
      </c>
      <c r="D236" t="str">
        <f>_xlfn.XLOOKUP(B236,Trans_Demand!A:A,Trans_Demand!B:B)</f>
        <v>Mm2</v>
      </c>
      <c r="E236" t="s">
        <v>214</v>
      </c>
      <c r="F236">
        <f>Trans_Demand!C232</f>
        <v>2085</v>
      </c>
      <c r="G236" s="11">
        <f>SUMIFS(Trans_Demand!D:D,Trans_Demand!A:A,B236,Trans_Demand!C:C,F236)</f>
        <v>64.10645508417393</v>
      </c>
    </row>
    <row r="237" spans="2:7">
      <c r="B237" t="str">
        <f>Trans_Demand!A233</f>
        <v>COMEDUNewDMD</v>
      </c>
      <c r="C237" t="str">
        <f>"DEMAND - "&amp;_xlfn.XLOOKUP(B237,Demand!E:E,Demand!A:A)&amp;" "&amp;_xlfn.XLOOKUP(B237,Demand!E:E,Demand!B:B)&amp;" "&amp;_xlfn.XLOOKUP(B237,Demand!E:E,Demand!C:C)&amp;" "&amp;_xlfn.XLOOKUP(B237,Demand!E:E,Demand!D:D)</f>
        <v>DEMAND - Commercial Educationnal  New</v>
      </c>
      <c r="D237" t="str">
        <f>_xlfn.XLOOKUP(B237,Trans_Demand!A:A,Trans_Demand!B:B)</f>
        <v>Mm2</v>
      </c>
      <c r="E237" t="s">
        <v>214</v>
      </c>
      <c r="F237">
        <f>Trans_Demand!C233</f>
        <v>2090</v>
      </c>
      <c r="G237" s="11">
        <f>SUMIFS(Trans_Demand!D:D,Trans_Demand!A:A,B237,Trans_Demand!C:C,F237)</f>
        <v>68.963004711762864</v>
      </c>
    </row>
    <row r="238" spans="2:7">
      <c r="B238" t="str">
        <f>Trans_Demand!A234</f>
        <v>COMEDUNewDMD</v>
      </c>
      <c r="C238" t="str">
        <f>"DEMAND - "&amp;_xlfn.XLOOKUP(B238,Demand!E:E,Demand!A:A)&amp;" "&amp;_xlfn.XLOOKUP(B238,Demand!E:E,Demand!B:B)&amp;" "&amp;_xlfn.XLOOKUP(B238,Demand!E:E,Demand!C:C)&amp;" "&amp;_xlfn.XLOOKUP(B238,Demand!E:E,Demand!D:D)</f>
        <v>DEMAND - Commercial Educationnal  New</v>
      </c>
      <c r="D238" t="str">
        <f>_xlfn.XLOOKUP(B238,Trans_Demand!A:A,Trans_Demand!B:B)</f>
        <v>Mm2</v>
      </c>
      <c r="E238" t="s">
        <v>214</v>
      </c>
      <c r="F238">
        <f>Trans_Demand!C234</f>
        <v>2095</v>
      </c>
      <c r="G238" s="11">
        <f>SUMIFS(Trans_Demand!D:D,Trans_Demand!A:A,B238,Trans_Demand!C:C,F238)</f>
        <v>73.819554339351797</v>
      </c>
    </row>
    <row r="239" spans="2:7">
      <c r="B239" t="str">
        <f>Trans_Demand!A235</f>
        <v>COMEDUNewDMD</v>
      </c>
      <c r="C239" t="str">
        <f>"DEMAND - "&amp;_xlfn.XLOOKUP(B239,Demand!E:E,Demand!A:A)&amp;" "&amp;_xlfn.XLOOKUP(B239,Demand!E:E,Demand!B:B)&amp;" "&amp;_xlfn.XLOOKUP(B239,Demand!E:E,Demand!C:C)&amp;" "&amp;_xlfn.XLOOKUP(B239,Demand!E:E,Demand!D:D)</f>
        <v>DEMAND - Commercial Educationnal  New</v>
      </c>
      <c r="D239" t="str">
        <f>_xlfn.XLOOKUP(B239,Trans_Demand!A:A,Trans_Demand!B:B)</f>
        <v>Mm2</v>
      </c>
      <c r="E239" t="s">
        <v>214</v>
      </c>
      <c r="F239">
        <f>Trans_Demand!C235</f>
        <v>2100</v>
      </c>
      <c r="G239" s="11">
        <f>SUMIFS(Trans_Demand!D:D,Trans_Demand!A:A,B239,Trans_Demand!C:C,F239)</f>
        <v>78.67610396694073</v>
      </c>
    </row>
    <row r="240" spans="2:7">
      <c r="B240" t="str">
        <f>Trans_Demand!A236</f>
        <v>COMWARNewDMD</v>
      </c>
      <c r="C240" t="str">
        <f>"DEMAND - "&amp;_xlfn.XLOOKUP(B240,Demand!E:E,Demand!A:A)&amp;" "&amp;_xlfn.XLOOKUP(B240,Demand!E:E,Demand!B:B)&amp;" "&amp;_xlfn.XLOOKUP(B240,Demand!E:E,Demand!C:C)&amp;" "&amp;_xlfn.XLOOKUP(B240,Demand!E:E,Demand!D:D)</f>
        <v>DEMAND - Commercial Warehouse  New</v>
      </c>
      <c r="D240" t="str">
        <f>_xlfn.XLOOKUP(B240,Trans_Demand!A:A,Trans_Demand!B:B)</f>
        <v>Mm2</v>
      </c>
      <c r="E240" t="s">
        <v>214</v>
      </c>
      <c r="F240">
        <f>Trans_Demand!C236</f>
        <v>2019</v>
      </c>
      <c r="G240" s="11">
        <f>SUMIFS(Trans_Demand!D:D,Trans_Demand!A:A,B240,Trans_Demand!C:C,F240)</f>
        <v>0</v>
      </c>
    </row>
    <row r="241" spans="2:7">
      <c r="B241" t="str">
        <f>Trans_Demand!A237</f>
        <v>COMWARNewDMD</v>
      </c>
      <c r="C241" t="str">
        <f>"DEMAND - "&amp;_xlfn.XLOOKUP(B241,Demand!E:E,Demand!A:A)&amp;" "&amp;_xlfn.XLOOKUP(B241,Demand!E:E,Demand!B:B)&amp;" "&amp;_xlfn.XLOOKUP(B241,Demand!E:E,Demand!C:C)&amp;" "&amp;_xlfn.XLOOKUP(B241,Demand!E:E,Demand!D:D)</f>
        <v>DEMAND - Commercial Warehouse  New</v>
      </c>
      <c r="D241" t="str">
        <f>_xlfn.XLOOKUP(B241,Trans_Demand!A:A,Trans_Demand!B:B)</f>
        <v>Mm2</v>
      </c>
      <c r="E241" t="s">
        <v>214</v>
      </c>
      <c r="F241">
        <f>Trans_Demand!C237</f>
        <v>2020</v>
      </c>
      <c r="G241" s="11">
        <f>SUMIFS(Trans_Demand!D:D,Trans_Demand!A:A,B241,Trans_Demand!C:C,F241)</f>
        <v>0.65467173047735006</v>
      </c>
    </row>
    <row r="242" spans="2:7">
      <c r="B242" t="str">
        <f>Trans_Demand!A238</f>
        <v>COMWARNewDMD</v>
      </c>
      <c r="C242" t="str">
        <f>"DEMAND - "&amp;_xlfn.XLOOKUP(B242,Demand!E:E,Demand!A:A)&amp;" "&amp;_xlfn.XLOOKUP(B242,Demand!E:E,Demand!B:B)&amp;" "&amp;_xlfn.XLOOKUP(B242,Demand!E:E,Demand!C:C)&amp;" "&amp;_xlfn.XLOOKUP(B242,Demand!E:E,Demand!D:D)</f>
        <v>DEMAND - Commercial Warehouse  New</v>
      </c>
      <c r="D242" t="str">
        <f>_xlfn.XLOOKUP(B242,Trans_Demand!A:A,Trans_Demand!B:B)</f>
        <v>Mm2</v>
      </c>
      <c r="E242" t="s">
        <v>214</v>
      </c>
      <c r="F242">
        <f>Trans_Demand!C238</f>
        <v>2025</v>
      </c>
      <c r="G242" s="11">
        <f>SUMIFS(Trans_Demand!D:D,Trans_Demand!A:A,B242,Trans_Demand!C:C,F242)</f>
        <v>3.928030382864101</v>
      </c>
    </row>
    <row r="243" spans="2:7">
      <c r="B243" t="str">
        <f>Trans_Demand!A239</f>
        <v>COMWARNewDMD</v>
      </c>
      <c r="C243" t="str">
        <f>"DEMAND - "&amp;_xlfn.XLOOKUP(B243,Demand!E:E,Demand!A:A)&amp;" "&amp;_xlfn.XLOOKUP(B243,Demand!E:E,Demand!B:B)&amp;" "&amp;_xlfn.XLOOKUP(B243,Demand!E:E,Demand!C:C)&amp;" "&amp;_xlfn.XLOOKUP(B243,Demand!E:E,Demand!D:D)</f>
        <v>DEMAND - Commercial Warehouse  New</v>
      </c>
      <c r="D243" t="str">
        <f>_xlfn.XLOOKUP(B243,Trans_Demand!A:A,Trans_Demand!B:B)</f>
        <v>Mm2</v>
      </c>
      <c r="E243" t="s">
        <v>214</v>
      </c>
      <c r="F243">
        <f>Trans_Demand!C239</f>
        <v>2030</v>
      </c>
      <c r="G243" s="11">
        <f>SUMIFS(Trans_Demand!D:D,Trans_Demand!A:A,B243,Trans_Demand!C:C,F243)</f>
        <v>7.2013890352508509</v>
      </c>
    </row>
    <row r="244" spans="2:7">
      <c r="B244" t="str">
        <f>Trans_Demand!A240</f>
        <v>COMWARNewDMD</v>
      </c>
      <c r="C244" t="str">
        <f>"DEMAND - "&amp;_xlfn.XLOOKUP(B244,Demand!E:E,Demand!A:A)&amp;" "&amp;_xlfn.XLOOKUP(B244,Demand!E:E,Demand!B:B)&amp;" "&amp;_xlfn.XLOOKUP(B244,Demand!E:E,Demand!C:C)&amp;" "&amp;_xlfn.XLOOKUP(B244,Demand!E:E,Demand!D:D)</f>
        <v>DEMAND - Commercial Warehouse  New</v>
      </c>
      <c r="D244" t="str">
        <f>_xlfn.XLOOKUP(B244,Trans_Demand!A:A,Trans_Demand!B:B)</f>
        <v>Mm2</v>
      </c>
      <c r="E244" t="s">
        <v>214</v>
      </c>
      <c r="F244">
        <f>Trans_Demand!C240</f>
        <v>2035</v>
      </c>
      <c r="G244" s="11">
        <f>SUMIFS(Trans_Demand!D:D,Trans_Demand!A:A,B244,Trans_Demand!C:C,F244)</f>
        <v>10.474747687637599</v>
      </c>
    </row>
    <row r="245" spans="2:7">
      <c r="B245" t="str">
        <f>Trans_Demand!A241</f>
        <v>COMWARNewDMD</v>
      </c>
      <c r="C245" t="str">
        <f>"DEMAND - "&amp;_xlfn.XLOOKUP(B245,Demand!E:E,Demand!A:A)&amp;" "&amp;_xlfn.XLOOKUP(B245,Demand!E:E,Demand!B:B)&amp;" "&amp;_xlfn.XLOOKUP(B245,Demand!E:E,Demand!C:C)&amp;" "&amp;_xlfn.XLOOKUP(B245,Demand!E:E,Demand!D:D)</f>
        <v>DEMAND - Commercial Warehouse  New</v>
      </c>
      <c r="D245" t="str">
        <f>_xlfn.XLOOKUP(B245,Trans_Demand!A:A,Trans_Demand!B:B)</f>
        <v>Mm2</v>
      </c>
      <c r="E245" t="s">
        <v>214</v>
      </c>
      <c r="F245">
        <f>Trans_Demand!C241</f>
        <v>2040</v>
      </c>
      <c r="G245" s="11">
        <f>SUMIFS(Trans_Demand!D:D,Trans_Demand!A:A,B245,Trans_Demand!C:C,F245)</f>
        <v>13.74810634002435</v>
      </c>
    </row>
    <row r="246" spans="2:7">
      <c r="B246" t="str">
        <f>Trans_Demand!A242</f>
        <v>COMWARNewDMD</v>
      </c>
      <c r="C246" t="str">
        <f>"DEMAND - "&amp;_xlfn.XLOOKUP(B246,Demand!E:E,Demand!A:A)&amp;" "&amp;_xlfn.XLOOKUP(B246,Demand!E:E,Demand!B:B)&amp;" "&amp;_xlfn.XLOOKUP(B246,Demand!E:E,Demand!C:C)&amp;" "&amp;_xlfn.XLOOKUP(B246,Demand!E:E,Demand!D:D)</f>
        <v>DEMAND - Commercial Warehouse  New</v>
      </c>
      <c r="D246" t="str">
        <f>_xlfn.XLOOKUP(B246,Trans_Demand!A:A,Trans_Demand!B:B)</f>
        <v>Mm2</v>
      </c>
      <c r="E246" t="s">
        <v>214</v>
      </c>
      <c r="F246">
        <f>Trans_Demand!C242</f>
        <v>2045</v>
      </c>
      <c r="G246" s="11">
        <f>SUMIFS(Trans_Demand!D:D,Trans_Demand!A:A,B246,Trans_Demand!C:C,F246)</f>
        <v>17.021464992411101</v>
      </c>
    </row>
    <row r="247" spans="2:7">
      <c r="B247" t="str">
        <f>Trans_Demand!A243</f>
        <v>COMWARNewDMD</v>
      </c>
      <c r="C247" t="str">
        <f>"DEMAND - "&amp;_xlfn.XLOOKUP(B247,Demand!E:E,Demand!A:A)&amp;" "&amp;_xlfn.XLOOKUP(B247,Demand!E:E,Demand!B:B)&amp;" "&amp;_xlfn.XLOOKUP(B247,Demand!E:E,Demand!C:C)&amp;" "&amp;_xlfn.XLOOKUP(B247,Demand!E:E,Demand!D:D)</f>
        <v>DEMAND - Commercial Warehouse  New</v>
      </c>
      <c r="D247" t="str">
        <f>_xlfn.XLOOKUP(B247,Trans_Demand!A:A,Trans_Demand!B:B)</f>
        <v>Mm2</v>
      </c>
      <c r="E247" t="s">
        <v>214</v>
      </c>
      <c r="F247">
        <f>Trans_Demand!C243</f>
        <v>2050</v>
      </c>
      <c r="G247" s="11">
        <f>SUMIFS(Trans_Demand!D:D,Trans_Demand!A:A,B247,Trans_Demand!C:C,F247)</f>
        <v>20.294823644797852</v>
      </c>
    </row>
    <row r="248" spans="2:7">
      <c r="B248" t="str">
        <f>Trans_Demand!A244</f>
        <v>COMWARNewDMD</v>
      </c>
      <c r="C248" t="str">
        <f>"DEMAND - "&amp;_xlfn.XLOOKUP(B248,Demand!E:E,Demand!A:A)&amp;" "&amp;_xlfn.XLOOKUP(B248,Demand!E:E,Demand!B:B)&amp;" "&amp;_xlfn.XLOOKUP(B248,Demand!E:E,Demand!C:C)&amp;" "&amp;_xlfn.XLOOKUP(B248,Demand!E:E,Demand!D:D)</f>
        <v>DEMAND - Commercial Warehouse  New</v>
      </c>
      <c r="D248" t="str">
        <f>_xlfn.XLOOKUP(B248,Trans_Demand!A:A,Trans_Demand!B:B)</f>
        <v>Mm2</v>
      </c>
      <c r="E248" t="s">
        <v>214</v>
      </c>
      <c r="F248">
        <f>Trans_Demand!C244</f>
        <v>2055</v>
      </c>
      <c r="G248" s="11">
        <f>SUMIFS(Trans_Demand!D:D,Trans_Demand!A:A,B248,Trans_Demand!C:C,F248)</f>
        <v>23.568182297184599</v>
      </c>
    </row>
    <row r="249" spans="2:7">
      <c r="B249" t="str">
        <f>Trans_Demand!A245</f>
        <v>COMWARNewDMD</v>
      </c>
      <c r="C249" t="str">
        <f>"DEMAND - "&amp;_xlfn.XLOOKUP(B249,Demand!E:E,Demand!A:A)&amp;" "&amp;_xlfn.XLOOKUP(B249,Demand!E:E,Demand!B:B)&amp;" "&amp;_xlfn.XLOOKUP(B249,Demand!E:E,Demand!C:C)&amp;" "&amp;_xlfn.XLOOKUP(B249,Demand!E:E,Demand!D:D)</f>
        <v>DEMAND - Commercial Warehouse  New</v>
      </c>
      <c r="D249" t="str">
        <f>_xlfn.XLOOKUP(B249,Trans_Demand!A:A,Trans_Demand!B:B)</f>
        <v>Mm2</v>
      </c>
      <c r="E249" t="s">
        <v>214</v>
      </c>
      <c r="F249">
        <f>Trans_Demand!C245</f>
        <v>2060</v>
      </c>
      <c r="G249" s="11">
        <f>SUMIFS(Trans_Demand!D:D,Trans_Demand!A:A,B249,Trans_Demand!C:C,F249)</f>
        <v>26.84154094957135</v>
      </c>
    </row>
    <row r="250" spans="2:7">
      <c r="B250" t="str">
        <f>Trans_Demand!A246</f>
        <v>COMWARNewDMD</v>
      </c>
      <c r="C250" t="str">
        <f>"DEMAND - "&amp;_xlfn.XLOOKUP(B250,Demand!E:E,Demand!A:A)&amp;" "&amp;_xlfn.XLOOKUP(B250,Demand!E:E,Demand!B:B)&amp;" "&amp;_xlfn.XLOOKUP(B250,Demand!E:E,Demand!C:C)&amp;" "&amp;_xlfn.XLOOKUP(B250,Demand!E:E,Demand!D:D)</f>
        <v>DEMAND - Commercial Warehouse  New</v>
      </c>
      <c r="D250" t="str">
        <f>_xlfn.XLOOKUP(B250,Trans_Demand!A:A,Trans_Demand!B:B)</f>
        <v>Mm2</v>
      </c>
      <c r="E250" t="s">
        <v>214</v>
      </c>
      <c r="F250">
        <f>Trans_Demand!C246</f>
        <v>2065</v>
      </c>
      <c r="G250" s="11">
        <f>SUMIFS(Trans_Demand!D:D,Trans_Demand!A:A,B250,Trans_Demand!C:C,F250)</f>
        <v>30.114899601958101</v>
      </c>
    </row>
    <row r="251" spans="2:7">
      <c r="B251" t="str">
        <f>Trans_Demand!A247</f>
        <v>COMWARNewDMD</v>
      </c>
      <c r="C251" t="str">
        <f>"DEMAND - "&amp;_xlfn.XLOOKUP(B251,Demand!E:E,Demand!A:A)&amp;" "&amp;_xlfn.XLOOKUP(B251,Demand!E:E,Demand!B:B)&amp;" "&amp;_xlfn.XLOOKUP(B251,Demand!E:E,Demand!C:C)&amp;" "&amp;_xlfn.XLOOKUP(B251,Demand!E:E,Demand!D:D)</f>
        <v>DEMAND - Commercial Warehouse  New</v>
      </c>
      <c r="D251" t="str">
        <f>_xlfn.XLOOKUP(B251,Trans_Demand!A:A,Trans_Demand!B:B)</f>
        <v>Mm2</v>
      </c>
      <c r="E251" t="s">
        <v>214</v>
      </c>
      <c r="F251">
        <f>Trans_Demand!C247</f>
        <v>2070</v>
      </c>
      <c r="G251" s="11">
        <f>SUMIFS(Trans_Demand!D:D,Trans_Demand!A:A,B251,Trans_Demand!C:C,F251)</f>
        <v>33.388258254344848</v>
      </c>
    </row>
    <row r="252" spans="2:7">
      <c r="B252" t="str">
        <f>Trans_Demand!A248</f>
        <v>COMWARNewDMD</v>
      </c>
      <c r="C252" t="str">
        <f>"DEMAND - "&amp;_xlfn.XLOOKUP(B252,Demand!E:E,Demand!A:A)&amp;" "&amp;_xlfn.XLOOKUP(B252,Demand!E:E,Demand!B:B)&amp;" "&amp;_xlfn.XLOOKUP(B252,Demand!E:E,Demand!C:C)&amp;" "&amp;_xlfn.XLOOKUP(B252,Demand!E:E,Demand!D:D)</f>
        <v>DEMAND - Commercial Warehouse  New</v>
      </c>
      <c r="D252" t="str">
        <f>_xlfn.XLOOKUP(B252,Trans_Demand!A:A,Trans_Demand!B:B)</f>
        <v>Mm2</v>
      </c>
      <c r="E252" t="s">
        <v>214</v>
      </c>
      <c r="F252">
        <f>Trans_Demand!C248</f>
        <v>2075</v>
      </c>
      <c r="G252" s="11">
        <f>SUMIFS(Trans_Demand!D:D,Trans_Demand!A:A,B252,Trans_Demand!C:C,F252)</f>
        <v>36.661616906731602</v>
      </c>
    </row>
    <row r="253" spans="2:7">
      <c r="B253" t="str">
        <f>Trans_Demand!A249</f>
        <v>COMWARNewDMD</v>
      </c>
      <c r="C253" t="str">
        <f>"DEMAND - "&amp;_xlfn.XLOOKUP(B253,Demand!E:E,Demand!A:A)&amp;" "&amp;_xlfn.XLOOKUP(B253,Demand!E:E,Demand!B:B)&amp;" "&amp;_xlfn.XLOOKUP(B253,Demand!E:E,Demand!C:C)&amp;" "&amp;_xlfn.XLOOKUP(B253,Demand!E:E,Demand!D:D)</f>
        <v>DEMAND - Commercial Warehouse  New</v>
      </c>
      <c r="D253" t="str">
        <f>_xlfn.XLOOKUP(B253,Trans_Demand!A:A,Trans_Demand!B:B)</f>
        <v>Mm2</v>
      </c>
      <c r="E253" t="s">
        <v>214</v>
      </c>
      <c r="F253">
        <f>Trans_Demand!C249</f>
        <v>2080</v>
      </c>
      <c r="G253" s="11">
        <f>SUMIFS(Trans_Demand!D:D,Trans_Demand!A:A,B253,Trans_Demand!C:C,F253)</f>
        <v>39.93497555911835</v>
      </c>
    </row>
    <row r="254" spans="2:7">
      <c r="B254" t="str">
        <f>Trans_Demand!A250</f>
        <v>COMWARNewDMD</v>
      </c>
      <c r="C254" t="str">
        <f>"DEMAND - "&amp;_xlfn.XLOOKUP(B254,Demand!E:E,Demand!A:A)&amp;" "&amp;_xlfn.XLOOKUP(B254,Demand!E:E,Demand!B:B)&amp;" "&amp;_xlfn.XLOOKUP(B254,Demand!E:E,Demand!C:C)&amp;" "&amp;_xlfn.XLOOKUP(B254,Demand!E:E,Demand!D:D)</f>
        <v>DEMAND - Commercial Warehouse  New</v>
      </c>
      <c r="D254" t="str">
        <f>_xlfn.XLOOKUP(B254,Trans_Demand!A:A,Trans_Demand!B:B)</f>
        <v>Mm2</v>
      </c>
      <c r="E254" t="s">
        <v>214</v>
      </c>
      <c r="F254">
        <f>Trans_Demand!C250</f>
        <v>2085</v>
      </c>
      <c r="G254" s="11">
        <f>SUMIFS(Trans_Demand!D:D,Trans_Demand!A:A,B254,Trans_Demand!C:C,F254)</f>
        <v>43.208334211505097</v>
      </c>
    </row>
    <row r="255" spans="2:7">
      <c r="B255" t="str">
        <f>Trans_Demand!A251</f>
        <v>COMWARNewDMD</v>
      </c>
      <c r="C255" t="str">
        <f>"DEMAND - "&amp;_xlfn.XLOOKUP(B255,Demand!E:E,Demand!A:A)&amp;" "&amp;_xlfn.XLOOKUP(B255,Demand!E:E,Demand!B:B)&amp;" "&amp;_xlfn.XLOOKUP(B255,Demand!E:E,Demand!C:C)&amp;" "&amp;_xlfn.XLOOKUP(B255,Demand!E:E,Demand!D:D)</f>
        <v>DEMAND - Commercial Warehouse  New</v>
      </c>
      <c r="D255" t="str">
        <f>_xlfn.XLOOKUP(B255,Trans_Demand!A:A,Trans_Demand!B:B)</f>
        <v>Mm2</v>
      </c>
      <c r="E255" t="s">
        <v>214</v>
      </c>
      <c r="F255">
        <f>Trans_Demand!C251</f>
        <v>2090</v>
      </c>
      <c r="G255" s="11">
        <f>SUMIFS(Trans_Demand!D:D,Trans_Demand!A:A,B255,Trans_Demand!C:C,F255)</f>
        <v>46.481692863891837</v>
      </c>
    </row>
    <row r="256" spans="2:7">
      <c r="B256" t="str">
        <f>Trans_Demand!A252</f>
        <v>COMWARNewDMD</v>
      </c>
      <c r="C256" t="str">
        <f>"DEMAND - "&amp;_xlfn.XLOOKUP(B256,Demand!E:E,Demand!A:A)&amp;" "&amp;_xlfn.XLOOKUP(B256,Demand!E:E,Demand!B:B)&amp;" "&amp;_xlfn.XLOOKUP(B256,Demand!E:E,Demand!C:C)&amp;" "&amp;_xlfn.XLOOKUP(B256,Demand!E:E,Demand!D:D)</f>
        <v>DEMAND - Commercial Warehouse  New</v>
      </c>
      <c r="D256" t="str">
        <f>_xlfn.XLOOKUP(B256,Trans_Demand!A:A,Trans_Demand!B:B)</f>
        <v>Mm2</v>
      </c>
      <c r="E256" t="s">
        <v>214</v>
      </c>
      <c r="F256">
        <f>Trans_Demand!C252</f>
        <v>2095</v>
      </c>
      <c r="G256" s="11">
        <f>SUMIFS(Trans_Demand!D:D,Trans_Demand!A:A,B256,Trans_Demand!C:C,F256)</f>
        <v>49.755051516278591</v>
      </c>
    </row>
    <row r="257" spans="2:7">
      <c r="B257" t="str">
        <f>Trans_Demand!A253</f>
        <v>COMWARNewDMD</v>
      </c>
      <c r="C257" t="str">
        <f>"DEMAND - "&amp;_xlfn.XLOOKUP(B257,Demand!E:E,Demand!A:A)&amp;" "&amp;_xlfn.XLOOKUP(B257,Demand!E:E,Demand!B:B)&amp;" "&amp;_xlfn.XLOOKUP(B257,Demand!E:E,Demand!C:C)&amp;" "&amp;_xlfn.XLOOKUP(B257,Demand!E:E,Demand!D:D)</f>
        <v>DEMAND - Commercial Warehouse  New</v>
      </c>
      <c r="D257" t="str">
        <f>_xlfn.XLOOKUP(B257,Trans_Demand!A:A,Trans_Demand!B:B)</f>
        <v>Mm2</v>
      </c>
      <c r="E257" t="s">
        <v>214</v>
      </c>
      <c r="F257">
        <f>Trans_Demand!C253</f>
        <v>2100</v>
      </c>
      <c r="G257" s="11">
        <f>SUMIFS(Trans_Demand!D:D,Trans_Demand!A:A,B257,Trans_Demand!C:C,F257)</f>
        <v>53.028410168665339</v>
      </c>
    </row>
    <row r="258" spans="2:7">
      <c r="B258" t="str">
        <f>Trans_Demand!A254</f>
        <v>COMMUNNewDMD</v>
      </c>
      <c r="C258" t="str">
        <f>"DEMAND - "&amp;_xlfn.XLOOKUP(B258,Demand!E:E,Demand!A:A)&amp;" "&amp;_xlfn.XLOOKUP(B258,Demand!E:E,Demand!B:B)&amp;" "&amp;_xlfn.XLOOKUP(B258,Demand!E:E,Demand!C:C)&amp;" "&amp;_xlfn.XLOOKUP(B258,Demand!E:E,Demand!D:D)</f>
        <v>DEMAND - Commercial Municipal  New</v>
      </c>
      <c r="D258" t="str">
        <f>_xlfn.XLOOKUP(B258,Trans_Demand!A:A,Trans_Demand!B:B)</f>
        <v>Mm2</v>
      </c>
      <c r="E258" t="s">
        <v>214</v>
      </c>
      <c r="F258">
        <f>Trans_Demand!C254</f>
        <v>2019</v>
      </c>
      <c r="G258" s="11">
        <f>SUMIFS(Trans_Demand!D:D,Trans_Demand!A:A,B258,Trans_Demand!C:C,F258)</f>
        <v>0</v>
      </c>
    </row>
    <row r="259" spans="2:7">
      <c r="B259" t="str">
        <f>Trans_Demand!A255</f>
        <v>COMMUNNewDMD</v>
      </c>
      <c r="C259" t="str">
        <f>"DEMAND - "&amp;_xlfn.XLOOKUP(B259,Demand!E:E,Demand!A:A)&amp;" "&amp;_xlfn.XLOOKUP(B259,Demand!E:E,Demand!B:B)&amp;" "&amp;_xlfn.XLOOKUP(B259,Demand!E:E,Demand!C:C)&amp;" "&amp;_xlfn.XLOOKUP(B259,Demand!E:E,Demand!D:D)</f>
        <v>DEMAND - Commercial Municipal  New</v>
      </c>
      <c r="D259" t="str">
        <f>_xlfn.XLOOKUP(B259,Trans_Demand!A:A,Trans_Demand!B:B)</f>
        <v>Mm2</v>
      </c>
      <c r="E259" t="s">
        <v>214</v>
      </c>
      <c r="F259">
        <f>Trans_Demand!C255</f>
        <v>2020</v>
      </c>
      <c r="G259" s="11">
        <f>SUMIFS(Trans_Demand!D:D,Trans_Demand!A:A,B259,Trans_Demand!C:C,F259)</f>
        <v>0.33682665691832597</v>
      </c>
    </row>
    <row r="260" spans="2:7">
      <c r="B260" t="str">
        <f>Trans_Demand!A256</f>
        <v>COMMUNNewDMD</v>
      </c>
      <c r="C260" t="str">
        <f>"DEMAND - "&amp;_xlfn.XLOOKUP(B260,Demand!E:E,Demand!A:A)&amp;" "&amp;_xlfn.XLOOKUP(B260,Demand!E:E,Demand!B:B)&amp;" "&amp;_xlfn.XLOOKUP(B260,Demand!E:E,Demand!C:C)&amp;" "&amp;_xlfn.XLOOKUP(B260,Demand!E:E,Demand!D:D)</f>
        <v>DEMAND - Commercial Municipal  New</v>
      </c>
      <c r="D260" t="str">
        <f>_xlfn.XLOOKUP(B260,Trans_Demand!A:A,Trans_Demand!B:B)</f>
        <v>Mm2</v>
      </c>
      <c r="E260" t="s">
        <v>214</v>
      </c>
      <c r="F260">
        <f>Trans_Demand!C256</f>
        <v>2025</v>
      </c>
      <c r="G260" s="11">
        <f>SUMIFS(Trans_Demand!D:D,Trans_Demand!A:A,B260,Trans_Demand!C:C,F260)</f>
        <v>2.0209599415099562</v>
      </c>
    </row>
    <row r="261" spans="2:7">
      <c r="B261" t="str">
        <f>Trans_Demand!A257</f>
        <v>COMMUNNewDMD</v>
      </c>
      <c r="C261" t="str">
        <f>"DEMAND - "&amp;_xlfn.XLOOKUP(B261,Demand!E:E,Demand!A:A)&amp;" "&amp;_xlfn.XLOOKUP(B261,Demand!E:E,Demand!B:B)&amp;" "&amp;_xlfn.XLOOKUP(B261,Demand!E:E,Demand!C:C)&amp;" "&amp;_xlfn.XLOOKUP(B261,Demand!E:E,Demand!D:D)</f>
        <v>DEMAND - Commercial Municipal  New</v>
      </c>
      <c r="D261" t="str">
        <f>_xlfn.XLOOKUP(B261,Trans_Demand!A:A,Trans_Demand!B:B)</f>
        <v>Mm2</v>
      </c>
      <c r="E261" t="s">
        <v>214</v>
      </c>
      <c r="F261">
        <f>Trans_Demand!C257</f>
        <v>2030</v>
      </c>
      <c r="G261" s="11">
        <f>SUMIFS(Trans_Demand!D:D,Trans_Demand!A:A,B261,Trans_Demand!C:C,F261)</f>
        <v>3.7050932261015861</v>
      </c>
    </row>
    <row r="262" spans="2:7">
      <c r="B262" t="str">
        <f>Trans_Demand!A258</f>
        <v>COMMUNNewDMD</v>
      </c>
      <c r="C262" t="str">
        <f>"DEMAND - "&amp;_xlfn.XLOOKUP(B262,Demand!E:E,Demand!A:A)&amp;" "&amp;_xlfn.XLOOKUP(B262,Demand!E:E,Demand!B:B)&amp;" "&amp;_xlfn.XLOOKUP(B262,Demand!E:E,Demand!C:C)&amp;" "&amp;_xlfn.XLOOKUP(B262,Demand!E:E,Demand!D:D)</f>
        <v>DEMAND - Commercial Municipal  New</v>
      </c>
      <c r="D262" t="str">
        <f>_xlfn.XLOOKUP(B262,Trans_Demand!A:A,Trans_Demand!B:B)</f>
        <v>Mm2</v>
      </c>
      <c r="E262" t="s">
        <v>214</v>
      </c>
      <c r="F262">
        <f>Trans_Demand!C258</f>
        <v>2035</v>
      </c>
      <c r="G262" s="11">
        <f>SUMIFS(Trans_Demand!D:D,Trans_Demand!A:A,B262,Trans_Demand!C:C,F262)</f>
        <v>5.3892265106932156</v>
      </c>
    </row>
    <row r="263" spans="2:7">
      <c r="B263" t="str">
        <f>Trans_Demand!A259</f>
        <v>COMMUNNewDMD</v>
      </c>
      <c r="C263" t="str">
        <f>"DEMAND - "&amp;_xlfn.XLOOKUP(B263,Demand!E:E,Demand!A:A)&amp;" "&amp;_xlfn.XLOOKUP(B263,Demand!E:E,Demand!B:B)&amp;" "&amp;_xlfn.XLOOKUP(B263,Demand!E:E,Demand!C:C)&amp;" "&amp;_xlfn.XLOOKUP(B263,Demand!E:E,Demand!D:D)</f>
        <v>DEMAND - Commercial Municipal  New</v>
      </c>
      <c r="D263" t="str">
        <f>_xlfn.XLOOKUP(B263,Trans_Demand!A:A,Trans_Demand!B:B)</f>
        <v>Mm2</v>
      </c>
      <c r="E263" t="s">
        <v>214</v>
      </c>
      <c r="F263">
        <f>Trans_Demand!C259</f>
        <v>2040</v>
      </c>
      <c r="G263" s="11">
        <f>SUMIFS(Trans_Demand!D:D,Trans_Demand!A:A,B263,Trans_Demand!C:C,F263)</f>
        <v>7.0733597952848468</v>
      </c>
    </row>
    <row r="264" spans="2:7">
      <c r="B264" t="str">
        <f>Trans_Demand!A260</f>
        <v>COMMUNNewDMD</v>
      </c>
      <c r="C264" t="str">
        <f>"DEMAND - "&amp;_xlfn.XLOOKUP(B264,Demand!E:E,Demand!A:A)&amp;" "&amp;_xlfn.XLOOKUP(B264,Demand!E:E,Demand!B:B)&amp;" "&amp;_xlfn.XLOOKUP(B264,Demand!E:E,Demand!C:C)&amp;" "&amp;_xlfn.XLOOKUP(B264,Demand!E:E,Demand!D:D)</f>
        <v>DEMAND - Commercial Municipal  New</v>
      </c>
      <c r="D264" t="str">
        <f>_xlfn.XLOOKUP(B264,Trans_Demand!A:A,Trans_Demand!B:B)</f>
        <v>Mm2</v>
      </c>
      <c r="E264" t="s">
        <v>214</v>
      </c>
      <c r="F264">
        <f>Trans_Demand!C260</f>
        <v>2045</v>
      </c>
      <c r="G264" s="11">
        <f>SUMIFS(Trans_Demand!D:D,Trans_Demand!A:A,B264,Trans_Demand!C:C,F264)</f>
        <v>8.7574930798764772</v>
      </c>
    </row>
    <row r="265" spans="2:7">
      <c r="B265" t="str">
        <f>Trans_Demand!A261</f>
        <v>COMMUNNewDMD</v>
      </c>
      <c r="C265" t="str">
        <f>"DEMAND - "&amp;_xlfn.XLOOKUP(B265,Demand!E:E,Demand!A:A)&amp;" "&amp;_xlfn.XLOOKUP(B265,Demand!E:E,Demand!B:B)&amp;" "&amp;_xlfn.XLOOKUP(B265,Demand!E:E,Demand!C:C)&amp;" "&amp;_xlfn.XLOOKUP(B265,Demand!E:E,Demand!D:D)</f>
        <v>DEMAND - Commercial Municipal  New</v>
      </c>
      <c r="D265" t="str">
        <f>_xlfn.XLOOKUP(B265,Trans_Demand!A:A,Trans_Demand!B:B)</f>
        <v>Mm2</v>
      </c>
      <c r="E265" t="s">
        <v>214</v>
      </c>
      <c r="F265">
        <f>Trans_Demand!C261</f>
        <v>2050</v>
      </c>
      <c r="G265" s="11">
        <f>SUMIFS(Trans_Demand!D:D,Trans_Demand!A:A,B265,Trans_Demand!C:C,F265)</f>
        <v>10.44162636446811</v>
      </c>
    </row>
    <row r="266" spans="2:7">
      <c r="B266" t="str">
        <f>Trans_Demand!A262</f>
        <v>COMMUNNewDMD</v>
      </c>
      <c r="C266" t="str">
        <f>"DEMAND - "&amp;_xlfn.XLOOKUP(B266,Demand!E:E,Demand!A:A)&amp;" "&amp;_xlfn.XLOOKUP(B266,Demand!E:E,Demand!B:B)&amp;" "&amp;_xlfn.XLOOKUP(B266,Demand!E:E,Demand!C:C)&amp;" "&amp;_xlfn.XLOOKUP(B266,Demand!E:E,Demand!D:D)</f>
        <v>DEMAND - Commercial Municipal  New</v>
      </c>
      <c r="D266" t="str">
        <f>_xlfn.XLOOKUP(B266,Trans_Demand!A:A,Trans_Demand!B:B)</f>
        <v>Mm2</v>
      </c>
      <c r="E266" t="s">
        <v>214</v>
      </c>
      <c r="F266">
        <f>Trans_Demand!C262</f>
        <v>2055</v>
      </c>
      <c r="G266" s="11">
        <f>SUMIFS(Trans_Demand!D:D,Trans_Demand!A:A,B266,Trans_Demand!C:C,F266)</f>
        <v>12.12575964905974</v>
      </c>
    </row>
    <row r="267" spans="2:7">
      <c r="B267" t="str">
        <f>Trans_Demand!A263</f>
        <v>COMMUNNewDMD</v>
      </c>
      <c r="C267" t="str">
        <f>"DEMAND - "&amp;_xlfn.XLOOKUP(B267,Demand!E:E,Demand!A:A)&amp;" "&amp;_xlfn.XLOOKUP(B267,Demand!E:E,Demand!B:B)&amp;" "&amp;_xlfn.XLOOKUP(B267,Demand!E:E,Demand!C:C)&amp;" "&amp;_xlfn.XLOOKUP(B267,Demand!E:E,Demand!D:D)</f>
        <v>DEMAND - Commercial Municipal  New</v>
      </c>
      <c r="D267" t="str">
        <f>_xlfn.XLOOKUP(B267,Trans_Demand!A:A,Trans_Demand!B:B)</f>
        <v>Mm2</v>
      </c>
      <c r="E267" t="s">
        <v>214</v>
      </c>
      <c r="F267">
        <f>Trans_Demand!C263</f>
        <v>2060</v>
      </c>
      <c r="G267" s="11">
        <f>SUMIFS(Trans_Demand!D:D,Trans_Demand!A:A,B267,Trans_Demand!C:C,F267)</f>
        <v>13.809892933651369</v>
      </c>
    </row>
    <row r="268" spans="2:7">
      <c r="B268" t="str">
        <f>Trans_Demand!A264</f>
        <v>COMMUNNewDMD</v>
      </c>
      <c r="C268" t="str">
        <f>"DEMAND - "&amp;_xlfn.XLOOKUP(B268,Demand!E:E,Demand!A:A)&amp;" "&amp;_xlfn.XLOOKUP(B268,Demand!E:E,Demand!B:B)&amp;" "&amp;_xlfn.XLOOKUP(B268,Demand!E:E,Demand!C:C)&amp;" "&amp;_xlfn.XLOOKUP(B268,Demand!E:E,Demand!D:D)</f>
        <v>DEMAND - Commercial Municipal  New</v>
      </c>
      <c r="D268" t="str">
        <f>_xlfn.XLOOKUP(B268,Trans_Demand!A:A,Trans_Demand!B:B)</f>
        <v>Mm2</v>
      </c>
      <c r="E268" t="s">
        <v>214</v>
      </c>
      <c r="F268">
        <f>Trans_Demand!C264</f>
        <v>2065</v>
      </c>
      <c r="G268" s="11">
        <f>SUMIFS(Trans_Demand!D:D,Trans_Demand!A:A,B268,Trans_Demand!C:C,F268)</f>
        <v>15.494026218243</v>
      </c>
    </row>
    <row r="269" spans="2:7">
      <c r="B269" t="str">
        <f>Trans_Demand!A265</f>
        <v>COMMUNNewDMD</v>
      </c>
      <c r="C269" t="str">
        <f>"DEMAND - "&amp;_xlfn.XLOOKUP(B269,Demand!E:E,Demand!A:A)&amp;" "&amp;_xlfn.XLOOKUP(B269,Demand!E:E,Demand!B:B)&amp;" "&amp;_xlfn.XLOOKUP(B269,Demand!E:E,Demand!C:C)&amp;" "&amp;_xlfn.XLOOKUP(B269,Demand!E:E,Demand!D:D)</f>
        <v>DEMAND - Commercial Municipal  New</v>
      </c>
      <c r="D269" t="str">
        <f>_xlfn.XLOOKUP(B269,Trans_Demand!A:A,Trans_Demand!B:B)</f>
        <v>Mm2</v>
      </c>
      <c r="E269" t="s">
        <v>214</v>
      </c>
      <c r="F269">
        <f>Trans_Demand!C265</f>
        <v>2070</v>
      </c>
      <c r="G269" s="11">
        <f>SUMIFS(Trans_Demand!D:D,Trans_Demand!A:A,B269,Trans_Demand!C:C,F269)</f>
        <v>17.178159502834621</v>
      </c>
    </row>
    <row r="270" spans="2:7">
      <c r="B270" t="str">
        <f>Trans_Demand!A266</f>
        <v>COMMUNNewDMD</v>
      </c>
      <c r="C270" t="str">
        <f>"DEMAND - "&amp;_xlfn.XLOOKUP(B270,Demand!E:E,Demand!A:A)&amp;" "&amp;_xlfn.XLOOKUP(B270,Demand!E:E,Demand!B:B)&amp;" "&amp;_xlfn.XLOOKUP(B270,Demand!E:E,Demand!C:C)&amp;" "&amp;_xlfn.XLOOKUP(B270,Demand!E:E,Demand!D:D)</f>
        <v>DEMAND - Commercial Municipal  New</v>
      </c>
      <c r="D270" t="str">
        <f>_xlfn.XLOOKUP(B270,Trans_Demand!A:A,Trans_Demand!B:B)</f>
        <v>Mm2</v>
      </c>
      <c r="E270" t="s">
        <v>214</v>
      </c>
      <c r="F270">
        <f>Trans_Demand!C266</f>
        <v>2075</v>
      </c>
      <c r="G270" s="11">
        <f>SUMIFS(Trans_Demand!D:D,Trans_Demand!A:A,B270,Trans_Demand!C:C,F270)</f>
        <v>18.862292787426259</v>
      </c>
    </row>
    <row r="271" spans="2:7">
      <c r="B271" t="str">
        <f>Trans_Demand!A267</f>
        <v>COMMUNNewDMD</v>
      </c>
      <c r="C271" t="str">
        <f>"DEMAND - "&amp;_xlfn.XLOOKUP(B271,Demand!E:E,Demand!A:A)&amp;" "&amp;_xlfn.XLOOKUP(B271,Demand!E:E,Demand!B:B)&amp;" "&amp;_xlfn.XLOOKUP(B271,Demand!E:E,Demand!C:C)&amp;" "&amp;_xlfn.XLOOKUP(B271,Demand!E:E,Demand!D:D)</f>
        <v>DEMAND - Commercial Municipal  New</v>
      </c>
      <c r="D271" t="str">
        <f>_xlfn.XLOOKUP(B271,Trans_Demand!A:A,Trans_Demand!B:B)</f>
        <v>Mm2</v>
      </c>
      <c r="E271" t="s">
        <v>214</v>
      </c>
      <c r="F271">
        <f>Trans_Demand!C267</f>
        <v>2080</v>
      </c>
      <c r="G271" s="11">
        <f>SUMIFS(Trans_Demand!D:D,Trans_Demand!A:A,B271,Trans_Demand!C:C,F271)</f>
        <v>20.546426072017891</v>
      </c>
    </row>
    <row r="272" spans="2:7">
      <c r="B272" t="str">
        <f>Trans_Demand!A268</f>
        <v>COMMUNNewDMD</v>
      </c>
      <c r="C272" t="str">
        <f>"DEMAND - "&amp;_xlfn.XLOOKUP(B272,Demand!E:E,Demand!A:A)&amp;" "&amp;_xlfn.XLOOKUP(B272,Demand!E:E,Demand!B:B)&amp;" "&amp;_xlfn.XLOOKUP(B272,Demand!E:E,Demand!C:C)&amp;" "&amp;_xlfn.XLOOKUP(B272,Demand!E:E,Demand!D:D)</f>
        <v>DEMAND - Commercial Municipal  New</v>
      </c>
      <c r="D272" t="str">
        <f>_xlfn.XLOOKUP(B272,Trans_Demand!A:A,Trans_Demand!B:B)</f>
        <v>Mm2</v>
      </c>
      <c r="E272" t="s">
        <v>214</v>
      </c>
      <c r="F272">
        <f>Trans_Demand!C268</f>
        <v>2085</v>
      </c>
      <c r="G272" s="11">
        <f>SUMIFS(Trans_Demand!D:D,Trans_Demand!A:A,B272,Trans_Demand!C:C,F272)</f>
        <v>22.230559356609518</v>
      </c>
    </row>
    <row r="273" spans="2:7">
      <c r="B273" t="str">
        <f>Trans_Demand!A269</f>
        <v>COMMUNNewDMD</v>
      </c>
      <c r="C273" t="str">
        <f>"DEMAND - "&amp;_xlfn.XLOOKUP(B273,Demand!E:E,Demand!A:A)&amp;" "&amp;_xlfn.XLOOKUP(B273,Demand!E:E,Demand!B:B)&amp;" "&amp;_xlfn.XLOOKUP(B273,Demand!E:E,Demand!C:C)&amp;" "&amp;_xlfn.XLOOKUP(B273,Demand!E:E,Demand!D:D)</f>
        <v>DEMAND - Commercial Municipal  New</v>
      </c>
      <c r="D273" t="str">
        <f>_xlfn.XLOOKUP(B273,Trans_Demand!A:A,Trans_Demand!B:B)</f>
        <v>Mm2</v>
      </c>
      <c r="E273" t="s">
        <v>214</v>
      </c>
      <c r="F273">
        <f>Trans_Demand!C269</f>
        <v>2090</v>
      </c>
      <c r="G273" s="11">
        <f>SUMIFS(Trans_Demand!D:D,Trans_Demand!A:A,B273,Trans_Demand!C:C,F273)</f>
        <v>23.91469264120115</v>
      </c>
    </row>
    <row r="274" spans="2:7">
      <c r="B274" t="str">
        <f>Trans_Demand!A270</f>
        <v>COMMUNNewDMD</v>
      </c>
      <c r="C274" t="str">
        <f>"DEMAND - "&amp;_xlfn.XLOOKUP(B274,Demand!E:E,Demand!A:A)&amp;" "&amp;_xlfn.XLOOKUP(B274,Demand!E:E,Demand!B:B)&amp;" "&amp;_xlfn.XLOOKUP(B274,Demand!E:E,Demand!C:C)&amp;" "&amp;_xlfn.XLOOKUP(B274,Demand!E:E,Demand!D:D)</f>
        <v>DEMAND - Commercial Municipal  New</v>
      </c>
      <c r="D274" t="str">
        <f>_xlfn.XLOOKUP(B274,Trans_Demand!A:A,Trans_Demand!B:B)</f>
        <v>Mm2</v>
      </c>
      <c r="E274" t="s">
        <v>214</v>
      </c>
      <c r="F274">
        <f>Trans_Demand!C270</f>
        <v>2095</v>
      </c>
      <c r="G274" s="11">
        <f>SUMIFS(Trans_Demand!D:D,Trans_Demand!A:A,B274,Trans_Demand!C:C,F274)</f>
        <v>25.598825925792781</v>
      </c>
    </row>
    <row r="275" spans="2:7">
      <c r="B275" t="str">
        <f>Trans_Demand!A271</f>
        <v>COMMUNNewDMD</v>
      </c>
      <c r="C275" t="str">
        <f>"DEMAND - "&amp;_xlfn.XLOOKUP(B275,Demand!E:E,Demand!A:A)&amp;" "&amp;_xlfn.XLOOKUP(B275,Demand!E:E,Demand!B:B)&amp;" "&amp;_xlfn.XLOOKUP(B275,Demand!E:E,Demand!C:C)&amp;" "&amp;_xlfn.XLOOKUP(B275,Demand!E:E,Demand!D:D)</f>
        <v>DEMAND - Commercial Municipal  New</v>
      </c>
      <c r="D275" t="str">
        <f>_xlfn.XLOOKUP(B275,Trans_Demand!A:A,Trans_Demand!B:B)</f>
        <v>Mm2</v>
      </c>
      <c r="E275" t="s">
        <v>214</v>
      </c>
      <c r="F275">
        <f>Trans_Demand!C271</f>
        <v>2100</v>
      </c>
      <c r="G275" s="11">
        <f>SUMIFS(Trans_Demand!D:D,Trans_Demand!A:A,B275,Trans_Demand!C:C,F275)</f>
        <v>27.282959210384409</v>
      </c>
    </row>
    <row r="276" spans="2:7">
      <c r="B276" t="str">
        <f>Trans_Demand!A272</f>
        <v>COMOTHNewDMD</v>
      </c>
      <c r="C276" t="str">
        <f>"DEMAND - "&amp;_xlfn.XLOOKUP(B276,Demand!E:E,Demand!A:A)&amp;" "&amp;_xlfn.XLOOKUP(B276,Demand!E:E,Demand!B:B)&amp;" "&amp;_xlfn.XLOOKUP(B276,Demand!E:E,Demand!C:C)&amp;" "&amp;_xlfn.XLOOKUP(B276,Demand!E:E,Demand!D:D)</f>
        <v>DEMAND - Commercial Other  New</v>
      </c>
      <c r="D276" t="str">
        <f>_xlfn.XLOOKUP(B276,Trans_Demand!A:A,Trans_Demand!B:B)</f>
        <v>Mm2</v>
      </c>
      <c r="E276" t="s">
        <v>214</v>
      </c>
      <c r="F276">
        <f>Trans_Demand!C272</f>
        <v>2019</v>
      </c>
      <c r="G276" s="11">
        <f>SUMIFS(Trans_Demand!D:D,Trans_Demand!A:A,B276,Trans_Demand!C:C,F276)</f>
        <v>0</v>
      </c>
    </row>
    <row r="277" spans="2:7">
      <c r="B277" t="str">
        <f>Trans_Demand!A273</f>
        <v>COMOTHNewDMD</v>
      </c>
      <c r="C277" t="str">
        <f>"DEMAND - "&amp;_xlfn.XLOOKUP(B277,Demand!E:E,Demand!A:A)&amp;" "&amp;_xlfn.XLOOKUP(B277,Demand!E:E,Demand!B:B)&amp;" "&amp;_xlfn.XLOOKUP(B277,Demand!E:E,Demand!C:C)&amp;" "&amp;_xlfn.XLOOKUP(B277,Demand!E:E,Demand!D:D)</f>
        <v>DEMAND - Commercial Other  New</v>
      </c>
      <c r="D277" t="str">
        <f>_xlfn.XLOOKUP(B277,Trans_Demand!A:A,Trans_Demand!B:B)</f>
        <v>Mm2</v>
      </c>
      <c r="E277" t="s">
        <v>214</v>
      </c>
      <c r="F277">
        <f>Trans_Demand!C273</f>
        <v>2020</v>
      </c>
      <c r="G277" s="11">
        <f>SUMIFS(Trans_Demand!D:D,Trans_Demand!A:A,B277,Trans_Demand!C:C,F277)</f>
        <v>0.17520560891415529</v>
      </c>
    </row>
    <row r="278" spans="2:7">
      <c r="B278" t="str">
        <f>Trans_Demand!A274</f>
        <v>COMOTHNewDMD</v>
      </c>
      <c r="C278" t="str">
        <f>"DEMAND - "&amp;_xlfn.XLOOKUP(B278,Demand!E:E,Demand!A:A)&amp;" "&amp;_xlfn.XLOOKUP(B278,Demand!E:E,Demand!B:B)&amp;" "&amp;_xlfn.XLOOKUP(B278,Demand!E:E,Demand!C:C)&amp;" "&amp;_xlfn.XLOOKUP(B278,Demand!E:E,Demand!D:D)</f>
        <v>DEMAND - Commercial Other  New</v>
      </c>
      <c r="D278" t="str">
        <f>_xlfn.XLOOKUP(B278,Trans_Demand!A:A,Trans_Demand!B:B)</f>
        <v>Mm2</v>
      </c>
      <c r="E278" t="s">
        <v>214</v>
      </c>
      <c r="F278">
        <f>Trans_Demand!C274</f>
        <v>2025</v>
      </c>
      <c r="G278" s="11">
        <f>SUMIFS(Trans_Demand!D:D,Trans_Demand!A:A,B278,Trans_Demand!C:C,F278)</f>
        <v>1.051233653484932</v>
      </c>
    </row>
    <row r="279" spans="2:7">
      <c r="B279" t="str">
        <f>Trans_Demand!A275</f>
        <v>COMOTHNewDMD</v>
      </c>
      <c r="C279" t="str">
        <f>"DEMAND - "&amp;_xlfn.XLOOKUP(B279,Demand!E:E,Demand!A:A)&amp;" "&amp;_xlfn.XLOOKUP(B279,Demand!E:E,Demand!B:B)&amp;" "&amp;_xlfn.XLOOKUP(B279,Demand!E:E,Demand!C:C)&amp;" "&amp;_xlfn.XLOOKUP(B279,Demand!E:E,Demand!D:D)</f>
        <v>DEMAND - Commercial Other  New</v>
      </c>
      <c r="D279" t="str">
        <f>_xlfn.XLOOKUP(B279,Trans_Demand!A:A,Trans_Demand!B:B)</f>
        <v>Mm2</v>
      </c>
      <c r="E279" t="s">
        <v>214</v>
      </c>
      <c r="F279">
        <f>Trans_Demand!C275</f>
        <v>2030</v>
      </c>
      <c r="G279" s="11">
        <f>SUMIFS(Trans_Demand!D:D,Trans_Demand!A:A,B279,Trans_Demand!C:C,F279)</f>
        <v>1.9272616980557089</v>
      </c>
    </row>
    <row r="280" spans="2:7">
      <c r="B280" t="str">
        <f>Trans_Demand!A276</f>
        <v>COMOTHNewDMD</v>
      </c>
      <c r="C280" t="str">
        <f>"DEMAND - "&amp;_xlfn.XLOOKUP(B280,Demand!E:E,Demand!A:A)&amp;" "&amp;_xlfn.XLOOKUP(B280,Demand!E:E,Demand!B:B)&amp;" "&amp;_xlfn.XLOOKUP(B280,Demand!E:E,Demand!C:C)&amp;" "&amp;_xlfn.XLOOKUP(B280,Demand!E:E,Demand!D:D)</f>
        <v>DEMAND - Commercial Other  New</v>
      </c>
      <c r="D280" t="str">
        <f>_xlfn.XLOOKUP(B280,Trans_Demand!A:A,Trans_Demand!B:B)</f>
        <v>Mm2</v>
      </c>
      <c r="E280" t="s">
        <v>214</v>
      </c>
      <c r="F280">
        <f>Trans_Demand!C276</f>
        <v>2035</v>
      </c>
      <c r="G280" s="11">
        <f>SUMIFS(Trans_Demand!D:D,Trans_Demand!A:A,B280,Trans_Demand!C:C,F280)</f>
        <v>2.8032897426264851</v>
      </c>
    </row>
    <row r="281" spans="2:7">
      <c r="B281" t="str">
        <f>Trans_Demand!A277</f>
        <v>COMOTHNewDMD</v>
      </c>
      <c r="C281" t="str">
        <f>"DEMAND - "&amp;_xlfn.XLOOKUP(B281,Demand!E:E,Demand!A:A)&amp;" "&amp;_xlfn.XLOOKUP(B281,Demand!E:E,Demand!B:B)&amp;" "&amp;_xlfn.XLOOKUP(B281,Demand!E:E,Demand!C:C)&amp;" "&amp;_xlfn.XLOOKUP(B281,Demand!E:E,Demand!D:D)</f>
        <v>DEMAND - Commercial Other  New</v>
      </c>
      <c r="D281" t="str">
        <f>_xlfn.XLOOKUP(B281,Trans_Demand!A:A,Trans_Demand!B:B)</f>
        <v>Mm2</v>
      </c>
      <c r="E281" t="s">
        <v>214</v>
      </c>
      <c r="F281">
        <f>Trans_Demand!C277</f>
        <v>2040</v>
      </c>
      <c r="G281" s="11">
        <f>SUMIFS(Trans_Demand!D:D,Trans_Demand!A:A,B281,Trans_Demand!C:C,F281)</f>
        <v>3.6793177871972622</v>
      </c>
    </row>
    <row r="282" spans="2:7">
      <c r="B282" t="str">
        <f>Trans_Demand!A278</f>
        <v>COMOTHNewDMD</v>
      </c>
      <c r="C282" t="str">
        <f>"DEMAND - "&amp;_xlfn.XLOOKUP(B282,Demand!E:E,Demand!A:A)&amp;" "&amp;_xlfn.XLOOKUP(B282,Demand!E:E,Demand!B:B)&amp;" "&amp;_xlfn.XLOOKUP(B282,Demand!E:E,Demand!C:C)&amp;" "&amp;_xlfn.XLOOKUP(B282,Demand!E:E,Demand!D:D)</f>
        <v>DEMAND - Commercial Other  New</v>
      </c>
      <c r="D282" t="str">
        <f>_xlfn.XLOOKUP(B282,Trans_Demand!A:A,Trans_Demand!B:B)</f>
        <v>Mm2</v>
      </c>
      <c r="E282" t="s">
        <v>214</v>
      </c>
      <c r="F282">
        <f>Trans_Demand!C278</f>
        <v>2045</v>
      </c>
      <c r="G282" s="11">
        <f>SUMIFS(Trans_Demand!D:D,Trans_Demand!A:A,B282,Trans_Demand!C:C,F282)</f>
        <v>4.5553458317680384</v>
      </c>
    </row>
    <row r="283" spans="2:7">
      <c r="B283" t="str">
        <f>Trans_Demand!A279</f>
        <v>COMOTHNewDMD</v>
      </c>
      <c r="C283" t="str">
        <f>"DEMAND - "&amp;_xlfn.XLOOKUP(B283,Demand!E:E,Demand!A:A)&amp;" "&amp;_xlfn.XLOOKUP(B283,Demand!E:E,Demand!B:B)&amp;" "&amp;_xlfn.XLOOKUP(B283,Demand!E:E,Demand!C:C)&amp;" "&amp;_xlfn.XLOOKUP(B283,Demand!E:E,Demand!D:D)</f>
        <v>DEMAND - Commercial Other  New</v>
      </c>
      <c r="D283" t="str">
        <f>_xlfn.XLOOKUP(B283,Trans_Demand!A:A,Trans_Demand!B:B)</f>
        <v>Mm2</v>
      </c>
      <c r="E283" t="s">
        <v>214</v>
      </c>
      <c r="F283">
        <f>Trans_Demand!C279</f>
        <v>2050</v>
      </c>
      <c r="G283" s="11">
        <f>SUMIFS(Trans_Demand!D:D,Trans_Demand!A:A,B283,Trans_Demand!C:C,F283)</f>
        <v>5.4313738763388164</v>
      </c>
    </row>
    <row r="284" spans="2:7">
      <c r="B284" t="str">
        <f>Trans_Demand!A280</f>
        <v>COMOTHNewDMD</v>
      </c>
      <c r="C284" t="str">
        <f>"DEMAND - "&amp;_xlfn.XLOOKUP(B284,Demand!E:E,Demand!A:A)&amp;" "&amp;_xlfn.XLOOKUP(B284,Demand!E:E,Demand!B:B)&amp;" "&amp;_xlfn.XLOOKUP(B284,Demand!E:E,Demand!C:C)&amp;" "&amp;_xlfn.XLOOKUP(B284,Demand!E:E,Demand!D:D)</f>
        <v>DEMAND - Commercial Other  New</v>
      </c>
      <c r="D284" t="str">
        <f>_xlfn.XLOOKUP(B284,Trans_Demand!A:A,Trans_Demand!B:B)</f>
        <v>Mm2</v>
      </c>
      <c r="E284" t="s">
        <v>214</v>
      </c>
      <c r="F284">
        <f>Trans_Demand!C280</f>
        <v>2055</v>
      </c>
      <c r="G284" s="11">
        <f>SUMIFS(Trans_Demand!D:D,Trans_Demand!A:A,B284,Trans_Demand!C:C,F284)</f>
        <v>6.3074019209095926</v>
      </c>
    </row>
    <row r="285" spans="2:7">
      <c r="B285" t="str">
        <f>Trans_Demand!A281</f>
        <v>COMOTHNewDMD</v>
      </c>
      <c r="C285" t="str">
        <f>"DEMAND - "&amp;_xlfn.XLOOKUP(B285,Demand!E:E,Demand!A:A)&amp;" "&amp;_xlfn.XLOOKUP(B285,Demand!E:E,Demand!B:B)&amp;" "&amp;_xlfn.XLOOKUP(B285,Demand!E:E,Demand!C:C)&amp;" "&amp;_xlfn.XLOOKUP(B285,Demand!E:E,Demand!D:D)</f>
        <v>DEMAND - Commercial Other  New</v>
      </c>
      <c r="D285" t="str">
        <f>_xlfn.XLOOKUP(B285,Trans_Demand!A:A,Trans_Demand!B:B)</f>
        <v>Mm2</v>
      </c>
      <c r="E285" t="s">
        <v>214</v>
      </c>
      <c r="F285">
        <f>Trans_Demand!C281</f>
        <v>2060</v>
      </c>
      <c r="G285" s="11">
        <f>SUMIFS(Trans_Demand!D:D,Trans_Demand!A:A,B285,Trans_Demand!C:C,F285)</f>
        <v>7.1834299654803697</v>
      </c>
    </row>
    <row r="286" spans="2:7">
      <c r="B286" t="str">
        <f>Trans_Demand!A282</f>
        <v>COMOTHNewDMD</v>
      </c>
      <c r="C286" t="str">
        <f>"DEMAND - "&amp;_xlfn.XLOOKUP(B286,Demand!E:E,Demand!A:A)&amp;" "&amp;_xlfn.XLOOKUP(B286,Demand!E:E,Demand!B:B)&amp;" "&amp;_xlfn.XLOOKUP(B286,Demand!E:E,Demand!C:C)&amp;" "&amp;_xlfn.XLOOKUP(B286,Demand!E:E,Demand!D:D)</f>
        <v>DEMAND - Commercial Other  New</v>
      </c>
      <c r="D286" t="str">
        <f>_xlfn.XLOOKUP(B286,Trans_Demand!A:A,Trans_Demand!B:B)</f>
        <v>Mm2</v>
      </c>
      <c r="E286" t="s">
        <v>214</v>
      </c>
      <c r="F286">
        <f>Trans_Demand!C282</f>
        <v>2065</v>
      </c>
      <c r="G286" s="11">
        <f>SUMIFS(Trans_Demand!D:D,Trans_Demand!A:A,B286,Trans_Demand!C:C,F286)</f>
        <v>8.0594580100511468</v>
      </c>
    </row>
    <row r="287" spans="2:7">
      <c r="B287" t="str">
        <f>Trans_Demand!A283</f>
        <v>COMOTHNewDMD</v>
      </c>
      <c r="C287" t="str">
        <f>"DEMAND - "&amp;_xlfn.XLOOKUP(B287,Demand!E:E,Demand!A:A)&amp;" "&amp;_xlfn.XLOOKUP(B287,Demand!E:E,Demand!B:B)&amp;" "&amp;_xlfn.XLOOKUP(B287,Demand!E:E,Demand!C:C)&amp;" "&amp;_xlfn.XLOOKUP(B287,Demand!E:E,Demand!D:D)</f>
        <v>DEMAND - Commercial Other  New</v>
      </c>
      <c r="D287" t="str">
        <f>_xlfn.XLOOKUP(B287,Trans_Demand!A:A,Trans_Demand!B:B)</f>
        <v>Mm2</v>
      </c>
      <c r="E287" t="s">
        <v>214</v>
      </c>
      <c r="F287">
        <f>Trans_Demand!C283</f>
        <v>2070</v>
      </c>
      <c r="G287" s="11">
        <f>SUMIFS(Trans_Demand!D:D,Trans_Demand!A:A,B287,Trans_Demand!C:C,F287)</f>
        <v>8.9354860546219239</v>
      </c>
    </row>
    <row r="288" spans="2:7">
      <c r="B288" t="str">
        <f>Trans_Demand!A284</f>
        <v>COMOTHNewDMD</v>
      </c>
      <c r="C288" t="str">
        <f>"DEMAND - "&amp;_xlfn.XLOOKUP(B288,Demand!E:E,Demand!A:A)&amp;" "&amp;_xlfn.XLOOKUP(B288,Demand!E:E,Demand!B:B)&amp;" "&amp;_xlfn.XLOOKUP(B288,Demand!E:E,Demand!C:C)&amp;" "&amp;_xlfn.XLOOKUP(B288,Demand!E:E,Demand!D:D)</f>
        <v>DEMAND - Commercial Other  New</v>
      </c>
      <c r="D288" t="str">
        <f>_xlfn.XLOOKUP(B288,Trans_Demand!A:A,Trans_Demand!B:B)</f>
        <v>Mm2</v>
      </c>
      <c r="E288" t="s">
        <v>214</v>
      </c>
      <c r="F288">
        <f>Trans_Demand!C284</f>
        <v>2075</v>
      </c>
      <c r="G288" s="11">
        <f>SUMIFS(Trans_Demand!D:D,Trans_Demand!A:A,B288,Trans_Demand!C:C,F288)</f>
        <v>9.811514099192701</v>
      </c>
    </row>
    <row r="289" spans="2:7">
      <c r="B289" t="str">
        <f>Trans_Demand!A285</f>
        <v>COMOTHNewDMD</v>
      </c>
      <c r="C289" t="str">
        <f>"DEMAND - "&amp;_xlfn.XLOOKUP(B289,Demand!E:E,Demand!A:A)&amp;" "&amp;_xlfn.XLOOKUP(B289,Demand!E:E,Demand!B:B)&amp;" "&amp;_xlfn.XLOOKUP(B289,Demand!E:E,Demand!C:C)&amp;" "&amp;_xlfn.XLOOKUP(B289,Demand!E:E,Demand!D:D)</f>
        <v>DEMAND - Commercial Other  New</v>
      </c>
      <c r="D289" t="str">
        <f>_xlfn.XLOOKUP(B289,Trans_Demand!A:A,Trans_Demand!B:B)</f>
        <v>Mm2</v>
      </c>
      <c r="E289" t="s">
        <v>214</v>
      </c>
      <c r="F289">
        <f>Trans_Demand!C285</f>
        <v>2080</v>
      </c>
      <c r="G289" s="11">
        <f>SUMIFS(Trans_Demand!D:D,Trans_Demand!A:A,B289,Trans_Demand!C:C,F289)</f>
        <v>10.68754214376348</v>
      </c>
    </row>
    <row r="290" spans="2:7">
      <c r="B290" t="str">
        <f>Trans_Demand!A286</f>
        <v>COMOTHNewDMD</v>
      </c>
      <c r="C290" t="str">
        <f>"DEMAND - "&amp;_xlfn.XLOOKUP(B290,Demand!E:E,Demand!A:A)&amp;" "&amp;_xlfn.XLOOKUP(B290,Demand!E:E,Demand!B:B)&amp;" "&amp;_xlfn.XLOOKUP(B290,Demand!E:E,Demand!C:C)&amp;" "&amp;_xlfn.XLOOKUP(B290,Demand!E:E,Demand!D:D)</f>
        <v>DEMAND - Commercial Other  New</v>
      </c>
      <c r="D290" t="str">
        <f>_xlfn.XLOOKUP(B290,Trans_Demand!A:A,Trans_Demand!B:B)</f>
        <v>Mm2</v>
      </c>
      <c r="E290" t="s">
        <v>214</v>
      </c>
      <c r="F290">
        <f>Trans_Demand!C286</f>
        <v>2085</v>
      </c>
      <c r="G290" s="11">
        <f>SUMIFS(Trans_Demand!D:D,Trans_Demand!A:A,B290,Trans_Demand!C:C,F290)</f>
        <v>11.563570188334261</v>
      </c>
    </row>
    <row r="291" spans="2:7">
      <c r="B291" t="str">
        <f>Trans_Demand!A287</f>
        <v>COMOTHNewDMD</v>
      </c>
      <c r="C291" t="str">
        <f>"DEMAND - "&amp;_xlfn.XLOOKUP(B291,Demand!E:E,Demand!A:A)&amp;" "&amp;_xlfn.XLOOKUP(B291,Demand!E:E,Demand!B:B)&amp;" "&amp;_xlfn.XLOOKUP(B291,Demand!E:E,Demand!C:C)&amp;" "&amp;_xlfn.XLOOKUP(B291,Demand!E:E,Demand!D:D)</f>
        <v>DEMAND - Commercial Other  New</v>
      </c>
      <c r="D291" t="str">
        <f>_xlfn.XLOOKUP(B291,Trans_Demand!A:A,Trans_Demand!B:B)</f>
        <v>Mm2</v>
      </c>
      <c r="E291" t="s">
        <v>214</v>
      </c>
      <c r="F291">
        <f>Trans_Demand!C287</f>
        <v>2090</v>
      </c>
      <c r="G291" s="11">
        <f>SUMIFS(Trans_Demand!D:D,Trans_Demand!A:A,B291,Trans_Demand!C:C,F291)</f>
        <v>12.439598232905031</v>
      </c>
    </row>
    <row r="292" spans="2:7">
      <c r="B292" t="str">
        <f>Trans_Demand!A288</f>
        <v>COMOTHNewDMD</v>
      </c>
      <c r="C292" t="str">
        <f>"DEMAND - "&amp;_xlfn.XLOOKUP(B292,Demand!E:E,Demand!A:A)&amp;" "&amp;_xlfn.XLOOKUP(B292,Demand!E:E,Demand!B:B)&amp;" "&amp;_xlfn.XLOOKUP(B292,Demand!E:E,Demand!C:C)&amp;" "&amp;_xlfn.XLOOKUP(B292,Demand!E:E,Demand!D:D)</f>
        <v>DEMAND - Commercial Other  New</v>
      </c>
      <c r="D292" t="str">
        <f>_xlfn.XLOOKUP(B292,Trans_Demand!A:A,Trans_Demand!B:B)</f>
        <v>Mm2</v>
      </c>
      <c r="E292" t="s">
        <v>214</v>
      </c>
      <c r="F292">
        <f>Trans_Demand!C288</f>
        <v>2095</v>
      </c>
      <c r="G292" s="11">
        <f>SUMIFS(Trans_Demand!D:D,Trans_Demand!A:A,B292,Trans_Demand!C:C,F292)</f>
        <v>13.315626277475809</v>
      </c>
    </row>
    <row r="293" spans="2:7">
      <c r="B293" t="str">
        <f>Trans_Demand!A289</f>
        <v>COMOTHNewDMD</v>
      </c>
      <c r="C293" t="str">
        <f>"DEMAND - "&amp;_xlfn.XLOOKUP(B293,Demand!E:E,Demand!A:A)&amp;" "&amp;_xlfn.XLOOKUP(B293,Demand!E:E,Demand!B:B)&amp;" "&amp;_xlfn.XLOOKUP(B293,Demand!E:E,Demand!C:C)&amp;" "&amp;_xlfn.XLOOKUP(B293,Demand!E:E,Demand!D:D)</f>
        <v>DEMAND - Commercial Other  New</v>
      </c>
      <c r="D293" t="str">
        <f>_xlfn.XLOOKUP(B293,Trans_Demand!A:A,Trans_Demand!B:B)</f>
        <v>Mm2</v>
      </c>
      <c r="E293" t="s">
        <v>214</v>
      </c>
      <c r="F293">
        <f>Trans_Demand!C289</f>
        <v>2100</v>
      </c>
      <c r="G293" s="11">
        <f>SUMIFS(Trans_Demand!D:D,Trans_Demand!A:A,B293,Trans_Demand!C:C,F293)</f>
        <v>14.19165432204659</v>
      </c>
    </row>
    <row r="294" spans="2:7">
      <c r="G294" s="11"/>
    </row>
    <row r="295" spans="2:7">
      <c r="G295" s="11"/>
    </row>
    <row r="296" spans="2:7">
      <c r="G296" s="11"/>
    </row>
    <row r="297" spans="2:7">
      <c r="G297" s="11"/>
    </row>
    <row r="298" spans="2:7">
      <c r="G298" s="11"/>
    </row>
    <row r="299" spans="2:7">
      <c r="G299" s="11"/>
    </row>
    <row r="300" spans="2:7">
      <c r="G300" s="11"/>
    </row>
    <row r="301" spans="2:7">
      <c r="G301" s="11"/>
    </row>
    <row r="302" spans="2:7">
      <c r="G302" s="11"/>
    </row>
    <row r="303" spans="2:7">
      <c r="G303" s="11"/>
    </row>
    <row r="304" spans="2:7">
      <c r="G304" s="11"/>
    </row>
    <row r="305" spans="7:7">
      <c r="G305" s="11"/>
    </row>
    <row r="306" spans="7:7">
      <c r="G306" s="11"/>
    </row>
    <row r="307" spans="7:7">
      <c r="G307" s="11"/>
    </row>
    <row r="308" spans="7:7">
      <c r="G308" s="11"/>
    </row>
    <row r="309" spans="7:7">
      <c r="G309" s="11"/>
    </row>
    <row r="310" spans="7:7">
      <c r="G310" s="11"/>
    </row>
    <row r="311" spans="7:7">
      <c r="G311" s="11"/>
    </row>
    <row r="312" spans="7:7">
      <c r="G312" s="11"/>
    </row>
    <row r="313" spans="7:7">
      <c r="G313" s="11"/>
    </row>
    <row r="314" spans="7:7">
      <c r="G314" s="11"/>
    </row>
    <row r="315" spans="7:7">
      <c r="G315" s="11"/>
    </row>
    <row r="316" spans="7:7">
      <c r="G316" s="11"/>
    </row>
    <row r="317" spans="7:7">
      <c r="G317" s="11"/>
    </row>
    <row r="318" spans="7:7">
      <c r="G318" s="11"/>
    </row>
    <row r="319" spans="7:7">
      <c r="G319" s="11"/>
    </row>
    <row r="320" spans="7:7">
      <c r="G320" s="11"/>
    </row>
    <row r="321" spans="7:7">
      <c r="G321" s="11"/>
    </row>
    <row r="322" spans="7:7">
      <c r="G322" s="11"/>
    </row>
    <row r="323" spans="7:7">
      <c r="G323" s="11"/>
    </row>
    <row r="324" spans="7:7">
      <c r="G324" s="11"/>
    </row>
    <row r="325" spans="7:7">
      <c r="G325" s="11"/>
    </row>
    <row r="326" spans="7:7">
      <c r="G326" s="11"/>
    </row>
    <row r="327" spans="7:7">
      <c r="G327" s="11"/>
    </row>
    <row r="328" spans="7:7">
      <c r="G328" s="11"/>
    </row>
    <row r="329" spans="7:7">
      <c r="G329" s="11"/>
    </row>
    <row r="330" spans="7:7">
      <c r="G330" s="11"/>
    </row>
    <row r="331" spans="7:7">
      <c r="G331" s="11"/>
    </row>
    <row r="332" spans="7:7">
      <c r="G332" s="11"/>
    </row>
    <row r="333" spans="7:7">
      <c r="G333" s="11"/>
    </row>
    <row r="334" spans="7:7">
      <c r="G334" s="11"/>
    </row>
    <row r="335" spans="7:7">
      <c r="G335" s="11"/>
    </row>
    <row r="336" spans="7:7">
      <c r="G336" s="11"/>
    </row>
    <row r="337" spans="7:7">
      <c r="G337" s="11"/>
    </row>
    <row r="338" spans="7:7">
      <c r="G338" s="11"/>
    </row>
    <row r="339" spans="7:7">
      <c r="G339" s="11"/>
    </row>
    <row r="340" spans="7:7">
      <c r="G340" s="11"/>
    </row>
    <row r="341" spans="7:7">
      <c r="G341" s="11"/>
    </row>
    <row r="342" spans="7:7">
      <c r="G342" s="11"/>
    </row>
    <row r="343" spans="7:7">
      <c r="G343" s="11"/>
    </row>
    <row r="344" spans="7:7">
      <c r="G344" s="11"/>
    </row>
    <row r="345" spans="7:7">
      <c r="G345" s="11"/>
    </row>
    <row r="346" spans="7:7">
      <c r="G346" s="11"/>
    </row>
    <row r="347" spans="7:7">
      <c r="G347" s="11"/>
    </row>
    <row r="348" spans="7:7">
      <c r="G348" s="11"/>
    </row>
    <row r="349" spans="7:7">
      <c r="G349" s="11"/>
    </row>
    <row r="350" spans="7:7">
      <c r="G350" s="11"/>
    </row>
    <row r="351" spans="7:7">
      <c r="G351" s="11"/>
    </row>
    <row r="352" spans="7:7">
      <c r="G352" s="11"/>
    </row>
    <row r="353" spans="7:7">
      <c r="G353" s="11"/>
    </row>
    <row r="354" spans="7:7">
      <c r="G354" s="11"/>
    </row>
    <row r="355" spans="7:7">
      <c r="G355" s="11"/>
    </row>
    <row r="356" spans="7:7">
      <c r="G356" s="11"/>
    </row>
    <row r="357" spans="7:7">
      <c r="G357" s="11"/>
    </row>
    <row r="358" spans="7:7">
      <c r="G358" s="11"/>
    </row>
    <row r="359" spans="7:7">
      <c r="G359" s="11"/>
    </row>
    <row r="360" spans="7:7">
      <c r="G360" s="11"/>
    </row>
    <row r="361" spans="7:7">
      <c r="G361" s="11"/>
    </row>
    <row r="362" spans="7:7">
      <c r="G362" s="11"/>
    </row>
    <row r="363" spans="7:7">
      <c r="G363" s="11"/>
    </row>
    <row r="364" spans="7:7">
      <c r="G364" s="11"/>
    </row>
    <row r="365" spans="7:7">
      <c r="G365" s="11"/>
    </row>
    <row r="366" spans="7:7">
      <c r="G366" s="11"/>
    </row>
    <row r="367" spans="7:7">
      <c r="G367" s="11"/>
    </row>
    <row r="368" spans="7:7">
      <c r="G368" s="11"/>
    </row>
    <row r="369" spans="7:7">
      <c r="G369" s="11"/>
    </row>
    <row r="370" spans="7:7">
      <c r="G370" s="11"/>
    </row>
    <row r="371" spans="7:7">
      <c r="G371" s="11"/>
    </row>
    <row r="372" spans="7:7">
      <c r="G372" s="11"/>
    </row>
    <row r="373" spans="7:7">
      <c r="G373" s="11"/>
    </row>
    <row r="374" spans="7:7">
      <c r="G374" s="11"/>
    </row>
    <row r="375" spans="7:7">
      <c r="G375" s="11"/>
    </row>
    <row r="376" spans="7:7">
      <c r="G376" s="11"/>
    </row>
    <row r="377" spans="7:7">
      <c r="G377" s="11"/>
    </row>
    <row r="378" spans="7:7">
      <c r="G378" s="11"/>
    </row>
    <row r="379" spans="7:7">
      <c r="G379" s="11"/>
    </row>
    <row r="380" spans="7:7">
      <c r="G380" s="11"/>
    </row>
    <row r="381" spans="7:7">
      <c r="G381" s="11"/>
    </row>
    <row r="382" spans="7:7">
      <c r="G382" s="11"/>
    </row>
    <row r="383" spans="7:7">
      <c r="G383" s="11"/>
    </row>
    <row r="384" spans="7:7">
      <c r="G384" s="11"/>
    </row>
    <row r="385" spans="7:7">
      <c r="G385" s="11"/>
    </row>
    <row r="386" spans="7:7">
      <c r="G386" s="11"/>
    </row>
    <row r="387" spans="7:7">
      <c r="G387" s="11"/>
    </row>
    <row r="388" spans="7:7">
      <c r="G388" s="11"/>
    </row>
    <row r="389" spans="7:7">
      <c r="G389" s="11"/>
    </row>
    <row r="390" spans="7:7">
      <c r="G390" s="11"/>
    </row>
    <row r="391" spans="7:7">
      <c r="G391" s="11"/>
    </row>
    <row r="392" spans="7:7">
      <c r="G392" s="11"/>
    </row>
    <row r="393" spans="7:7">
      <c r="G393" s="11"/>
    </row>
    <row r="394" spans="7:7">
      <c r="G394" s="11"/>
    </row>
    <row r="395" spans="7:7">
      <c r="G395" s="11"/>
    </row>
    <row r="396" spans="7:7">
      <c r="G396" s="11"/>
    </row>
    <row r="397" spans="7:7">
      <c r="G397" s="11"/>
    </row>
    <row r="398" spans="7:7">
      <c r="G398" s="11"/>
    </row>
    <row r="399" spans="7:7">
      <c r="G399" s="11"/>
    </row>
    <row r="400" spans="7:7">
      <c r="G400" s="11"/>
    </row>
    <row r="401" spans="7:7">
      <c r="G401" s="11"/>
    </row>
    <row r="402" spans="7:7">
      <c r="G402" s="11"/>
    </row>
    <row r="403" spans="7:7">
      <c r="G403" s="11"/>
    </row>
    <row r="404" spans="7:7">
      <c r="G404" s="11"/>
    </row>
    <row r="405" spans="7:7">
      <c r="G405" s="11"/>
    </row>
    <row r="406" spans="7:7">
      <c r="G406" s="11"/>
    </row>
    <row r="407" spans="7:7">
      <c r="G407" s="11"/>
    </row>
    <row r="408" spans="7:7">
      <c r="G408" s="11"/>
    </row>
    <row r="409" spans="7:7">
      <c r="G409" s="11"/>
    </row>
    <row r="410" spans="7:7">
      <c r="G410" s="11"/>
    </row>
    <row r="411" spans="7:7">
      <c r="G411" s="11"/>
    </row>
    <row r="412" spans="7:7">
      <c r="G412" s="11"/>
    </row>
    <row r="413" spans="7:7">
      <c r="G413" s="11"/>
    </row>
    <row r="414" spans="7:7">
      <c r="G414" s="11"/>
    </row>
    <row r="415" spans="7:7">
      <c r="G415" s="11"/>
    </row>
    <row r="416" spans="7:7">
      <c r="G416" s="11"/>
    </row>
    <row r="417" spans="7:7">
      <c r="G417" s="11"/>
    </row>
    <row r="418" spans="7:7">
      <c r="G418" s="11"/>
    </row>
    <row r="419" spans="7:7">
      <c r="G419" s="11"/>
    </row>
    <row r="420" spans="7:7">
      <c r="G420" s="11"/>
    </row>
    <row r="421" spans="7:7">
      <c r="G421" s="11"/>
    </row>
    <row r="422" spans="7:7">
      <c r="G422" s="11"/>
    </row>
    <row r="423" spans="7:7">
      <c r="G423" s="11"/>
    </row>
    <row r="424" spans="7:7">
      <c r="G424" s="11"/>
    </row>
    <row r="425" spans="7:7">
      <c r="G425" s="11"/>
    </row>
    <row r="426" spans="7:7">
      <c r="G426" s="11"/>
    </row>
    <row r="427" spans="7:7">
      <c r="G427" s="11"/>
    </row>
    <row r="428" spans="7:7">
      <c r="G428" s="11"/>
    </row>
    <row r="429" spans="7:7">
      <c r="G429" s="11"/>
    </row>
    <row r="430" spans="7:7">
      <c r="G430" s="11"/>
    </row>
    <row r="431" spans="7:7">
      <c r="G431" s="11"/>
    </row>
    <row r="432" spans="7:7">
      <c r="G432" s="11"/>
    </row>
    <row r="433" spans="7:7">
      <c r="G433" s="11"/>
    </row>
    <row r="434" spans="7:7">
      <c r="G434" s="11"/>
    </row>
    <row r="435" spans="7:7">
      <c r="G435" s="11"/>
    </row>
    <row r="436" spans="7:7">
      <c r="G436" s="11"/>
    </row>
    <row r="437" spans="7:7">
      <c r="G437" s="11"/>
    </row>
    <row r="438" spans="7:7">
      <c r="G438" s="11"/>
    </row>
    <row r="439" spans="7:7">
      <c r="G439" s="11"/>
    </row>
    <row r="440" spans="7:7">
      <c r="G440" s="11"/>
    </row>
    <row r="441" spans="7:7">
      <c r="G441" s="11"/>
    </row>
    <row r="442" spans="7:7">
      <c r="G442" s="11"/>
    </row>
    <row r="443" spans="7:7">
      <c r="G443" s="11"/>
    </row>
    <row r="444" spans="7:7">
      <c r="G444" s="11"/>
    </row>
    <row r="445" spans="7:7">
      <c r="G445" s="11"/>
    </row>
    <row r="446" spans="7:7">
      <c r="G446" s="11"/>
    </row>
    <row r="447" spans="7:7">
      <c r="G447" s="11"/>
    </row>
    <row r="448" spans="7:7">
      <c r="G448" s="11"/>
    </row>
    <row r="449" spans="7:7">
      <c r="G449" s="11"/>
    </row>
    <row r="450" spans="7:7">
      <c r="G450" s="11"/>
    </row>
    <row r="451" spans="7:7">
      <c r="G451" s="11"/>
    </row>
    <row r="452" spans="7:7">
      <c r="G452" s="11"/>
    </row>
    <row r="453" spans="7:7">
      <c r="G453" s="11"/>
    </row>
    <row r="454" spans="7:7">
      <c r="G454" s="11"/>
    </row>
    <row r="455" spans="7:7">
      <c r="G455" s="11"/>
    </row>
    <row r="456" spans="7:7">
      <c r="G456" s="11"/>
    </row>
    <row r="457" spans="7:7">
      <c r="G457" s="11"/>
    </row>
    <row r="458" spans="7:7">
      <c r="G458" s="11"/>
    </row>
    <row r="459" spans="7:7">
      <c r="G459" s="11"/>
    </row>
    <row r="460" spans="7:7">
      <c r="G460" s="11"/>
    </row>
    <row r="461" spans="7:7">
      <c r="G461" s="11"/>
    </row>
    <row r="462" spans="7:7">
      <c r="G462" s="11"/>
    </row>
    <row r="463" spans="7:7">
      <c r="G463" s="11"/>
    </row>
    <row r="464" spans="7:7">
      <c r="G464" s="11"/>
    </row>
    <row r="465" spans="7:7">
      <c r="G465" s="11"/>
    </row>
    <row r="466" spans="7:7">
      <c r="G466" s="11"/>
    </row>
    <row r="467" spans="7:7">
      <c r="G467" s="11"/>
    </row>
    <row r="468" spans="7:7">
      <c r="G468" s="11"/>
    </row>
    <row r="469" spans="7:7">
      <c r="G469" s="11"/>
    </row>
    <row r="470" spans="7:7">
      <c r="G470" s="11"/>
    </row>
    <row r="471" spans="7:7">
      <c r="G471" s="11"/>
    </row>
    <row r="472" spans="7:7">
      <c r="G472" s="11"/>
    </row>
    <row r="473" spans="7:7">
      <c r="G473" s="11"/>
    </row>
    <row r="474" spans="7:7">
      <c r="G474" s="11"/>
    </row>
    <row r="475" spans="7:7">
      <c r="G475" s="11"/>
    </row>
    <row r="476" spans="7:7">
      <c r="G476" s="11"/>
    </row>
    <row r="477" spans="7:7">
      <c r="G477" s="11"/>
    </row>
    <row r="478" spans="7:7">
      <c r="G478" s="11"/>
    </row>
    <row r="479" spans="7:7">
      <c r="G479" s="11"/>
    </row>
    <row r="480" spans="7:7">
      <c r="G480" s="11"/>
    </row>
    <row r="481" spans="7:7">
      <c r="G481" s="11"/>
    </row>
    <row r="482" spans="7:7">
      <c r="G482" s="11"/>
    </row>
    <row r="483" spans="7:7">
      <c r="G483" s="11"/>
    </row>
    <row r="484" spans="7:7">
      <c r="G484" s="11"/>
    </row>
    <row r="485" spans="7:7">
      <c r="G485" s="11"/>
    </row>
    <row r="486" spans="7:7">
      <c r="G486" s="11"/>
    </row>
    <row r="487" spans="7:7">
      <c r="G487" s="11"/>
    </row>
    <row r="488" spans="7:7">
      <c r="G488" s="11"/>
    </row>
    <row r="489" spans="7:7">
      <c r="G489" s="11"/>
    </row>
    <row r="490" spans="7:7">
      <c r="G490" s="11"/>
    </row>
    <row r="491" spans="7:7">
      <c r="G491" s="11"/>
    </row>
    <row r="492" spans="7:7">
      <c r="G492" s="11"/>
    </row>
    <row r="493" spans="7:7">
      <c r="G493" s="11"/>
    </row>
    <row r="494" spans="7:7">
      <c r="G494" s="11"/>
    </row>
    <row r="495" spans="7:7">
      <c r="G495" s="11"/>
    </row>
    <row r="496" spans="7:7">
      <c r="G496" s="11"/>
    </row>
    <row r="497" spans="7:7">
      <c r="G497" s="11"/>
    </row>
    <row r="498" spans="7:7">
      <c r="G498" s="11"/>
    </row>
    <row r="499" spans="7:7">
      <c r="G499" s="11"/>
    </row>
    <row r="500" spans="7:7">
      <c r="G500" s="11"/>
    </row>
    <row r="501" spans="7:7">
      <c r="G501" s="11"/>
    </row>
    <row r="502" spans="7:7">
      <c r="G502" s="11"/>
    </row>
    <row r="503" spans="7:7">
      <c r="G503" s="11"/>
    </row>
    <row r="504" spans="7:7">
      <c r="G504" s="11"/>
    </row>
    <row r="505" spans="7:7">
      <c r="G505" s="11"/>
    </row>
    <row r="506" spans="7:7">
      <c r="G506" s="11"/>
    </row>
    <row r="507" spans="7:7">
      <c r="G507" s="11"/>
    </row>
    <row r="508" spans="7:7">
      <c r="G508" s="11"/>
    </row>
    <row r="509" spans="7:7">
      <c r="G509" s="11"/>
    </row>
    <row r="510" spans="7:7">
      <c r="G510" s="11"/>
    </row>
    <row r="511" spans="7:7">
      <c r="G511" s="11"/>
    </row>
    <row r="512" spans="7:7">
      <c r="G512" s="11"/>
    </row>
    <row r="513" spans="7:7">
      <c r="G513" s="11"/>
    </row>
    <row r="514" spans="7:7">
      <c r="G514" s="11"/>
    </row>
    <row r="515" spans="7:7">
      <c r="G515" s="11"/>
    </row>
    <row r="516" spans="7:7">
      <c r="G516" s="11"/>
    </row>
    <row r="517" spans="7:7">
      <c r="G517" s="11"/>
    </row>
    <row r="518" spans="7:7">
      <c r="G518" s="11"/>
    </row>
    <row r="519" spans="7:7">
      <c r="G519" s="11"/>
    </row>
    <row r="520" spans="7:7">
      <c r="G520" s="11"/>
    </row>
    <row r="521" spans="7:7">
      <c r="G521" s="11"/>
    </row>
    <row r="522" spans="7:7">
      <c r="G522" s="11"/>
    </row>
    <row r="523" spans="7:7">
      <c r="G523" s="11"/>
    </row>
    <row r="524" spans="7:7">
      <c r="G524" s="11"/>
    </row>
    <row r="525" spans="7:7">
      <c r="G525" s="11"/>
    </row>
    <row r="526" spans="7:7">
      <c r="G526" s="11"/>
    </row>
    <row r="527" spans="7:7">
      <c r="G527" s="11"/>
    </row>
    <row r="528" spans="7:7">
      <c r="G528" s="11"/>
    </row>
    <row r="529" spans="7:7">
      <c r="G529" s="11"/>
    </row>
    <row r="530" spans="7:7">
      <c r="G530" s="11"/>
    </row>
    <row r="531" spans="7:7">
      <c r="G531" s="11"/>
    </row>
    <row r="532" spans="7:7">
      <c r="G532" s="11"/>
    </row>
    <row r="533" spans="7:7">
      <c r="G533" s="11"/>
    </row>
    <row r="534" spans="7:7">
      <c r="G534" s="11"/>
    </row>
    <row r="535" spans="7:7">
      <c r="G535" s="11"/>
    </row>
    <row r="536" spans="7:7">
      <c r="G536" s="11"/>
    </row>
    <row r="537" spans="7:7">
      <c r="G537" s="11"/>
    </row>
    <row r="538" spans="7:7">
      <c r="G538" s="11"/>
    </row>
    <row r="539" spans="7:7">
      <c r="G539" s="11"/>
    </row>
    <row r="540" spans="7:7">
      <c r="G540" s="11"/>
    </row>
    <row r="541" spans="7:7">
      <c r="G541" s="11"/>
    </row>
    <row r="542" spans="7:7">
      <c r="G542" s="11"/>
    </row>
    <row r="543" spans="7:7">
      <c r="G543" s="11"/>
    </row>
    <row r="544" spans="7:7">
      <c r="G544" s="11"/>
    </row>
    <row r="545" spans="7:7">
      <c r="G545" s="11"/>
    </row>
    <row r="546" spans="7:7">
      <c r="G546" s="11"/>
    </row>
    <row r="547" spans="7:7">
      <c r="G547" s="11"/>
    </row>
    <row r="548" spans="7:7">
      <c r="G548" s="11"/>
    </row>
    <row r="549" spans="7:7">
      <c r="G549" s="11"/>
    </row>
    <row r="550" spans="7:7">
      <c r="G550" s="11"/>
    </row>
    <row r="551" spans="7:7">
      <c r="G551" s="11"/>
    </row>
    <row r="552" spans="7:7">
      <c r="G552" s="11"/>
    </row>
    <row r="553" spans="7:7">
      <c r="G553" s="11"/>
    </row>
    <row r="554" spans="7:7">
      <c r="G554" s="11"/>
    </row>
    <row r="555" spans="7:7">
      <c r="G555" s="11"/>
    </row>
    <row r="556" spans="7:7">
      <c r="G556" s="11"/>
    </row>
    <row r="557" spans="7:7">
      <c r="G557" s="11"/>
    </row>
    <row r="558" spans="7:7">
      <c r="G558" s="11"/>
    </row>
    <row r="559" spans="7:7">
      <c r="G559" s="11"/>
    </row>
    <row r="560" spans="7:7">
      <c r="G560" s="11"/>
    </row>
    <row r="561" spans="7:7">
      <c r="G561" s="11"/>
    </row>
    <row r="562" spans="7:7">
      <c r="G562" s="11"/>
    </row>
    <row r="563" spans="7:7">
      <c r="G563" s="11"/>
    </row>
    <row r="564" spans="7:7">
      <c r="G564" s="11"/>
    </row>
    <row r="565" spans="7:7">
      <c r="G565" s="11"/>
    </row>
    <row r="566" spans="7:7">
      <c r="G566" s="11"/>
    </row>
    <row r="567" spans="7:7">
      <c r="G567" s="11"/>
    </row>
    <row r="568" spans="7:7">
      <c r="G568" s="11"/>
    </row>
    <row r="569" spans="7:7">
      <c r="G569" s="11"/>
    </row>
    <row r="570" spans="7:7">
      <c r="G570" s="11"/>
    </row>
    <row r="571" spans="7:7">
      <c r="G571" s="11"/>
    </row>
    <row r="572" spans="7:7">
      <c r="G572" s="11"/>
    </row>
    <row r="573" spans="7:7">
      <c r="G573" s="11"/>
    </row>
    <row r="574" spans="7:7">
      <c r="G574" s="11"/>
    </row>
    <row r="575" spans="7:7">
      <c r="G575" s="11"/>
    </row>
    <row r="576" spans="7:7">
      <c r="G576" s="11"/>
    </row>
    <row r="577" spans="7:7">
      <c r="G577" s="11"/>
    </row>
    <row r="578" spans="7:7">
      <c r="G578" s="11"/>
    </row>
    <row r="579" spans="7:7">
      <c r="G579" s="11"/>
    </row>
    <row r="580" spans="7:7">
      <c r="G580" s="11"/>
    </row>
    <row r="581" spans="7:7">
      <c r="G581" s="11"/>
    </row>
    <row r="582" spans="7:7">
      <c r="G582" s="11"/>
    </row>
    <row r="583" spans="7:7">
      <c r="G583" s="11"/>
    </row>
    <row r="584" spans="7:7">
      <c r="G584" s="11"/>
    </row>
    <row r="585" spans="7:7">
      <c r="G585" s="11"/>
    </row>
    <row r="586" spans="7:7">
      <c r="G586" s="11"/>
    </row>
    <row r="587" spans="7:7">
      <c r="G587" s="11"/>
    </row>
    <row r="588" spans="7:7">
      <c r="G588" s="11"/>
    </row>
    <row r="589" spans="7:7">
      <c r="G589" s="11"/>
    </row>
    <row r="590" spans="7:7">
      <c r="G590" s="11"/>
    </row>
    <row r="591" spans="7:7">
      <c r="G591" s="11"/>
    </row>
    <row r="592" spans="7:7">
      <c r="G592" s="11"/>
    </row>
    <row r="593" spans="7:7">
      <c r="G593" s="11"/>
    </row>
    <row r="594" spans="7:7">
      <c r="G594" s="11"/>
    </row>
    <row r="595" spans="7:7">
      <c r="G595" s="11"/>
    </row>
    <row r="596" spans="7:7">
      <c r="G596" s="11"/>
    </row>
    <row r="597" spans="7:7">
      <c r="G597" s="11"/>
    </row>
    <row r="598" spans="7:7">
      <c r="G598" s="11"/>
    </row>
    <row r="599" spans="7:7">
      <c r="G599" s="11"/>
    </row>
    <row r="600" spans="7:7">
      <c r="G600" s="11"/>
    </row>
    <row r="601" spans="7:7">
      <c r="G601" s="11"/>
    </row>
    <row r="602" spans="7:7">
      <c r="G602" s="11"/>
    </row>
    <row r="603" spans="7:7">
      <c r="G603" s="11"/>
    </row>
    <row r="604" spans="7:7">
      <c r="G604" s="11"/>
    </row>
    <row r="605" spans="7:7">
      <c r="G605" s="11"/>
    </row>
    <row r="606" spans="7:7">
      <c r="G606" s="11"/>
    </row>
    <row r="607" spans="7:7">
      <c r="G607" s="11"/>
    </row>
    <row r="608" spans="7:7">
      <c r="G608" s="11"/>
    </row>
    <row r="609" spans="7:7">
      <c r="G609" s="11"/>
    </row>
    <row r="610" spans="7:7">
      <c r="G610" s="11"/>
    </row>
    <row r="611" spans="7:7">
      <c r="G611" s="11"/>
    </row>
    <row r="612" spans="7:7">
      <c r="G612" s="11"/>
    </row>
    <row r="613" spans="7:7">
      <c r="G613" s="11"/>
    </row>
    <row r="614" spans="7:7">
      <c r="G614" s="11"/>
    </row>
    <row r="615" spans="7:7">
      <c r="G615" s="11"/>
    </row>
    <row r="616" spans="7:7">
      <c r="G616" s="11"/>
    </row>
    <row r="617" spans="7:7">
      <c r="G617" s="11"/>
    </row>
    <row r="618" spans="7:7">
      <c r="G618" s="11"/>
    </row>
    <row r="619" spans="7:7">
      <c r="G619" s="11"/>
    </row>
    <row r="620" spans="7:7">
      <c r="G620" s="11"/>
    </row>
    <row r="621" spans="7:7">
      <c r="G621" s="11"/>
    </row>
    <row r="622" spans="7:7">
      <c r="G622" s="11"/>
    </row>
    <row r="623" spans="7:7">
      <c r="G623" s="11"/>
    </row>
    <row r="624" spans="7:7">
      <c r="G624" s="11"/>
    </row>
    <row r="625" spans="7:7">
      <c r="G625" s="11"/>
    </row>
    <row r="626" spans="7:7">
      <c r="G626" s="11"/>
    </row>
    <row r="627" spans="7:7">
      <c r="G627" s="11"/>
    </row>
    <row r="628" spans="7:7">
      <c r="G628" s="11"/>
    </row>
    <row r="629" spans="7:7">
      <c r="G629" s="11"/>
    </row>
    <row r="630" spans="7:7">
      <c r="G630" s="11"/>
    </row>
    <row r="631" spans="7:7">
      <c r="G631" s="11"/>
    </row>
    <row r="632" spans="7:7">
      <c r="G632" s="11"/>
    </row>
    <row r="633" spans="7:7">
      <c r="G633" s="11"/>
    </row>
    <row r="634" spans="7:7">
      <c r="G634" s="11"/>
    </row>
    <row r="635" spans="7:7">
      <c r="G635" s="11"/>
    </row>
    <row r="636" spans="7:7">
      <c r="G636" s="11"/>
    </row>
    <row r="637" spans="7:7">
      <c r="G637" s="11"/>
    </row>
    <row r="638" spans="7:7">
      <c r="G638" s="11"/>
    </row>
    <row r="639" spans="7:7">
      <c r="G639" s="11"/>
    </row>
    <row r="640" spans="7:7">
      <c r="G640" s="11"/>
    </row>
    <row r="641" spans="7:7">
      <c r="G641" s="11"/>
    </row>
    <row r="642" spans="7:7">
      <c r="G642" s="11"/>
    </row>
    <row r="643" spans="7:7">
      <c r="G643" s="11"/>
    </row>
    <row r="644" spans="7:7">
      <c r="G644" s="11"/>
    </row>
    <row r="645" spans="7:7">
      <c r="G645" s="11"/>
    </row>
    <row r="646" spans="7:7">
      <c r="G646" s="11"/>
    </row>
    <row r="647" spans="7:7">
      <c r="G647" s="11"/>
    </row>
    <row r="648" spans="7:7">
      <c r="G648" s="11"/>
    </row>
    <row r="649" spans="7:7">
      <c r="G649" s="11"/>
    </row>
    <row r="650" spans="7:7">
      <c r="G650" s="11"/>
    </row>
    <row r="651" spans="7:7">
      <c r="G651" s="11"/>
    </row>
    <row r="652" spans="7:7">
      <c r="G652" s="11"/>
    </row>
    <row r="653" spans="7:7">
      <c r="G653" s="11"/>
    </row>
    <row r="654" spans="7:7">
      <c r="G654" s="11"/>
    </row>
    <row r="655" spans="7:7">
      <c r="G655" s="11"/>
    </row>
    <row r="656" spans="7:7">
      <c r="G656" s="11"/>
    </row>
    <row r="657" spans="7:7">
      <c r="G657" s="11"/>
    </row>
    <row r="658" spans="7:7">
      <c r="G658" s="11"/>
    </row>
    <row r="659" spans="7:7">
      <c r="G659" s="11"/>
    </row>
    <row r="660" spans="7:7">
      <c r="G660" s="11"/>
    </row>
    <row r="661" spans="7:7">
      <c r="G661" s="11"/>
    </row>
    <row r="662" spans="7:7">
      <c r="G662" s="11"/>
    </row>
    <row r="663" spans="7:7">
      <c r="G663" s="11"/>
    </row>
    <row r="664" spans="7:7">
      <c r="G664" s="11"/>
    </row>
    <row r="665" spans="7:7">
      <c r="G665" s="11"/>
    </row>
    <row r="666" spans="7:7">
      <c r="G666" s="11"/>
    </row>
    <row r="667" spans="7:7">
      <c r="G667" s="11"/>
    </row>
    <row r="668" spans="7:7">
      <c r="G668" s="11"/>
    </row>
    <row r="669" spans="7:7">
      <c r="G669" s="11"/>
    </row>
    <row r="670" spans="7:7">
      <c r="G670" s="11"/>
    </row>
    <row r="671" spans="7:7">
      <c r="G671" s="11"/>
    </row>
    <row r="672" spans="7:7">
      <c r="G672" s="11"/>
    </row>
    <row r="673" spans="7:7">
      <c r="G673" s="11"/>
    </row>
    <row r="674" spans="7:7">
      <c r="G674" s="11"/>
    </row>
    <row r="675" spans="7:7">
      <c r="G675" s="11"/>
    </row>
    <row r="676" spans="7:7">
      <c r="G676" s="11"/>
    </row>
    <row r="677" spans="7:7">
      <c r="G677" s="11"/>
    </row>
    <row r="678" spans="7:7">
      <c r="G678" s="11"/>
    </row>
    <row r="679" spans="7:7">
      <c r="G679" s="11"/>
    </row>
    <row r="680" spans="7:7">
      <c r="G680" s="11"/>
    </row>
    <row r="681" spans="7:7">
      <c r="G681" s="11"/>
    </row>
    <row r="682" spans="7:7">
      <c r="G682" s="11"/>
    </row>
    <row r="683" spans="7:7">
      <c r="G683" s="11"/>
    </row>
    <row r="684" spans="7:7">
      <c r="G684" s="11"/>
    </row>
    <row r="685" spans="7:7">
      <c r="G685" s="11"/>
    </row>
    <row r="686" spans="7:7">
      <c r="G686" s="11"/>
    </row>
    <row r="687" spans="7:7">
      <c r="G687" s="11"/>
    </row>
    <row r="688" spans="7:7">
      <c r="G688" s="11"/>
    </row>
    <row r="689" spans="7:7">
      <c r="G689" s="11"/>
    </row>
    <row r="690" spans="7:7">
      <c r="G690" s="11"/>
    </row>
    <row r="691" spans="7:7">
      <c r="G691" s="11"/>
    </row>
    <row r="692" spans="7:7">
      <c r="G692" s="11"/>
    </row>
    <row r="693" spans="7:7">
      <c r="G693" s="11"/>
    </row>
    <row r="694" spans="7:7">
      <c r="G694" s="11"/>
    </row>
    <row r="695" spans="7:7">
      <c r="G695" s="11"/>
    </row>
    <row r="696" spans="7:7">
      <c r="G696" s="11"/>
    </row>
    <row r="697" spans="7:7">
      <c r="G697" s="11"/>
    </row>
    <row r="698" spans="7:7">
      <c r="G698" s="11"/>
    </row>
    <row r="699" spans="7:7">
      <c r="G699" s="11"/>
    </row>
    <row r="700" spans="7:7">
      <c r="G700" s="11"/>
    </row>
    <row r="701" spans="7:7">
      <c r="G701" s="11"/>
    </row>
    <row r="702" spans="7:7">
      <c r="G702" s="11"/>
    </row>
    <row r="703" spans="7:7">
      <c r="G703" s="11"/>
    </row>
    <row r="704" spans="7:7">
      <c r="G704" s="11"/>
    </row>
    <row r="705" spans="7:7">
      <c r="G705" s="11"/>
    </row>
    <row r="706" spans="7:7">
      <c r="G706" s="11"/>
    </row>
    <row r="707" spans="7:7">
      <c r="G707" s="11"/>
    </row>
    <row r="708" spans="7:7">
      <c r="G708" s="11"/>
    </row>
    <row r="709" spans="7:7">
      <c r="G709" s="11"/>
    </row>
    <row r="710" spans="7:7">
      <c r="G710" s="11"/>
    </row>
    <row r="711" spans="7:7">
      <c r="G711" s="11"/>
    </row>
    <row r="712" spans="7:7">
      <c r="G712" s="11"/>
    </row>
    <row r="713" spans="7:7">
      <c r="G713" s="11"/>
    </row>
    <row r="714" spans="7:7">
      <c r="G714" s="11"/>
    </row>
    <row r="715" spans="7:7">
      <c r="G715" s="11"/>
    </row>
    <row r="716" spans="7:7">
      <c r="G716" s="11"/>
    </row>
    <row r="717" spans="7:7">
      <c r="G717" s="11"/>
    </row>
    <row r="718" spans="7:7">
      <c r="G718" s="11"/>
    </row>
    <row r="719" spans="7:7">
      <c r="G719" s="11"/>
    </row>
    <row r="720" spans="7:7">
      <c r="G720" s="11"/>
    </row>
    <row r="721" spans="7:7">
      <c r="G721" s="11"/>
    </row>
    <row r="722" spans="7:7">
      <c r="G722" s="11"/>
    </row>
    <row r="723" spans="7:7">
      <c r="G723" s="11"/>
    </row>
    <row r="724" spans="7:7">
      <c r="G724" s="11"/>
    </row>
    <row r="725" spans="7:7">
      <c r="G725" s="11"/>
    </row>
    <row r="726" spans="7:7">
      <c r="G726" s="11"/>
    </row>
    <row r="727" spans="7:7">
      <c r="G727" s="11"/>
    </row>
    <row r="728" spans="7:7">
      <c r="G728" s="11"/>
    </row>
    <row r="729" spans="7:7">
      <c r="G729" s="11"/>
    </row>
    <row r="730" spans="7:7">
      <c r="G730" s="11"/>
    </row>
    <row r="731" spans="7:7">
      <c r="G731" s="11"/>
    </row>
    <row r="732" spans="7:7">
      <c r="G732" s="11"/>
    </row>
    <row r="733" spans="7:7">
      <c r="G733" s="11"/>
    </row>
    <row r="734" spans="7:7">
      <c r="G734" s="11"/>
    </row>
    <row r="735" spans="7:7">
      <c r="G735" s="11"/>
    </row>
    <row r="736" spans="7:7">
      <c r="G736" s="11"/>
    </row>
    <row r="737" spans="7:7">
      <c r="G737" s="11"/>
    </row>
    <row r="738" spans="7:7">
      <c r="G738" s="11"/>
    </row>
    <row r="739" spans="7:7">
      <c r="G739" s="11"/>
    </row>
    <row r="740" spans="7:7">
      <c r="G740" s="11"/>
    </row>
    <row r="741" spans="7:7">
      <c r="G741" s="11"/>
    </row>
    <row r="742" spans="7:7">
      <c r="G742" s="11"/>
    </row>
    <row r="743" spans="7:7">
      <c r="G743" s="11"/>
    </row>
    <row r="744" spans="7:7">
      <c r="G744" s="11"/>
    </row>
    <row r="745" spans="7:7">
      <c r="G745" s="11"/>
    </row>
    <row r="746" spans="7:7">
      <c r="G746" s="11"/>
    </row>
    <row r="747" spans="7:7">
      <c r="G747" s="11"/>
    </row>
    <row r="748" spans="7:7">
      <c r="G748" s="11"/>
    </row>
    <row r="749" spans="7:7">
      <c r="G749" s="11"/>
    </row>
    <row r="750" spans="7:7">
      <c r="G750" s="11"/>
    </row>
    <row r="751" spans="7:7">
      <c r="G751" s="11"/>
    </row>
    <row r="752" spans="7:7">
      <c r="G752" s="11"/>
    </row>
    <row r="753" spans="7:7">
      <c r="G753" s="11"/>
    </row>
    <row r="754" spans="7:7">
      <c r="G754" s="11"/>
    </row>
    <row r="755" spans="7:7">
      <c r="G755" s="11"/>
    </row>
    <row r="756" spans="7:7">
      <c r="G756" s="11"/>
    </row>
    <row r="757" spans="7:7">
      <c r="G757" s="11"/>
    </row>
    <row r="758" spans="7:7">
      <c r="G758" s="11"/>
    </row>
    <row r="759" spans="7:7">
      <c r="G759" s="11"/>
    </row>
    <row r="760" spans="7:7">
      <c r="G760" s="11"/>
    </row>
    <row r="761" spans="7:7">
      <c r="G761" s="11"/>
    </row>
    <row r="762" spans="7:7">
      <c r="G762" s="11"/>
    </row>
    <row r="763" spans="7:7">
      <c r="G763" s="11"/>
    </row>
    <row r="764" spans="7:7">
      <c r="G764" s="11"/>
    </row>
    <row r="765" spans="7:7">
      <c r="G765" s="11"/>
    </row>
    <row r="766" spans="7:7">
      <c r="G766" s="11"/>
    </row>
    <row r="767" spans="7:7">
      <c r="G767" s="11"/>
    </row>
    <row r="768" spans="7:7">
      <c r="G768" s="11"/>
    </row>
    <row r="769" spans="7:7">
      <c r="G769" s="11"/>
    </row>
    <row r="770" spans="7:7">
      <c r="G770" s="11"/>
    </row>
    <row r="771" spans="7:7">
      <c r="G771" s="11"/>
    </row>
    <row r="772" spans="7:7">
      <c r="G772" s="11"/>
    </row>
    <row r="773" spans="7:7">
      <c r="G773" s="11"/>
    </row>
    <row r="774" spans="7:7">
      <c r="G774" s="11"/>
    </row>
    <row r="775" spans="7:7">
      <c r="G775" s="11"/>
    </row>
    <row r="776" spans="7:7">
      <c r="G776" s="11"/>
    </row>
    <row r="777" spans="7:7">
      <c r="G777" s="11"/>
    </row>
    <row r="778" spans="7:7">
      <c r="G778" s="11"/>
    </row>
    <row r="779" spans="7:7">
      <c r="G779" s="11"/>
    </row>
    <row r="780" spans="7:7">
      <c r="G780" s="11"/>
    </row>
    <row r="781" spans="7:7">
      <c r="G781" s="11"/>
    </row>
    <row r="782" spans="7:7">
      <c r="G782" s="11"/>
    </row>
    <row r="783" spans="7:7">
      <c r="G783" s="11"/>
    </row>
    <row r="784" spans="7:7">
      <c r="G784" s="11"/>
    </row>
    <row r="785" spans="7:7">
      <c r="G785" s="11"/>
    </row>
    <row r="786" spans="7:7">
      <c r="G786" s="11"/>
    </row>
    <row r="787" spans="7:7">
      <c r="G787" s="11"/>
    </row>
    <row r="788" spans="7:7">
      <c r="G788" s="11"/>
    </row>
    <row r="789" spans="7:7">
      <c r="G789" s="11"/>
    </row>
    <row r="790" spans="7:7">
      <c r="G790" s="11"/>
    </row>
    <row r="791" spans="7:7">
      <c r="G791" s="11"/>
    </row>
    <row r="792" spans="7:7">
      <c r="G792" s="11"/>
    </row>
    <row r="793" spans="7:7">
      <c r="G793" s="11"/>
    </row>
    <row r="794" spans="7:7">
      <c r="G794" s="11"/>
    </row>
    <row r="795" spans="7:7">
      <c r="G795" s="11"/>
    </row>
    <row r="796" spans="7:7">
      <c r="G796" s="11"/>
    </row>
    <row r="797" spans="7:7">
      <c r="G797" s="11"/>
    </row>
    <row r="798" spans="7:7">
      <c r="G798" s="11"/>
    </row>
    <row r="799" spans="7:7">
      <c r="G799" s="11"/>
    </row>
    <row r="800" spans="7:7">
      <c r="G800" s="11"/>
    </row>
    <row r="801" spans="7:7">
      <c r="G801" s="11"/>
    </row>
    <row r="802" spans="7:7">
      <c r="G802" s="11"/>
    </row>
    <row r="803" spans="7:7">
      <c r="G803" s="11"/>
    </row>
    <row r="804" spans="7:7">
      <c r="G804" s="11"/>
    </row>
    <row r="805" spans="7:7">
      <c r="G805" s="11"/>
    </row>
    <row r="806" spans="7:7">
      <c r="G806" s="11"/>
    </row>
    <row r="807" spans="7:7">
      <c r="G807" s="11"/>
    </row>
    <row r="808" spans="7:7">
      <c r="G808" s="11"/>
    </row>
    <row r="809" spans="7:7">
      <c r="G809" s="11"/>
    </row>
    <row r="810" spans="7:7">
      <c r="G810" s="11"/>
    </row>
    <row r="811" spans="7:7">
      <c r="G811" s="11"/>
    </row>
    <row r="812" spans="7:7">
      <c r="G812" s="11"/>
    </row>
    <row r="813" spans="7:7">
      <c r="G813" s="11"/>
    </row>
    <row r="814" spans="7:7">
      <c r="G814" s="11"/>
    </row>
    <row r="815" spans="7:7">
      <c r="G815" s="11"/>
    </row>
    <row r="816" spans="7:7">
      <c r="G816" s="11"/>
    </row>
    <row r="817" spans="7:7">
      <c r="G817" s="11"/>
    </row>
    <row r="818" spans="7:7">
      <c r="G818" s="11"/>
    </row>
    <row r="819" spans="7:7">
      <c r="G819" s="11"/>
    </row>
    <row r="820" spans="7:7">
      <c r="G820" s="11"/>
    </row>
    <row r="821" spans="7:7">
      <c r="G821" s="11"/>
    </row>
    <row r="822" spans="7:7">
      <c r="G822" s="11"/>
    </row>
    <row r="823" spans="7:7">
      <c r="G823" s="11"/>
    </row>
    <row r="824" spans="7:7">
      <c r="G824" s="11"/>
    </row>
    <row r="825" spans="7:7">
      <c r="G825" s="11"/>
    </row>
    <row r="826" spans="7:7">
      <c r="G826" s="11"/>
    </row>
    <row r="827" spans="7:7">
      <c r="G827" s="11"/>
    </row>
    <row r="828" spans="7:7">
      <c r="G828" s="11"/>
    </row>
    <row r="829" spans="7:7">
      <c r="G829" s="11"/>
    </row>
    <row r="830" spans="7:7">
      <c r="G830" s="11"/>
    </row>
    <row r="831" spans="7:7">
      <c r="G831" s="11"/>
    </row>
    <row r="832" spans="7:7">
      <c r="G832" s="11"/>
    </row>
    <row r="833" spans="7:7">
      <c r="G833" s="11"/>
    </row>
    <row r="834" spans="7:7">
      <c r="G834" s="11"/>
    </row>
    <row r="835" spans="7:7">
      <c r="G835" s="11"/>
    </row>
    <row r="836" spans="7:7">
      <c r="G836" s="11"/>
    </row>
    <row r="837" spans="7:7">
      <c r="G837" s="11"/>
    </row>
    <row r="838" spans="7:7">
      <c r="G838" s="11"/>
    </row>
    <row r="839" spans="7:7">
      <c r="G839" s="11"/>
    </row>
    <row r="840" spans="7:7">
      <c r="G840" s="11"/>
    </row>
    <row r="841" spans="7:7">
      <c r="G841" s="11"/>
    </row>
    <row r="842" spans="7:7">
      <c r="G842" s="11"/>
    </row>
    <row r="843" spans="7:7">
      <c r="G843" s="11"/>
    </row>
    <row r="844" spans="7:7">
      <c r="G844" s="11"/>
    </row>
    <row r="845" spans="7:7">
      <c r="G845" s="11"/>
    </row>
    <row r="846" spans="7:7">
      <c r="G846" s="11"/>
    </row>
    <row r="847" spans="7:7">
      <c r="G847" s="11"/>
    </row>
    <row r="848" spans="7:7">
      <c r="G848" s="11"/>
    </row>
    <row r="849" spans="7:7">
      <c r="G849" s="11"/>
    </row>
    <row r="850" spans="7:7">
      <c r="G850" s="11"/>
    </row>
    <row r="851" spans="7:7">
      <c r="G851" s="11"/>
    </row>
    <row r="852" spans="7:7">
      <c r="G852" s="11"/>
    </row>
    <row r="853" spans="7:7">
      <c r="G853" s="11"/>
    </row>
    <row r="854" spans="7:7">
      <c r="G854" s="11"/>
    </row>
    <row r="855" spans="7:7">
      <c r="G855" s="11"/>
    </row>
    <row r="856" spans="7:7">
      <c r="G856" s="11"/>
    </row>
    <row r="857" spans="7:7">
      <c r="G857" s="11"/>
    </row>
    <row r="858" spans="7:7">
      <c r="G858" s="11"/>
    </row>
    <row r="859" spans="7:7">
      <c r="G859" s="11"/>
    </row>
    <row r="860" spans="7:7">
      <c r="G860" s="11"/>
    </row>
    <row r="861" spans="7:7">
      <c r="G861" s="11"/>
    </row>
    <row r="862" spans="7:7">
      <c r="G862" s="11"/>
    </row>
    <row r="863" spans="7:7">
      <c r="G863" s="11"/>
    </row>
    <row r="864" spans="7:7">
      <c r="G864" s="11"/>
    </row>
    <row r="865" spans="7:7">
      <c r="G865" s="11"/>
    </row>
    <row r="866" spans="7:7">
      <c r="G866" s="11"/>
    </row>
    <row r="867" spans="7:7">
      <c r="G867" s="11"/>
    </row>
    <row r="868" spans="7:7">
      <c r="G868" s="11"/>
    </row>
    <row r="869" spans="7:7">
      <c r="G869" s="11"/>
    </row>
    <row r="870" spans="7:7">
      <c r="G870" s="11"/>
    </row>
    <row r="871" spans="7:7">
      <c r="G871" s="11"/>
    </row>
    <row r="872" spans="7:7">
      <c r="G872" s="11"/>
    </row>
    <row r="873" spans="7:7">
      <c r="G873" s="11"/>
    </row>
    <row r="874" spans="7:7">
      <c r="G874" s="11"/>
    </row>
    <row r="875" spans="7:7">
      <c r="G875" s="11"/>
    </row>
    <row r="876" spans="7:7">
      <c r="G876" s="11"/>
    </row>
    <row r="877" spans="7:7">
      <c r="G877" s="11"/>
    </row>
    <row r="878" spans="7:7">
      <c r="G878" s="11"/>
    </row>
    <row r="879" spans="7:7">
      <c r="G879" s="11"/>
    </row>
    <row r="880" spans="7:7">
      <c r="G880" s="11"/>
    </row>
    <row r="881" spans="7:7">
      <c r="G881" s="11"/>
    </row>
    <row r="882" spans="7:7">
      <c r="G882" s="11"/>
    </row>
    <row r="883" spans="7:7">
      <c r="G883" s="11"/>
    </row>
    <row r="884" spans="7:7">
      <c r="G884" s="11"/>
    </row>
    <row r="885" spans="7:7">
      <c r="G885" s="11"/>
    </row>
    <row r="886" spans="7:7">
      <c r="G886" s="11"/>
    </row>
    <row r="887" spans="7:7">
      <c r="G887" s="11"/>
    </row>
    <row r="888" spans="7:7">
      <c r="G888" s="11"/>
    </row>
    <row r="889" spans="7:7">
      <c r="G889" s="11"/>
    </row>
    <row r="890" spans="7:7">
      <c r="G890" s="11"/>
    </row>
    <row r="891" spans="7:7">
      <c r="G891" s="11"/>
    </row>
    <row r="892" spans="7:7">
      <c r="G892" s="11"/>
    </row>
    <row r="893" spans="7:7">
      <c r="G893" s="11"/>
    </row>
    <row r="894" spans="7:7">
      <c r="G894" s="11"/>
    </row>
    <row r="895" spans="7:7">
      <c r="G895" s="11"/>
    </row>
    <row r="896" spans="7:7">
      <c r="G896" s="11"/>
    </row>
    <row r="897" spans="7:7">
      <c r="G897" s="11"/>
    </row>
    <row r="898" spans="7:7">
      <c r="G898" s="11"/>
    </row>
    <row r="899" spans="7:7">
      <c r="G899" s="11"/>
    </row>
    <row r="900" spans="7:7">
      <c r="G900" s="11"/>
    </row>
    <row r="901" spans="7:7">
      <c r="G901" s="11"/>
    </row>
    <row r="902" spans="7:7">
      <c r="G902" s="11"/>
    </row>
    <row r="903" spans="7:7">
      <c r="G903" s="11"/>
    </row>
    <row r="904" spans="7:7">
      <c r="G904" s="11"/>
    </row>
    <row r="905" spans="7:7">
      <c r="G905" s="11"/>
    </row>
    <row r="906" spans="7:7">
      <c r="G906" s="11"/>
    </row>
    <row r="907" spans="7:7">
      <c r="G907" s="11"/>
    </row>
    <row r="908" spans="7:7">
      <c r="G908" s="11"/>
    </row>
    <row r="909" spans="7:7">
      <c r="G909" s="11"/>
    </row>
    <row r="910" spans="7:7">
      <c r="G910" s="11"/>
    </row>
    <row r="911" spans="7:7">
      <c r="G911" s="11"/>
    </row>
    <row r="912" spans="7:7">
      <c r="G912" s="11"/>
    </row>
    <row r="913" spans="7:7">
      <c r="G913" s="11"/>
    </row>
    <row r="914" spans="7:7">
      <c r="G914" s="11"/>
    </row>
    <row r="915" spans="7:7">
      <c r="G915" s="11"/>
    </row>
    <row r="916" spans="7:7">
      <c r="G916" s="11"/>
    </row>
    <row r="917" spans="7:7">
      <c r="G917" s="11"/>
    </row>
    <row r="918" spans="7:7">
      <c r="G918" s="11"/>
    </row>
    <row r="919" spans="7:7">
      <c r="G919" s="11"/>
    </row>
    <row r="920" spans="7:7">
      <c r="G920" s="11"/>
    </row>
    <row r="921" spans="7:7">
      <c r="G921" s="11"/>
    </row>
    <row r="922" spans="7:7">
      <c r="G922" s="11"/>
    </row>
    <row r="923" spans="7:7">
      <c r="G923" s="11"/>
    </row>
    <row r="924" spans="7:7">
      <c r="G924" s="11"/>
    </row>
    <row r="925" spans="7:7">
      <c r="G925" s="11"/>
    </row>
    <row r="926" spans="7:7">
      <c r="G926" s="11"/>
    </row>
    <row r="927" spans="7:7">
      <c r="G927" s="11"/>
    </row>
    <row r="928" spans="7:7">
      <c r="G928" s="11"/>
    </row>
    <row r="929" spans="7:7">
      <c r="G929" s="11"/>
    </row>
    <row r="930" spans="7:7">
      <c r="G930" s="11"/>
    </row>
    <row r="931" spans="7:7">
      <c r="G931" s="11"/>
    </row>
    <row r="932" spans="7:7">
      <c r="G932" s="11"/>
    </row>
    <row r="933" spans="7:7">
      <c r="G933" s="11"/>
    </row>
    <row r="934" spans="7:7">
      <c r="G934" s="11"/>
    </row>
    <row r="935" spans="7:7">
      <c r="G935" s="11"/>
    </row>
    <row r="936" spans="7:7">
      <c r="G936" s="11"/>
    </row>
    <row r="937" spans="7:7">
      <c r="G937" s="11"/>
    </row>
    <row r="938" spans="7:7">
      <c r="G938" s="11"/>
    </row>
    <row r="939" spans="7:7">
      <c r="G939" s="11"/>
    </row>
    <row r="940" spans="7:7">
      <c r="G940" s="11"/>
    </row>
    <row r="941" spans="7:7">
      <c r="G941" s="11"/>
    </row>
    <row r="942" spans="7:7">
      <c r="G942" s="11"/>
    </row>
    <row r="943" spans="7:7">
      <c r="G943" s="11"/>
    </row>
    <row r="944" spans="7:7">
      <c r="G944" s="11"/>
    </row>
    <row r="945" spans="7:7">
      <c r="G945" s="11"/>
    </row>
    <row r="946" spans="7:7">
      <c r="G946" s="11"/>
    </row>
    <row r="947" spans="7:7">
      <c r="G947" s="11"/>
    </row>
    <row r="948" spans="7:7">
      <c r="G948" s="11"/>
    </row>
    <row r="949" spans="7:7">
      <c r="G949" s="11"/>
    </row>
    <row r="950" spans="7:7">
      <c r="G950" s="11"/>
    </row>
    <row r="951" spans="7:7">
      <c r="G951" s="11"/>
    </row>
    <row r="952" spans="7:7">
      <c r="G952" s="11"/>
    </row>
    <row r="953" spans="7:7">
      <c r="G953" s="11"/>
    </row>
    <row r="954" spans="7:7">
      <c r="G954" s="11"/>
    </row>
    <row r="955" spans="7:7">
      <c r="G955" s="11"/>
    </row>
    <row r="956" spans="7:7">
      <c r="G956" s="11"/>
    </row>
    <row r="957" spans="7:7">
      <c r="G957" s="11"/>
    </row>
    <row r="958" spans="7:7">
      <c r="G958" s="11"/>
    </row>
    <row r="959" spans="7:7">
      <c r="G959" s="11"/>
    </row>
    <row r="960" spans="7:7">
      <c r="G960" s="11"/>
    </row>
    <row r="961" spans="7:7">
      <c r="G961" s="11"/>
    </row>
    <row r="962" spans="7:7">
      <c r="G962" s="11"/>
    </row>
    <row r="963" spans="7:7">
      <c r="G963" s="11"/>
    </row>
    <row r="964" spans="7:7">
      <c r="G964" s="11"/>
    </row>
    <row r="965" spans="7:7">
      <c r="G965" s="11"/>
    </row>
    <row r="966" spans="7:7">
      <c r="G966" s="11"/>
    </row>
    <row r="967" spans="7:7">
      <c r="G967" s="11"/>
    </row>
    <row r="968" spans="7:7">
      <c r="G968" s="11"/>
    </row>
    <row r="969" spans="7:7">
      <c r="G969" s="11"/>
    </row>
    <row r="970" spans="7:7">
      <c r="G970" s="11"/>
    </row>
    <row r="971" spans="7:7">
      <c r="G971" s="11"/>
    </row>
    <row r="972" spans="7:7">
      <c r="G972" s="11"/>
    </row>
    <row r="973" spans="7:7">
      <c r="G973" s="11"/>
    </row>
    <row r="974" spans="7:7">
      <c r="G974" s="11"/>
    </row>
    <row r="975" spans="7:7">
      <c r="G975" s="11"/>
    </row>
    <row r="976" spans="7:7">
      <c r="G976" s="11"/>
    </row>
    <row r="977" spans="7:7">
      <c r="G977" s="11"/>
    </row>
    <row r="978" spans="7:7">
      <c r="G978" s="11"/>
    </row>
    <row r="979" spans="7:7">
      <c r="G979" s="11"/>
    </row>
    <row r="980" spans="7:7">
      <c r="G980" s="11"/>
    </row>
    <row r="981" spans="7:7">
      <c r="G981" s="11"/>
    </row>
    <row r="982" spans="7:7">
      <c r="G982" s="11"/>
    </row>
    <row r="983" spans="7:7">
      <c r="G983" s="11"/>
    </row>
    <row r="984" spans="7:7">
      <c r="G984" s="11"/>
    </row>
    <row r="985" spans="7:7">
      <c r="G985" s="11"/>
    </row>
    <row r="986" spans="7:7">
      <c r="G986" s="11"/>
    </row>
    <row r="987" spans="7:7">
      <c r="G987" s="11"/>
    </row>
    <row r="988" spans="7:7">
      <c r="G988" s="11"/>
    </row>
    <row r="989" spans="7:7">
      <c r="G989" s="11"/>
    </row>
    <row r="990" spans="7:7">
      <c r="G990" s="11"/>
    </row>
    <row r="991" spans="7:7">
      <c r="G991" s="11"/>
    </row>
    <row r="992" spans="7:7">
      <c r="G992" s="11"/>
    </row>
    <row r="993" spans="7:7">
      <c r="G993" s="11"/>
    </row>
    <row r="994" spans="7:7">
      <c r="G994" s="11"/>
    </row>
    <row r="995" spans="7:7">
      <c r="G995" s="11"/>
    </row>
    <row r="996" spans="7:7">
      <c r="G996" s="11"/>
    </row>
    <row r="997" spans="7:7">
      <c r="G997" s="11"/>
    </row>
    <row r="998" spans="7:7">
      <c r="G998" s="11"/>
    </row>
    <row r="999" spans="7:7">
      <c r="G999" s="11"/>
    </row>
    <row r="1000" spans="7:7">
      <c r="G1000" s="11"/>
    </row>
    <row r="1001" spans="7:7">
      <c r="G1001" s="11"/>
    </row>
    <row r="1002" spans="7:7">
      <c r="G1002" s="11"/>
    </row>
    <row r="1003" spans="7:7">
      <c r="G1003" s="11"/>
    </row>
    <row r="1004" spans="7:7">
      <c r="G1004" s="11"/>
    </row>
    <row r="1005" spans="7:7">
      <c r="G1005" s="11"/>
    </row>
    <row r="1006" spans="7:7">
      <c r="G1006" s="11"/>
    </row>
    <row r="1007" spans="7:7">
      <c r="G1007" s="11"/>
    </row>
    <row r="1008" spans="7:7">
      <c r="G1008" s="11"/>
    </row>
    <row r="1009" spans="7:7">
      <c r="G1009" s="11"/>
    </row>
    <row r="1010" spans="7:7">
      <c r="G1010" s="11"/>
    </row>
    <row r="1011" spans="7:7">
      <c r="G1011" s="11"/>
    </row>
    <row r="1012" spans="7:7">
      <c r="G1012" s="11"/>
    </row>
    <row r="1013" spans="7:7">
      <c r="G1013" s="11"/>
    </row>
    <row r="1014" spans="7:7">
      <c r="G1014" s="11"/>
    </row>
    <row r="1015" spans="7:7">
      <c r="G1015" s="11"/>
    </row>
    <row r="1016" spans="7:7">
      <c r="G1016" s="11"/>
    </row>
    <row r="1017" spans="7:7">
      <c r="G1017" s="11"/>
    </row>
    <row r="1018" spans="7:7">
      <c r="G1018" s="11"/>
    </row>
    <row r="1019" spans="7:7">
      <c r="G1019" s="11"/>
    </row>
    <row r="1020" spans="7:7">
      <c r="G1020" s="11"/>
    </row>
    <row r="1021" spans="7:7">
      <c r="G1021" s="11"/>
    </row>
    <row r="1022" spans="7:7">
      <c r="G1022" s="11"/>
    </row>
    <row r="1023" spans="7:7">
      <c r="G1023" s="11"/>
    </row>
    <row r="1024" spans="7:7">
      <c r="G1024" s="11"/>
    </row>
    <row r="1025" spans="7:7">
      <c r="G1025" s="11"/>
    </row>
    <row r="1026" spans="7:7">
      <c r="G1026" s="11"/>
    </row>
    <row r="1027" spans="7:7">
      <c r="G1027" s="11"/>
    </row>
    <row r="1028" spans="7:7">
      <c r="G1028" s="11"/>
    </row>
    <row r="1029" spans="7:7">
      <c r="G1029" s="11"/>
    </row>
    <row r="1030" spans="7:7">
      <c r="G1030" s="11"/>
    </row>
    <row r="1031" spans="7:7">
      <c r="G1031" s="11"/>
    </row>
    <row r="1032" spans="7:7">
      <c r="G1032" s="11"/>
    </row>
    <row r="1033" spans="7:7">
      <c r="G1033" s="11"/>
    </row>
    <row r="1034" spans="7:7">
      <c r="G1034" s="11"/>
    </row>
    <row r="1035" spans="7:7">
      <c r="G1035" s="11"/>
    </row>
    <row r="1036" spans="7:7">
      <c r="G1036" s="11"/>
    </row>
    <row r="1037" spans="7:7">
      <c r="G1037" s="11"/>
    </row>
    <row r="1038" spans="7:7">
      <c r="G1038" s="11"/>
    </row>
    <row r="1039" spans="7:7">
      <c r="G1039" s="11"/>
    </row>
    <row r="1040" spans="7:7">
      <c r="G1040" s="11"/>
    </row>
    <row r="1041" spans="7:7">
      <c r="G1041" s="11"/>
    </row>
    <row r="1042" spans="7:7">
      <c r="G1042" s="11"/>
    </row>
    <row r="1043" spans="7:7">
      <c r="G1043" s="11"/>
    </row>
    <row r="1044" spans="7:7">
      <c r="G1044" s="11"/>
    </row>
    <row r="1045" spans="7:7">
      <c r="G1045" s="11"/>
    </row>
    <row r="1046" spans="7:7">
      <c r="G1046" s="11"/>
    </row>
    <row r="1047" spans="7:7">
      <c r="G1047" s="11"/>
    </row>
    <row r="1048" spans="7:7">
      <c r="G1048" s="11"/>
    </row>
    <row r="1049" spans="7:7">
      <c r="G1049" s="11"/>
    </row>
    <row r="1050" spans="7:7">
      <c r="G1050" s="11"/>
    </row>
    <row r="1051" spans="7:7">
      <c r="G1051" s="11"/>
    </row>
    <row r="1052" spans="7:7">
      <c r="G1052" s="11"/>
    </row>
    <row r="1053" spans="7:7">
      <c r="G1053" s="11"/>
    </row>
    <row r="1054" spans="7:7">
      <c r="G1054" s="11"/>
    </row>
    <row r="1055" spans="7:7">
      <c r="G1055" s="11"/>
    </row>
    <row r="1056" spans="7:7">
      <c r="G1056" s="11"/>
    </row>
    <row r="1057" spans="7:7">
      <c r="G1057" s="11"/>
    </row>
    <row r="1058" spans="7:7">
      <c r="G1058" s="11"/>
    </row>
    <row r="1059" spans="7:7">
      <c r="G1059" s="11"/>
    </row>
    <row r="1060" spans="7:7">
      <c r="G1060" s="11"/>
    </row>
    <row r="1061" spans="7:7">
      <c r="G1061" s="11"/>
    </row>
    <row r="1062" spans="7:7">
      <c r="G1062" s="11"/>
    </row>
    <row r="1063" spans="7:7">
      <c r="G1063" s="11"/>
    </row>
    <row r="1064" spans="7:7">
      <c r="G1064" s="11"/>
    </row>
    <row r="1065" spans="7:7">
      <c r="G1065" s="11"/>
    </row>
    <row r="1066" spans="7:7">
      <c r="G1066" s="11"/>
    </row>
    <row r="1067" spans="7:7">
      <c r="G1067" s="11"/>
    </row>
    <row r="1068" spans="7:7">
      <c r="G1068" s="11"/>
    </row>
    <row r="1069" spans="7:7">
      <c r="G1069" s="11"/>
    </row>
    <row r="1070" spans="7:7">
      <c r="G1070" s="11"/>
    </row>
    <row r="1071" spans="7:7">
      <c r="G1071" s="11"/>
    </row>
    <row r="1072" spans="7:7">
      <c r="G1072" s="11"/>
    </row>
    <row r="1073" spans="7:7">
      <c r="G1073" s="11"/>
    </row>
    <row r="1074" spans="7:7">
      <c r="G1074" s="11"/>
    </row>
    <row r="1075" spans="7:7">
      <c r="G1075" s="11"/>
    </row>
    <row r="1076" spans="7:7">
      <c r="G1076" s="11"/>
    </row>
    <row r="1077" spans="7:7">
      <c r="G1077" s="11"/>
    </row>
    <row r="1078" spans="7:7">
      <c r="G1078" s="11"/>
    </row>
    <row r="1079" spans="7:7">
      <c r="G1079" s="11"/>
    </row>
    <row r="1080" spans="7:7">
      <c r="G1080" s="11"/>
    </row>
    <row r="1081" spans="7:7">
      <c r="G1081" s="11"/>
    </row>
    <row r="1082" spans="7:7">
      <c r="G1082" s="11"/>
    </row>
    <row r="1083" spans="7:7">
      <c r="G1083" s="11"/>
    </row>
    <row r="1084" spans="7:7">
      <c r="G1084" s="11"/>
    </row>
    <row r="1085" spans="7:7">
      <c r="G1085" s="11"/>
    </row>
    <row r="1086" spans="7:7">
      <c r="G1086" s="11"/>
    </row>
    <row r="1087" spans="7:7">
      <c r="G1087" s="11"/>
    </row>
    <row r="1088" spans="7:7">
      <c r="G1088" s="11"/>
    </row>
    <row r="1089" spans="7:7">
      <c r="G1089" s="11"/>
    </row>
    <row r="1090" spans="7:7">
      <c r="G1090" s="11"/>
    </row>
    <row r="1091" spans="7:7">
      <c r="G1091" s="11"/>
    </row>
    <row r="1092" spans="7:7">
      <c r="G1092" s="11"/>
    </row>
    <row r="1093" spans="7:7">
      <c r="G1093" s="11"/>
    </row>
    <row r="1094" spans="7:7">
      <c r="G1094" s="11"/>
    </row>
    <row r="1095" spans="7:7">
      <c r="G1095" s="11"/>
    </row>
    <row r="1096" spans="7:7">
      <c r="G1096" s="11"/>
    </row>
    <row r="1097" spans="7:7">
      <c r="G1097" s="11"/>
    </row>
    <row r="1098" spans="7:7">
      <c r="G1098" s="11"/>
    </row>
    <row r="1099" spans="7:7">
      <c r="G1099" s="11"/>
    </row>
    <row r="1100" spans="7:7">
      <c r="G1100" s="11"/>
    </row>
    <row r="1101" spans="7:7">
      <c r="G1101" s="11"/>
    </row>
    <row r="1102" spans="7:7">
      <c r="G1102" s="11"/>
    </row>
    <row r="1103" spans="7:7">
      <c r="G1103" s="11"/>
    </row>
    <row r="1104" spans="7:7">
      <c r="G1104" s="11"/>
    </row>
    <row r="1105" spans="7:7">
      <c r="G1105" s="11"/>
    </row>
    <row r="1106" spans="7:7">
      <c r="G1106" s="11"/>
    </row>
    <row r="1107" spans="7:7">
      <c r="G1107" s="11"/>
    </row>
    <row r="1108" spans="7:7">
      <c r="G1108" s="11"/>
    </row>
    <row r="1109" spans="7:7">
      <c r="G1109" s="11"/>
    </row>
    <row r="1110" spans="7:7">
      <c r="G1110" s="11"/>
    </row>
    <row r="1111" spans="7:7">
      <c r="G1111" s="11"/>
    </row>
    <row r="1112" spans="7:7">
      <c r="G1112" s="11"/>
    </row>
    <row r="1113" spans="7:7">
      <c r="G1113" s="11"/>
    </row>
    <row r="1114" spans="7:7">
      <c r="G1114" s="11"/>
    </row>
    <row r="1115" spans="7:7">
      <c r="G1115" s="11"/>
    </row>
    <row r="1116" spans="7:7">
      <c r="G1116" s="11"/>
    </row>
    <row r="1117" spans="7:7">
      <c r="G1117" s="11"/>
    </row>
    <row r="1118" spans="7:7">
      <c r="G1118" s="11"/>
    </row>
    <row r="1119" spans="7:7">
      <c r="G1119" s="11"/>
    </row>
    <row r="1120" spans="7:7">
      <c r="G1120" s="11"/>
    </row>
    <row r="1121" spans="7:7">
      <c r="G1121" s="11"/>
    </row>
    <row r="1122" spans="7:7">
      <c r="G1122" s="11"/>
    </row>
    <row r="1123" spans="7:7">
      <c r="G1123" s="11"/>
    </row>
    <row r="1124" spans="7:7">
      <c r="G1124" s="11"/>
    </row>
    <row r="1125" spans="7:7">
      <c r="G1125" s="11"/>
    </row>
    <row r="1126" spans="7:7">
      <c r="G1126" s="11"/>
    </row>
    <row r="1127" spans="7:7">
      <c r="G1127" s="11"/>
    </row>
    <row r="1128" spans="7:7">
      <c r="G1128" s="11"/>
    </row>
    <row r="1129" spans="7:7">
      <c r="G1129" s="11"/>
    </row>
    <row r="1130" spans="7:7">
      <c r="G1130" s="11"/>
    </row>
    <row r="1131" spans="7:7">
      <c r="G1131" s="11"/>
    </row>
    <row r="1132" spans="7:7">
      <c r="G1132" s="11"/>
    </row>
    <row r="1133" spans="7:7">
      <c r="G1133" s="11"/>
    </row>
    <row r="1134" spans="7:7">
      <c r="G1134" s="11"/>
    </row>
    <row r="1135" spans="7:7">
      <c r="G1135" s="11"/>
    </row>
    <row r="1136" spans="7:7">
      <c r="G1136" s="11"/>
    </row>
    <row r="1137" spans="7:7">
      <c r="G1137" s="11"/>
    </row>
    <row r="1138" spans="7:7">
      <c r="G1138" s="11"/>
    </row>
    <row r="1139" spans="7:7">
      <c r="G1139" s="11"/>
    </row>
    <row r="1140" spans="7:7">
      <c r="G1140" s="11"/>
    </row>
    <row r="1141" spans="7:7">
      <c r="G1141" s="11"/>
    </row>
    <row r="1142" spans="7:7">
      <c r="G1142" s="11"/>
    </row>
    <row r="1143" spans="7:7">
      <c r="G1143" s="11"/>
    </row>
    <row r="1144" spans="7:7">
      <c r="G1144" s="11"/>
    </row>
    <row r="1145" spans="7:7">
      <c r="G1145" s="11"/>
    </row>
    <row r="1146" spans="7:7">
      <c r="G1146" s="11"/>
    </row>
    <row r="1147" spans="7:7">
      <c r="G1147" s="11"/>
    </row>
    <row r="1148" spans="7:7">
      <c r="G1148" s="11"/>
    </row>
    <row r="1149" spans="7:7">
      <c r="G1149" s="11"/>
    </row>
    <row r="1150" spans="7:7">
      <c r="G1150" s="11"/>
    </row>
    <row r="1151" spans="7:7">
      <c r="G1151" s="11"/>
    </row>
    <row r="1152" spans="7:7">
      <c r="G1152" s="11"/>
    </row>
    <row r="1153" spans="7:7">
      <c r="G1153" s="11"/>
    </row>
    <row r="1154" spans="7:7">
      <c r="G1154" s="11"/>
    </row>
    <row r="1155" spans="7:7">
      <c r="G1155" s="11"/>
    </row>
    <row r="1156" spans="7:7">
      <c r="G1156" s="11"/>
    </row>
    <row r="1157" spans="7:7">
      <c r="G1157" s="11"/>
    </row>
    <row r="1158" spans="7:7">
      <c r="G1158" s="11"/>
    </row>
    <row r="1159" spans="7:7">
      <c r="G1159" s="11"/>
    </row>
    <row r="1160" spans="7:7">
      <c r="G1160" s="11"/>
    </row>
    <row r="1161" spans="7:7">
      <c r="G1161" s="11"/>
    </row>
    <row r="1162" spans="7:7">
      <c r="G1162" s="11"/>
    </row>
    <row r="1163" spans="7:7">
      <c r="G1163" s="11"/>
    </row>
    <row r="1164" spans="7:7">
      <c r="G1164" s="11"/>
    </row>
    <row r="1165" spans="7:7">
      <c r="G1165" s="11"/>
    </row>
    <row r="1166" spans="7:7">
      <c r="G1166" s="11"/>
    </row>
    <row r="1167" spans="7:7">
      <c r="G1167" s="11"/>
    </row>
    <row r="1168" spans="7:7">
      <c r="G1168" s="11"/>
    </row>
    <row r="1169" spans="7:7">
      <c r="G1169" s="11"/>
    </row>
    <row r="1170" spans="7:7">
      <c r="G1170" s="11"/>
    </row>
    <row r="1171" spans="7:7">
      <c r="G1171" s="11"/>
    </row>
    <row r="1172" spans="7:7">
      <c r="G1172" s="11"/>
    </row>
    <row r="1173" spans="7:7">
      <c r="G1173" s="11"/>
    </row>
    <row r="1174" spans="7:7">
      <c r="G1174" s="11"/>
    </row>
    <row r="1175" spans="7:7">
      <c r="G1175" s="11"/>
    </row>
    <row r="1176" spans="7:7">
      <c r="G1176" s="11"/>
    </row>
    <row r="1177" spans="7:7">
      <c r="G1177" s="11"/>
    </row>
    <row r="1178" spans="7:7">
      <c r="G1178" s="11"/>
    </row>
    <row r="1179" spans="7:7">
      <c r="G1179" s="11"/>
    </row>
    <row r="1180" spans="7:7">
      <c r="G1180" s="11"/>
    </row>
    <row r="1181" spans="7:7">
      <c r="G1181" s="11"/>
    </row>
    <row r="1182" spans="7:7">
      <c r="G1182" s="11"/>
    </row>
    <row r="1183" spans="7:7">
      <c r="G1183" s="11"/>
    </row>
    <row r="1184" spans="7:7">
      <c r="G1184" s="11"/>
    </row>
    <row r="1185" spans="7:7">
      <c r="G1185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G24"/>
  <sheetViews>
    <sheetView workbookViewId="0">
      <selection activeCell="C36" sqref="C36"/>
    </sheetView>
  </sheetViews>
  <sheetFormatPr defaultRowHeight="15"/>
  <cols>
    <col min="2" max="2" width="11.7109375" bestFit="1" customWidth="1"/>
    <col min="3" max="3" width="31.7109375" bestFit="1" customWidth="1"/>
    <col min="4" max="4" width="5.28515625" bestFit="1" customWidth="1"/>
    <col min="5" max="5" width="10.42578125" bestFit="1" customWidth="1"/>
    <col min="6" max="6" width="5" bestFit="1" customWidth="1"/>
    <col min="7" max="7" width="8.5703125" bestFit="1" customWidth="1"/>
  </cols>
  <sheetData>
    <row r="3" spans="2:7">
      <c r="B3" s="8" t="s">
        <v>207</v>
      </c>
    </row>
    <row r="4" spans="2:7">
      <c r="B4" s="9" t="s">
        <v>208</v>
      </c>
      <c r="C4" s="9" t="s">
        <v>209</v>
      </c>
      <c r="D4" s="9" t="s">
        <v>210</v>
      </c>
      <c r="E4" s="9" t="s">
        <v>206</v>
      </c>
      <c r="F4" s="9" t="s">
        <v>30</v>
      </c>
      <c r="G4" s="9" t="s">
        <v>228</v>
      </c>
    </row>
    <row r="5" spans="2:7" ht="15" customHeight="1" thickBot="1">
      <c r="B5" s="10" t="s">
        <v>213</v>
      </c>
      <c r="C5" s="10" t="s">
        <v>213</v>
      </c>
      <c r="D5" s="10" t="s">
        <v>213</v>
      </c>
      <c r="E5" s="10" t="s">
        <v>213</v>
      </c>
      <c r="F5" s="10" t="s">
        <v>213</v>
      </c>
      <c r="G5" s="10" t="s">
        <v>213</v>
      </c>
    </row>
    <row r="6" spans="2:7">
      <c r="B6" t="str">
        <f>Trans_Demand!A578</f>
        <v>INDAINDMD</v>
      </c>
      <c r="C6" t="str">
        <f>"DEMAND - "&amp;_xlfn.XLOOKUP(B6,Demand!E:E,Demand!A:A)&amp;" "&amp;_xlfn.XLOOKUP(B6,Demand!E:E,Demand!B:B)&amp;" "&amp;_xlfn.XLOOKUP(B6,Demand!E:E,Demand!C:C)&amp;" "&amp;_xlfn.XLOOKUP(B6,Demand!E:E,Demand!D:D)</f>
        <v xml:space="preserve">DEMAND - Industrial All Industries  </v>
      </c>
      <c r="D6" t="str">
        <f>_xlfn.XLOOKUP(B6,Trans_Demand!A:A,Trans_Demand!B:B)</f>
        <v>TJ</v>
      </c>
      <c r="E6" t="s">
        <v>214</v>
      </c>
      <c r="F6">
        <f>Trans_Demand!C2</f>
        <v>2019</v>
      </c>
      <c r="G6" s="12">
        <f>SUMIFS(Trans_Demand!D:D,Trans_Demand!A:A,B6,Trans_Demand!C:C,F6)</f>
        <v>66716.460830940399</v>
      </c>
    </row>
    <row r="7" spans="2:7">
      <c r="B7" t="str">
        <f>Trans_Demand!A579</f>
        <v>INDAINDMD</v>
      </c>
      <c r="C7" t="str">
        <f>"DEMAND - "&amp;_xlfn.XLOOKUP(B7,Demand!E:E,Demand!A:A)&amp;" "&amp;_xlfn.XLOOKUP(B7,Demand!E:E,Demand!B:B)&amp;" "&amp;_xlfn.XLOOKUP(B7,Demand!E:E,Demand!C:C)&amp;" "&amp;_xlfn.XLOOKUP(B7,Demand!E:E,Demand!D:D)</f>
        <v xml:space="preserve">DEMAND - Industrial All Industries  </v>
      </c>
      <c r="D7" t="str">
        <f>_xlfn.XLOOKUP(B7,Trans_Demand!A:A,Trans_Demand!B:B)</f>
        <v>TJ</v>
      </c>
      <c r="E7" t="s">
        <v>214</v>
      </c>
      <c r="F7">
        <f>Trans_Demand!C3</f>
        <v>2020</v>
      </c>
      <c r="G7" s="12">
        <f>SUMIFS(Trans_Demand!D:D,Trans_Demand!A:A,B7,Trans_Demand!C:C,F7)</f>
        <v>68050.790047559203</v>
      </c>
    </row>
    <row r="8" spans="2:7">
      <c r="B8" t="str">
        <f>Trans_Demand!A580</f>
        <v>INDAINDMD</v>
      </c>
      <c r="C8" t="str">
        <f>"DEMAND - "&amp;_xlfn.XLOOKUP(B8,Demand!E:E,Demand!A:A)&amp;" "&amp;_xlfn.XLOOKUP(B8,Demand!E:E,Demand!B:B)&amp;" "&amp;_xlfn.XLOOKUP(B8,Demand!E:E,Demand!C:C)&amp;" "&amp;_xlfn.XLOOKUP(B8,Demand!E:E,Demand!D:D)</f>
        <v xml:space="preserve">DEMAND - Industrial All Industries  </v>
      </c>
      <c r="D8" t="str">
        <f>_xlfn.XLOOKUP(B8,Trans_Demand!A:A,Trans_Demand!B:B)</f>
        <v>TJ</v>
      </c>
      <c r="E8" t="s">
        <v>214</v>
      </c>
      <c r="F8">
        <f>Trans_Demand!C4</f>
        <v>2025</v>
      </c>
      <c r="G8" s="12">
        <f>SUMIFS(Trans_Demand!D:D,Trans_Demand!A:A,B8,Trans_Demand!C:C,F8)</f>
        <v>74855.869052315131</v>
      </c>
    </row>
    <row r="9" spans="2:7">
      <c r="B9" t="str">
        <f>Trans_Demand!A581</f>
        <v>INDAINDMD</v>
      </c>
      <c r="C9" t="str">
        <f>"DEMAND - "&amp;_xlfn.XLOOKUP(B9,Demand!E:E,Demand!A:A)&amp;" "&amp;_xlfn.XLOOKUP(B9,Demand!E:E,Demand!B:B)&amp;" "&amp;_xlfn.XLOOKUP(B9,Demand!E:E,Demand!C:C)&amp;" "&amp;_xlfn.XLOOKUP(B9,Demand!E:E,Demand!D:D)</f>
        <v xml:space="preserve">DEMAND - Industrial All Industries  </v>
      </c>
      <c r="D9" t="str">
        <f>_xlfn.XLOOKUP(B9,Trans_Demand!A:A,Trans_Demand!B:B)</f>
        <v>TJ</v>
      </c>
      <c r="E9" t="s">
        <v>214</v>
      </c>
      <c r="F9">
        <f>Trans_Demand!C5</f>
        <v>2030</v>
      </c>
      <c r="G9" s="12">
        <f>SUMIFS(Trans_Demand!D:D,Trans_Demand!A:A,B9,Trans_Demand!C:C,F9)</f>
        <v>82341.455957546656</v>
      </c>
    </row>
    <row r="10" spans="2:7">
      <c r="B10" t="str">
        <f>Trans_Demand!A582</f>
        <v>INDAINDMD</v>
      </c>
      <c r="C10" t="str">
        <f>"DEMAND - "&amp;_xlfn.XLOOKUP(B10,Demand!E:E,Demand!A:A)&amp;" "&amp;_xlfn.XLOOKUP(B10,Demand!E:E,Demand!B:B)&amp;" "&amp;_xlfn.XLOOKUP(B10,Demand!E:E,Demand!C:C)&amp;" "&amp;_xlfn.XLOOKUP(B10,Demand!E:E,Demand!D:D)</f>
        <v xml:space="preserve">DEMAND - Industrial All Industries  </v>
      </c>
      <c r="D10" t="str">
        <f>_xlfn.XLOOKUP(B10,Trans_Demand!A:A,Trans_Demand!B:B)</f>
        <v>TJ</v>
      </c>
      <c r="E10" t="s">
        <v>214</v>
      </c>
      <c r="F10">
        <f>Trans_Demand!C6</f>
        <v>2035</v>
      </c>
      <c r="G10" s="12">
        <f>SUMIFS(Trans_Demand!D:D,Trans_Demand!A:A,B10,Trans_Demand!C:C,F10)</f>
        <v>90575.601553301327</v>
      </c>
    </row>
    <row r="11" spans="2:7">
      <c r="B11" t="str">
        <f>Trans_Demand!A583</f>
        <v>INDAINDMD</v>
      </c>
      <c r="C11" t="str">
        <f>"DEMAND - "&amp;_xlfn.XLOOKUP(B11,Demand!E:E,Demand!A:A)&amp;" "&amp;_xlfn.XLOOKUP(B11,Demand!E:E,Demand!B:B)&amp;" "&amp;_xlfn.XLOOKUP(B11,Demand!E:E,Demand!C:C)&amp;" "&amp;_xlfn.XLOOKUP(B11,Demand!E:E,Demand!D:D)</f>
        <v xml:space="preserve">DEMAND - Industrial All Industries  </v>
      </c>
      <c r="D11" t="str">
        <f>_xlfn.XLOOKUP(B11,Trans_Demand!A:A,Trans_Demand!B:B)</f>
        <v>TJ</v>
      </c>
      <c r="E11" t="s">
        <v>214</v>
      </c>
      <c r="F11">
        <f>Trans_Demand!C7</f>
        <v>2040</v>
      </c>
      <c r="G11" s="12">
        <f>SUMIFS(Trans_Demand!D:D,Trans_Demand!A:A,B11,Trans_Demand!C:C,F11)</f>
        <v>99633.161708631465</v>
      </c>
    </row>
    <row r="12" spans="2:7">
      <c r="B12" t="str">
        <f>Trans_Demand!A584</f>
        <v>INDAINDMD</v>
      </c>
      <c r="C12" t="str">
        <f>"DEMAND - "&amp;_xlfn.XLOOKUP(B12,Demand!E:E,Demand!A:A)&amp;" "&amp;_xlfn.XLOOKUP(B12,Demand!E:E,Demand!B:B)&amp;" "&amp;_xlfn.XLOOKUP(B12,Demand!E:E,Demand!C:C)&amp;" "&amp;_xlfn.XLOOKUP(B12,Demand!E:E,Demand!D:D)</f>
        <v xml:space="preserve">DEMAND - Industrial All Industries  </v>
      </c>
      <c r="D12" t="str">
        <f>_xlfn.XLOOKUP(B12,Trans_Demand!A:A,Trans_Demand!B:B)</f>
        <v>TJ</v>
      </c>
      <c r="E12" t="s">
        <v>214</v>
      </c>
      <c r="F12">
        <f>Trans_Demand!C8</f>
        <v>2045</v>
      </c>
      <c r="G12" s="12">
        <f>SUMIFS(Trans_Demand!D:D,Trans_Demand!A:A,B12,Trans_Demand!C:C,F12)</f>
        <v>109596.4778794946</v>
      </c>
    </row>
    <row r="13" spans="2:7">
      <c r="B13" t="str">
        <f>Trans_Demand!A585</f>
        <v>INDAINDMD</v>
      </c>
      <c r="C13" t="str">
        <f>"DEMAND - "&amp;_xlfn.XLOOKUP(B13,Demand!E:E,Demand!A:A)&amp;" "&amp;_xlfn.XLOOKUP(B13,Demand!E:E,Demand!B:B)&amp;" "&amp;_xlfn.XLOOKUP(B13,Demand!E:E,Demand!C:C)&amp;" "&amp;_xlfn.XLOOKUP(B13,Demand!E:E,Demand!D:D)</f>
        <v xml:space="preserve">DEMAND - Industrial All Industries  </v>
      </c>
      <c r="D13" t="str">
        <f>_xlfn.XLOOKUP(B13,Trans_Demand!A:A,Trans_Demand!B:B)</f>
        <v>TJ</v>
      </c>
      <c r="E13" t="s">
        <v>214</v>
      </c>
      <c r="F13">
        <f>Trans_Demand!C9</f>
        <v>2050</v>
      </c>
      <c r="G13" s="12">
        <f>SUMIFS(Trans_Demand!D:D,Trans_Demand!A:A,B13,Trans_Demand!C:C,F13)</f>
        <v>120556.1256674441</v>
      </c>
    </row>
    <row r="14" spans="2:7">
      <c r="B14" t="str">
        <f>Trans_Demand!A586</f>
        <v>INDAINDMD</v>
      </c>
      <c r="C14" t="str">
        <f>"DEMAND - "&amp;_xlfn.XLOOKUP(B14,Demand!E:E,Demand!A:A)&amp;" "&amp;_xlfn.XLOOKUP(B14,Demand!E:E,Demand!B:B)&amp;" "&amp;_xlfn.XLOOKUP(B14,Demand!E:E,Demand!C:C)&amp;" "&amp;_xlfn.XLOOKUP(B14,Demand!E:E,Demand!D:D)</f>
        <v xml:space="preserve">DEMAND - Industrial All Industries  </v>
      </c>
      <c r="D14" t="str">
        <f>_xlfn.XLOOKUP(B14,Trans_Demand!A:A,Trans_Demand!B:B)</f>
        <v>TJ</v>
      </c>
      <c r="E14" t="s">
        <v>214</v>
      </c>
      <c r="F14">
        <f>Trans_Demand!C10</f>
        <v>2055</v>
      </c>
      <c r="G14" s="12">
        <f>SUMIFS(Trans_Demand!D:D,Trans_Demand!A:A,B14,Trans_Demand!C:C,F14)</f>
        <v>132611.73823418849</v>
      </c>
    </row>
    <row r="15" spans="2:7">
      <c r="B15" t="str">
        <f>Trans_Demand!A587</f>
        <v>INDAINDMD</v>
      </c>
      <c r="C15" t="str">
        <f>"DEMAND - "&amp;_xlfn.XLOOKUP(B15,Demand!E:E,Demand!A:A)&amp;" "&amp;_xlfn.XLOOKUP(B15,Demand!E:E,Demand!B:B)&amp;" "&amp;_xlfn.XLOOKUP(B15,Demand!E:E,Demand!C:C)&amp;" "&amp;_xlfn.XLOOKUP(B15,Demand!E:E,Demand!D:D)</f>
        <v xml:space="preserve">DEMAND - Industrial All Industries  </v>
      </c>
      <c r="D15" t="str">
        <f>_xlfn.XLOOKUP(B15,Trans_Demand!A:A,Trans_Demand!B:B)</f>
        <v>TJ</v>
      </c>
      <c r="E15" t="s">
        <v>214</v>
      </c>
      <c r="F15">
        <f>Trans_Demand!C11</f>
        <v>2060</v>
      </c>
      <c r="G15" s="12">
        <f>SUMIFS(Trans_Demand!D:D,Trans_Demand!A:A,B15,Trans_Demand!C:C,F15)</f>
        <v>145872.91205760741</v>
      </c>
    </row>
    <row r="16" spans="2:7">
      <c r="B16" t="str">
        <f>Trans_Demand!A588</f>
        <v>INDAINDMD</v>
      </c>
      <c r="C16" t="str">
        <f>"DEMAND - "&amp;_xlfn.XLOOKUP(B16,Demand!E:E,Demand!A:A)&amp;" "&amp;_xlfn.XLOOKUP(B16,Demand!E:E,Demand!B:B)&amp;" "&amp;_xlfn.XLOOKUP(B16,Demand!E:E,Demand!C:C)&amp;" "&amp;_xlfn.XLOOKUP(B16,Demand!E:E,Demand!D:D)</f>
        <v xml:space="preserve">DEMAND - Industrial All Industries  </v>
      </c>
      <c r="D16" t="str">
        <f>_xlfn.XLOOKUP(B16,Trans_Demand!A:A,Trans_Demand!B:B)</f>
        <v>TJ</v>
      </c>
      <c r="E16" t="s">
        <v>214</v>
      </c>
      <c r="F16">
        <f>Trans_Demand!C12</f>
        <v>2065</v>
      </c>
      <c r="G16" s="12">
        <f>SUMIFS(Trans_Demand!D:D,Trans_Demand!A:A,B16,Trans_Demand!C:C,F16)</f>
        <v>160460.20326336811</v>
      </c>
    </row>
    <row r="17" spans="2:7">
      <c r="B17" t="str">
        <f>Trans_Demand!A589</f>
        <v>INDAINDMD</v>
      </c>
      <c r="C17" t="str">
        <f>"DEMAND - "&amp;_xlfn.XLOOKUP(B17,Demand!E:E,Demand!A:A)&amp;" "&amp;_xlfn.XLOOKUP(B17,Demand!E:E,Demand!B:B)&amp;" "&amp;_xlfn.XLOOKUP(B17,Demand!E:E,Demand!C:C)&amp;" "&amp;_xlfn.XLOOKUP(B17,Demand!E:E,Demand!D:D)</f>
        <v xml:space="preserve">DEMAND - Industrial All Industries  </v>
      </c>
      <c r="D17" t="str">
        <f>_xlfn.XLOOKUP(B17,Trans_Demand!A:A,Trans_Demand!B:B)</f>
        <v>TJ</v>
      </c>
      <c r="E17" t="s">
        <v>214</v>
      </c>
      <c r="F17">
        <f>Trans_Demand!C13</f>
        <v>2070</v>
      </c>
      <c r="G17" s="12">
        <f>SUMIFS(Trans_Demand!D:D,Trans_Demand!A:A,B17,Trans_Demand!C:C,F17)</f>
        <v>176506.22358970501</v>
      </c>
    </row>
    <row r="18" spans="2:7">
      <c r="B18" t="str">
        <f>Trans_Demand!A590</f>
        <v>INDAINDMD</v>
      </c>
      <c r="C18" t="str">
        <f>"DEMAND - "&amp;_xlfn.XLOOKUP(B18,Demand!E:E,Demand!A:A)&amp;" "&amp;_xlfn.XLOOKUP(B18,Demand!E:E,Demand!B:B)&amp;" "&amp;_xlfn.XLOOKUP(B18,Demand!E:E,Demand!C:C)&amp;" "&amp;_xlfn.XLOOKUP(B18,Demand!E:E,Demand!D:D)</f>
        <v xml:space="preserve">DEMAND - Industrial All Industries  </v>
      </c>
      <c r="D18" t="str">
        <f>_xlfn.XLOOKUP(B18,Trans_Demand!A:A,Trans_Demand!B:B)</f>
        <v>TJ</v>
      </c>
      <c r="E18" t="s">
        <v>214</v>
      </c>
      <c r="F18">
        <f>Trans_Demand!C14</f>
        <v>2075</v>
      </c>
      <c r="G18" s="12">
        <f>SUMIFS(Trans_Demand!D:D,Trans_Demand!A:A,B18,Trans_Demand!C:C,F18)</f>
        <v>194156.8459486755</v>
      </c>
    </row>
    <row r="19" spans="2:7">
      <c r="B19" t="str">
        <f>Trans_Demand!A591</f>
        <v>INDAINDMD</v>
      </c>
      <c r="C19" t="str">
        <f>"DEMAND - "&amp;_xlfn.XLOOKUP(B19,Demand!E:E,Demand!A:A)&amp;" "&amp;_xlfn.XLOOKUP(B19,Demand!E:E,Demand!B:B)&amp;" "&amp;_xlfn.XLOOKUP(B19,Demand!E:E,Demand!C:C)&amp;" "&amp;_xlfn.XLOOKUP(B19,Demand!E:E,Demand!D:D)</f>
        <v xml:space="preserve">DEMAND - Industrial All Industries  </v>
      </c>
      <c r="D19" t="str">
        <f>_xlfn.XLOOKUP(B19,Trans_Demand!A:A,Trans_Demand!B:B)</f>
        <v>TJ</v>
      </c>
      <c r="E19" t="s">
        <v>214</v>
      </c>
      <c r="F19">
        <f>Trans_Demand!C15</f>
        <v>2080</v>
      </c>
      <c r="G19" s="12">
        <f>SUMIFS(Trans_Demand!D:D,Trans_Demand!A:A,B19,Trans_Demand!C:C,F19)</f>
        <v>213572.53054354299</v>
      </c>
    </row>
    <row r="20" spans="2:7">
      <c r="B20" t="str">
        <f>Trans_Demand!A592</f>
        <v>INDAINDMD</v>
      </c>
      <c r="C20" t="str">
        <f>"DEMAND - "&amp;_xlfn.XLOOKUP(B20,Demand!E:E,Demand!A:A)&amp;" "&amp;_xlfn.XLOOKUP(B20,Demand!E:E,Demand!B:B)&amp;" "&amp;_xlfn.XLOOKUP(B20,Demand!E:E,Demand!C:C)&amp;" "&amp;_xlfn.XLOOKUP(B20,Demand!E:E,Demand!D:D)</f>
        <v xml:space="preserve">DEMAND - Industrial All Industries  </v>
      </c>
      <c r="D20" t="str">
        <f>_xlfn.XLOOKUP(B20,Trans_Demand!A:A,Trans_Demand!B:B)</f>
        <v>TJ</v>
      </c>
      <c r="E20" t="s">
        <v>214</v>
      </c>
      <c r="F20">
        <f>Trans_Demand!C16</f>
        <v>2085</v>
      </c>
      <c r="G20" s="12">
        <f>SUMIFS(Trans_Demand!D:D,Trans_Demand!A:A,B20,Trans_Demand!C:C,F20)</f>
        <v>234929.78359789739</v>
      </c>
    </row>
    <row r="21" spans="2:7">
      <c r="B21" t="str">
        <f>Trans_Demand!A593</f>
        <v>INDAINDMD</v>
      </c>
      <c r="C21" t="str">
        <f>"DEMAND - "&amp;_xlfn.XLOOKUP(B21,Demand!E:E,Demand!A:A)&amp;" "&amp;_xlfn.XLOOKUP(B21,Demand!E:E,Demand!B:B)&amp;" "&amp;_xlfn.XLOOKUP(B21,Demand!E:E,Demand!C:C)&amp;" "&amp;_xlfn.XLOOKUP(B21,Demand!E:E,Demand!D:D)</f>
        <v xml:space="preserve">DEMAND - Industrial All Industries  </v>
      </c>
      <c r="D21" t="str">
        <f>_xlfn.XLOOKUP(B21,Trans_Demand!A:A,Trans_Demand!B:B)</f>
        <v>TJ</v>
      </c>
      <c r="E21" t="s">
        <v>214</v>
      </c>
      <c r="F21">
        <f>Trans_Demand!C17</f>
        <v>2090</v>
      </c>
      <c r="G21" s="12">
        <f>SUMIFS(Trans_Demand!D:D,Trans_Demand!A:A,B21,Trans_Demand!C:C,F21)</f>
        <v>258422.76195768709</v>
      </c>
    </row>
    <row r="22" spans="2:7">
      <c r="B22" t="str">
        <f>Trans_Demand!A594</f>
        <v>INDAINDMD</v>
      </c>
      <c r="C22" t="str">
        <f>"DEMAND - "&amp;_xlfn.XLOOKUP(B22,Demand!E:E,Demand!A:A)&amp;" "&amp;_xlfn.XLOOKUP(B22,Demand!E:E,Demand!B:B)&amp;" "&amp;_xlfn.XLOOKUP(B22,Demand!E:E,Demand!C:C)&amp;" "&amp;_xlfn.XLOOKUP(B22,Demand!E:E,Demand!D:D)</f>
        <v xml:space="preserve">DEMAND - Industrial All Industries  </v>
      </c>
      <c r="D22" t="str">
        <f>_xlfn.XLOOKUP(B22,Trans_Demand!A:A,Trans_Demand!B:B)</f>
        <v>TJ</v>
      </c>
      <c r="E22" t="s">
        <v>214</v>
      </c>
      <c r="F22">
        <f>Trans_Demand!C18</f>
        <v>2095</v>
      </c>
      <c r="G22" s="12">
        <f>SUMIFS(Trans_Demand!D:D,Trans_Demand!A:A,B22,Trans_Demand!C:C,F22)</f>
        <v>284265.03815345588</v>
      </c>
    </row>
    <row r="23" spans="2:7">
      <c r="B23" t="str">
        <f>Trans_Demand!A595</f>
        <v>INDAINDMD</v>
      </c>
      <c r="C23" t="str">
        <f>"DEMAND - "&amp;_xlfn.XLOOKUP(B23,Demand!E:E,Demand!A:A)&amp;" "&amp;_xlfn.XLOOKUP(B23,Demand!E:E,Demand!B:B)&amp;" "&amp;_xlfn.XLOOKUP(B23,Demand!E:E,Demand!C:C)&amp;" "&amp;_xlfn.XLOOKUP(B23,Demand!E:E,Demand!D:D)</f>
        <v xml:space="preserve">DEMAND - Industrial All Industries  </v>
      </c>
      <c r="D23" t="str">
        <f>_xlfn.XLOOKUP(B23,Trans_Demand!A:A,Trans_Demand!B:B)</f>
        <v>TJ</v>
      </c>
      <c r="E23" t="s">
        <v>214</v>
      </c>
      <c r="F23">
        <f>Trans_Demand!C19</f>
        <v>2100</v>
      </c>
      <c r="G23" s="12">
        <f>SUMIFS(Trans_Demand!D:D,Trans_Demand!A:A,B23,Trans_Demand!C:C,F23)</f>
        <v>312691.54196880152</v>
      </c>
    </row>
    <row r="24" spans="2:7">
      <c r="G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&gt;&gt; City Data</vt:lpstr>
      <vt:lpstr>City characteristics</vt:lpstr>
      <vt:lpstr>&gt;&gt; GC_Existing</vt:lpstr>
      <vt:lpstr>Demand</vt:lpstr>
      <vt:lpstr>Trans_Demand</vt:lpstr>
      <vt:lpstr>&gt;&gt; TIMES</vt:lpstr>
      <vt:lpstr>DMD_ELC</vt:lpstr>
      <vt:lpstr>DMD_WAS</vt:lpstr>
      <vt:lpstr>DMD_TRA</vt:lpstr>
      <vt:lpstr>DMD_RES</vt:lpstr>
      <vt:lpstr>DMD_COM</vt:lpstr>
      <vt:lpstr>DMD_IND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2025-04-08T18:32:53Z</dcterms:modified>
</cp:coreProperties>
</file>